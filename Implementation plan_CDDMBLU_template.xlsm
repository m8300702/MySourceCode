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Z:\032__SE\030__Projekte\050_CID\00_Austausch\Kastner\CDD_MBLU_AUO\Reifegradmanagement\"/>
    </mc:Choice>
  </mc:AlternateContent>
  <xr:revisionPtr revIDLastSave="0" documentId="13_ncr:1_{2CEDE674-54E9-452B-A617-69C42B461D4A}" xr6:coauthVersionLast="47" xr6:coauthVersionMax="47" xr10:uidLastSave="{00000000-0000-0000-0000-000000000000}"/>
  <bookViews>
    <workbookView xWindow="-120" yWindow="-120" windowWidth="29040" windowHeight="15840" xr2:uid="{00000000-000D-0000-FFFF-FFFF00000000}"/>
  </bookViews>
  <sheets>
    <sheet name="SOP 07_28_HW" sheetId="24" r:id="rId1"/>
    <sheet name="DropDown" sheetId="21" r:id="rId2"/>
  </sheets>
  <externalReferences>
    <externalReference r:id="rId3"/>
  </externalReferences>
  <definedNames>
    <definedName name="_xlnm._FilterDatabase" localSheetId="0" hidden="1">'SOP 07_28_HW'!$A$11:$BO$11</definedName>
    <definedName name="MaturityLevel" localSheetId="0">[1]DropDown!$C$2:$C$9</definedName>
    <definedName name="MaturityLevel">DropDown!$C$2:$C$9</definedName>
    <definedName name="Milestones" localSheetId="0">[1]DropDown!$B$2:$B$10</definedName>
    <definedName name="Milestones">DropDown!$B$2:$B$10</definedName>
    <definedName name="SamplePhase" localSheetId="0">[1]DropDown!$D$2:$D$17</definedName>
    <definedName name="SamplePhase">DropDown!$D$2:$D$18</definedName>
    <definedName name="Status" localSheetId="0">[1]DropDown!$A$2:$A$4</definedName>
    <definedName name="Status">DropDown!$A$2:$A$4</definedName>
    <definedName name="Swip" localSheetId="0">[1]DropDown!$E$2:$E$46</definedName>
    <definedName name="Swip">DropDown!$E$2:$E$46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24" l="1"/>
  <c r="V13" i="24"/>
  <c r="AA13" i="24"/>
  <c r="AF13" i="24"/>
  <c r="AK13" i="24"/>
  <c r="AP13" i="24"/>
  <c r="AR4" i="24"/>
  <c r="AM4" i="24"/>
  <c r="AH4" i="24"/>
  <c r="AC4" i="24"/>
  <c r="X4" i="24"/>
  <c r="S4" i="24"/>
  <c r="AR3" i="24"/>
  <c r="AM3" i="24"/>
  <c r="AH3" i="24"/>
  <c r="AC3" i="24"/>
  <c r="X3" i="24"/>
  <c r="S3" i="24"/>
  <c r="AK44" i="24"/>
  <c r="Q44" i="24"/>
  <c r="AA43" i="24"/>
  <c r="AK42" i="24"/>
  <c r="Q42" i="24"/>
  <c r="AA41" i="24"/>
  <c r="AK40" i="24"/>
  <c r="Q40" i="24"/>
  <c r="AA39" i="24"/>
  <c r="AK38" i="24"/>
  <c r="Q38" i="24"/>
  <c r="AA37" i="24"/>
  <c r="AK36" i="24"/>
  <c r="Q36" i="24"/>
  <c r="AA35" i="24"/>
  <c r="AK34" i="24"/>
  <c r="Q34" i="24"/>
  <c r="AA32" i="24"/>
  <c r="AK31" i="24"/>
  <c r="Q31" i="24"/>
  <c r="AA30" i="24"/>
  <c r="AK29" i="24"/>
  <c r="Q29" i="24"/>
  <c r="AA28" i="24"/>
  <c r="AK27" i="24"/>
  <c r="Q27" i="24"/>
  <c r="AA26" i="24"/>
  <c r="AF44" i="24"/>
  <c r="AP43" i="24"/>
  <c r="V43" i="24"/>
  <c r="AF42" i="24"/>
  <c r="AP41" i="24"/>
  <c r="V41" i="24"/>
  <c r="AF40" i="24"/>
  <c r="AP39" i="24"/>
  <c r="V39" i="24"/>
  <c r="AF38" i="24"/>
  <c r="AP37" i="24"/>
  <c r="V37" i="24"/>
  <c r="AF36" i="24"/>
  <c r="AP35" i="24"/>
  <c r="V35" i="24"/>
  <c r="AF34" i="24"/>
  <c r="AP32" i="24"/>
  <c r="V32" i="24"/>
  <c r="AF31" i="24"/>
  <c r="AP30" i="24"/>
  <c r="V30" i="24"/>
  <c r="AF29" i="24"/>
  <c r="AP28" i="24"/>
  <c r="V28" i="24"/>
  <c r="AF27" i="24"/>
  <c r="AP26" i="24"/>
  <c r="AA44" i="24"/>
  <c r="AK43" i="24"/>
  <c r="Q43" i="24"/>
  <c r="AA42" i="24"/>
  <c r="AK41" i="24"/>
  <c r="Q41" i="24"/>
  <c r="AA40" i="24"/>
  <c r="AK39" i="24"/>
  <c r="Q39" i="24"/>
  <c r="AA38" i="24"/>
  <c r="AK37" i="24"/>
  <c r="Q37" i="24"/>
  <c r="AA36" i="24"/>
  <c r="AK35" i="24"/>
  <c r="Q35" i="24"/>
  <c r="AA34" i="24"/>
  <c r="AK32" i="24"/>
  <c r="Q32" i="24"/>
  <c r="AA31" i="24"/>
  <c r="AK30" i="24"/>
  <c r="Q30" i="24"/>
  <c r="AA29" i="24"/>
  <c r="AK28" i="24"/>
  <c r="Q28" i="24"/>
  <c r="AP44" i="24"/>
  <c r="V44" i="24"/>
  <c r="AF43" i="24"/>
  <c r="AP42" i="24"/>
  <c r="V42" i="24"/>
  <c r="AF41" i="24"/>
  <c r="AP40" i="24"/>
  <c r="V40" i="24"/>
  <c r="AF39" i="24"/>
  <c r="AP38" i="24"/>
  <c r="V38" i="24"/>
  <c r="AF37" i="24"/>
  <c r="AP36" i="24"/>
  <c r="V36" i="24"/>
  <c r="AF35" i="24"/>
  <c r="AP34" i="24"/>
  <c r="V34" i="24"/>
  <c r="AF32" i="24"/>
  <c r="AP31" i="24"/>
  <c r="V31" i="24"/>
  <c r="AF30" i="24"/>
  <c r="AP29" i="24"/>
  <c r="V29" i="24"/>
  <c r="AF28" i="24"/>
  <c r="AP27" i="24"/>
  <c r="AF26" i="24"/>
  <c r="AK25" i="24"/>
  <c r="Q25" i="24"/>
  <c r="AA24" i="24"/>
  <c r="AK23" i="24"/>
  <c r="Q23" i="24"/>
  <c r="AA22" i="24"/>
  <c r="AK21" i="24"/>
  <c r="Q21" i="24"/>
  <c r="AA20" i="24"/>
  <c r="AK19" i="24"/>
  <c r="Q19" i="24"/>
  <c r="AK18" i="24"/>
  <c r="Q18" i="24"/>
  <c r="AA17" i="24"/>
  <c r="AK16" i="24"/>
  <c r="Q16" i="24"/>
  <c r="AA15" i="24"/>
  <c r="AK14" i="24"/>
  <c r="Q14" i="24"/>
  <c r="AK12" i="24"/>
  <c r="Q12" i="24"/>
  <c r="AA10" i="24"/>
  <c r="V25" i="24"/>
  <c r="AF24" i="24"/>
  <c r="AF22" i="24"/>
  <c r="AF20" i="24"/>
  <c r="AF17" i="24"/>
  <c r="AF15" i="24"/>
  <c r="AF10" i="24"/>
  <c r="AA27" i="24"/>
  <c r="V26" i="24"/>
  <c r="AF25" i="24"/>
  <c r="AP24" i="24"/>
  <c r="V24" i="24"/>
  <c r="AF23" i="24"/>
  <c r="AP22" i="24"/>
  <c r="V22" i="24"/>
  <c r="AF21" i="24"/>
  <c r="AP20" i="24"/>
  <c r="V20" i="24"/>
  <c r="AF19" i="24"/>
  <c r="AF18" i="24"/>
  <c r="AP17" i="24"/>
  <c r="V17" i="24"/>
  <c r="AF16" i="24"/>
  <c r="AP15" i="24"/>
  <c r="V15" i="24"/>
  <c r="AF14" i="24"/>
  <c r="AF12" i="24"/>
  <c r="AP10" i="24"/>
  <c r="V10" i="24"/>
  <c r="AP25" i="24"/>
  <c r="V23" i="24"/>
  <c r="AP21" i="24"/>
  <c r="V19" i="24"/>
  <c r="V18" i="24"/>
  <c r="V16" i="24"/>
  <c r="AP14" i="24"/>
  <c r="V12" i="24"/>
  <c r="V27" i="24"/>
  <c r="Q26" i="24"/>
  <c r="AA25" i="24"/>
  <c r="AK24" i="24"/>
  <c r="Q24" i="24"/>
  <c r="AA23" i="24"/>
  <c r="AK22" i="24"/>
  <c r="Q22" i="24"/>
  <c r="AA21" i="24"/>
  <c r="AK20" i="24"/>
  <c r="Q20" i="24"/>
  <c r="AA19" i="24"/>
  <c r="AA18" i="24"/>
  <c r="AK17" i="24"/>
  <c r="Q17" i="24"/>
  <c r="AA16" i="24"/>
  <c r="AK15" i="24"/>
  <c r="Q15" i="24"/>
  <c r="AA14" i="24"/>
  <c r="AA12" i="24"/>
  <c r="AK10" i="24"/>
  <c r="Q10" i="24"/>
  <c r="AK26" i="24"/>
  <c r="AP23" i="24"/>
  <c r="V21" i="24"/>
  <c r="AP19" i="24"/>
  <c r="AP18" i="24"/>
  <c r="AP16" i="24"/>
  <c r="V14" i="24"/>
  <c r="AP12" i="24"/>
  <c r="R45" i="24" l="1"/>
  <c r="R46" i="24"/>
  <c r="AL45" i="24"/>
  <c r="AL46" i="24"/>
  <c r="W46" i="24"/>
  <c r="W45" i="24"/>
  <c r="AQ46" i="24"/>
  <c r="AQ45" i="24"/>
  <c r="AG46" i="24"/>
  <c r="AG45" i="24"/>
  <c r="AB45" i="24"/>
  <c r="AB46" i="24"/>
  <c r="AO45" i="24" l="1"/>
  <c r="AR2" i="24"/>
  <c r="Z45" i="24"/>
  <c r="AC2" i="24"/>
  <c r="AJ45" i="24"/>
  <c r="AM2" i="24"/>
  <c r="AE45" i="24"/>
  <c r="AH2" i="24"/>
  <c r="U45" i="24"/>
  <c r="X2" i="24"/>
  <c r="P45" i="24"/>
  <c r="S2" i="24"/>
  <c r="G2" i="21" l="1"/>
  <c r="F2" i="21"/>
  <c r="G3" i="21" l="1"/>
  <c r="F3" i="21"/>
  <c r="A80" i="21" l="1"/>
</calcChain>
</file>

<file path=xl/sharedStrings.xml><?xml version="1.0" encoding="utf-8"?>
<sst xmlns="http://schemas.openxmlformats.org/spreadsheetml/2006/main" count="711" uniqueCount="139">
  <si>
    <t>Category</t>
  </si>
  <si>
    <t>Plan Supplier</t>
  </si>
  <si>
    <t>RG3</t>
  </si>
  <si>
    <t>RG4</t>
  </si>
  <si>
    <t>RG5</t>
  </si>
  <si>
    <t>S</t>
  </si>
  <si>
    <t>T</t>
  </si>
  <si>
    <t>A</t>
  </si>
  <si>
    <t>Result
Supplier</t>
  </si>
  <si>
    <t>RG1</t>
  </si>
  <si>
    <t>RG2</t>
  </si>
  <si>
    <t>Nomination</t>
  </si>
  <si>
    <t>RG6</t>
  </si>
  <si>
    <t>Maturity levels</t>
  </si>
  <si>
    <t>Function / Specification</t>
  </si>
  <si>
    <t>Reference / ID</t>
  </si>
  <si>
    <t>MS3</t>
  </si>
  <si>
    <t>B0</t>
  </si>
  <si>
    <t>MS1</t>
  </si>
  <si>
    <t>MS2</t>
  </si>
  <si>
    <t>B1</t>
  </si>
  <si>
    <t>B2</t>
  </si>
  <si>
    <t>MS4</t>
  </si>
  <si>
    <t>MS5</t>
  </si>
  <si>
    <t>MS6</t>
  </si>
  <si>
    <t>MS7</t>
  </si>
  <si>
    <t>MS8</t>
  </si>
  <si>
    <t>Current Deviation
 / Change Request</t>
  </si>
  <si>
    <t>Milestone</t>
  </si>
  <si>
    <t>Maturity Level</t>
  </si>
  <si>
    <t>Sample Phase</t>
  </si>
  <si>
    <t>A0</t>
  </si>
  <si>
    <t>A1</t>
  </si>
  <si>
    <t>A2</t>
  </si>
  <si>
    <t>C0</t>
  </si>
  <si>
    <t>C1</t>
  </si>
  <si>
    <t>C2</t>
  </si>
  <si>
    <t>Status</t>
  </si>
  <si>
    <t>SWIPs</t>
  </si>
  <si>
    <t>A-80</t>
  </si>
  <si>
    <t>A-90</t>
  </si>
  <si>
    <t>A-100</t>
  </si>
  <si>
    <t>A-110</t>
  </si>
  <si>
    <t>A-120</t>
  </si>
  <si>
    <t>A-130</t>
  </si>
  <si>
    <t>A-140</t>
  </si>
  <si>
    <t>A-150</t>
  </si>
  <si>
    <t>A-160</t>
  </si>
  <si>
    <t>A-170</t>
  </si>
  <si>
    <t>A-180</t>
  </si>
  <si>
    <t>A-190</t>
  </si>
  <si>
    <t>A-200</t>
  </si>
  <si>
    <t>A-210</t>
  </si>
  <si>
    <t>A-220</t>
  </si>
  <si>
    <t>A-230</t>
  </si>
  <si>
    <t>A-240</t>
  </si>
  <si>
    <t>A-250</t>
  </si>
  <si>
    <t>A-260</t>
  </si>
  <si>
    <t>A-270</t>
  </si>
  <si>
    <t>A-280</t>
  </si>
  <si>
    <t>A-290</t>
  </si>
  <si>
    <t>A-300</t>
  </si>
  <si>
    <t>A-310</t>
  </si>
  <si>
    <t>A-320</t>
  </si>
  <si>
    <t>A-330</t>
  </si>
  <si>
    <t>A-340</t>
  </si>
  <si>
    <t>A-350</t>
  </si>
  <si>
    <t>A-360</t>
  </si>
  <si>
    <t>A-370</t>
  </si>
  <si>
    <t>A-380</t>
  </si>
  <si>
    <t>A-390</t>
  </si>
  <si>
    <t>A-400</t>
  </si>
  <si>
    <t>A-410</t>
  </si>
  <si>
    <t>A-420</t>
  </si>
  <si>
    <t>A-430</t>
  </si>
  <si>
    <t>A-440</t>
  </si>
  <si>
    <t>A-450</t>
  </si>
  <si>
    <t>A-460</t>
  </si>
  <si>
    <t>A-470</t>
  </si>
  <si>
    <t>A-480</t>
  </si>
  <si>
    <t>A-490</t>
  </si>
  <si>
    <t>A-500</t>
  </si>
  <si>
    <t>Comment / Result</t>
  </si>
  <si>
    <t>Yes</t>
  </si>
  <si>
    <t>No</t>
  </si>
  <si>
    <t>Jira
Ticket</t>
  </si>
  <si>
    <t/>
  </si>
  <si>
    <t>Requirement / Plan</t>
  </si>
  <si>
    <t>Plan / Result</t>
  </si>
  <si>
    <t xml:space="preserve">Status Evaluation </t>
  </si>
  <si>
    <t>Requirement / Result</t>
  </si>
  <si>
    <t>sum</t>
  </si>
  <si>
    <t>Dates</t>
  </si>
  <si>
    <t>Today</t>
  </si>
  <si>
    <t>B3</t>
  </si>
  <si>
    <t>-</t>
  </si>
  <si>
    <t>C3</t>
  </si>
  <si>
    <t>A3</t>
  </si>
  <si>
    <t>tbd</t>
  </si>
  <si>
    <t>Markierte Zeile</t>
  </si>
  <si>
    <t>SOP</t>
  </si>
  <si>
    <t>Spezificaiton Links</t>
  </si>
  <si>
    <t>further Links</t>
  </si>
  <si>
    <t>Format</t>
  </si>
  <si>
    <t>D0</t>
  </si>
  <si>
    <t>Target reached</t>
  </si>
  <si>
    <t>Key Parts</t>
  </si>
  <si>
    <t>Display</t>
  </si>
  <si>
    <t>CG</t>
  </si>
  <si>
    <t>BMW Requirement (Draft only)</t>
  </si>
  <si>
    <t>Key parts (Draft only, only example key parts)</t>
  </si>
  <si>
    <t>Design parameters</t>
  </si>
  <si>
    <t>[Sys.-LH Elektrisches Energiebordnetz] and [LH Elektrisches Energiebordnetz 12V] are binding for the design of the electrical operating range and the connection to the electrical onboard electrical system.</t>
  </si>
  <si>
    <r>
      <t xml:space="preserve">The ground concept of the component requires special consideration:
</t>
    </r>
    <r>
      <rPr>
        <sz val="11"/>
        <rFont val="ＭＳ Ｐゴシック"/>
        <family val="2"/>
        <charset val="128"/>
      </rPr>
      <t xml:space="preserve"> </t>
    </r>
    <r>
      <rPr>
        <sz val="11"/>
        <rFont val="ＭＳ Ｐゴシック"/>
        <family val="2"/>
        <charset val="128"/>
      </rPr>
      <t xml:space="preserve">
</t>
    </r>
    <r>
      <rPr>
        <sz val="11"/>
        <rFont val="ＭＳ Ｐゴシック"/>
        <family val="2"/>
        <charset val="128"/>
      </rPr>
      <t xml:space="preserve">	Divisions of the grounds, electrical / geometric</t>
    </r>
    <r>
      <rPr>
        <sz val="11"/>
        <rFont val="ＭＳ Ｐゴシック"/>
        <family val="2"/>
        <charset val="128"/>
      </rPr>
      <t xml:space="preserve">
</t>
    </r>
    <r>
      <rPr>
        <sz val="11"/>
        <rFont val="ＭＳ Ｐゴシック"/>
        <family val="2"/>
        <charset val="128"/>
      </rPr>
      <t xml:space="preserve">	Amalgamation/ Pairing of the grounds</t>
    </r>
    <r>
      <rPr>
        <sz val="11"/>
        <rFont val="ＭＳ Ｐゴシック"/>
        <family val="2"/>
        <charset val="128"/>
      </rPr>
      <t xml:space="preserve">
</t>
    </r>
    <r>
      <rPr>
        <sz val="11"/>
        <rFont val="ＭＳ Ｐゴシック"/>
        <family val="2"/>
        <charset val="128"/>
      </rPr>
      <t xml:space="preserve">	Ground connection housing</t>
    </r>
  </si>
  <si>
    <t>Operating voltages</t>
  </si>
  <si>
    <t>The development object performs relevant functions during warm start and cold start.</t>
  </si>
  <si>
    <r>
      <t xml:space="preserve">For calculating the voltage curve used in E-11 warm start [GS 95024-2], a voltage drop </t>
    </r>
    <r>
      <rPr>
        <sz val="11"/>
        <rFont val="ＭＳ Ｐゴシック"/>
        <family val="2"/>
        <charset val="128"/>
      </rPr>
      <t>ΔU = 2 V must be set.</t>
    </r>
  </si>
  <si>
    <t>The function class of the development object must be FK2 [GS 95024-2].</t>
  </si>
  <si>
    <t>Operating current draw</t>
  </si>
  <si>
    <r>
      <t xml:space="preserve">For calculating the maximum dynamic current and start-up current [GS 95024-2] the maximum rated current will be defined as follows:
</t>
    </r>
    <r>
      <rPr>
        <sz val="11"/>
        <rFont val="ＭＳ Ｐゴシック"/>
        <family val="2"/>
        <charset val="128"/>
      </rPr>
      <t>The max. permissible  rated current is derived from the max. permississible power consumption and nominal voltage U</t>
    </r>
    <r>
      <rPr>
        <vertAlign val="subscript"/>
        <sz val="11"/>
        <color theme="1"/>
        <rFont val="Calibri"/>
        <family val="2"/>
        <scheme val="minor"/>
      </rPr>
      <t>B</t>
    </r>
    <r>
      <rPr>
        <sz val="11"/>
        <rFont val="ＭＳ Ｐゴシック"/>
        <family val="2"/>
        <charset val="128"/>
      </rPr>
      <t xml:space="preserve"> = 14V.</t>
    </r>
    <r>
      <rPr>
        <sz val="11"/>
        <rFont val="ＭＳ Ｐゴシック"/>
        <family val="2"/>
        <charset val="128"/>
      </rPr>
      <t xml:space="preserve">
</t>
    </r>
    <r>
      <rPr>
        <sz val="11"/>
        <rFont val="ＭＳ Ｐゴシック"/>
        <family val="2"/>
        <charset val="128"/>
      </rPr>
      <t>I</t>
    </r>
    <r>
      <rPr>
        <vertAlign val="subscript"/>
        <sz val="11"/>
        <color theme="1"/>
        <rFont val="Calibri"/>
        <family val="2"/>
        <scheme val="minor"/>
      </rPr>
      <t>N,max</t>
    </r>
    <r>
      <rPr>
        <sz val="11"/>
        <rFont val="ＭＳ Ｐゴシック"/>
        <family val="2"/>
        <charset val="128"/>
      </rPr>
      <t xml:space="preserve"> = P</t>
    </r>
    <r>
      <rPr>
        <vertAlign val="subscript"/>
        <sz val="11"/>
        <color theme="1"/>
        <rFont val="Calibri"/>
        <family val="2"/>
        <scheme val="minor"/>
      </rPr>
      <t>b,max</t>
    </r>
    <r>
      <rPr>
        <sz val="11"/>
        <rFont val="ＭＳ Ｐゴシック"/>
        <family val="2"/>
        <charset val="128"/>
      </rPr>
      <t>/14V</t>
    </r>
  </si>
  <si>
    <r>
      <t>The maximal dynamic current consumption must not exceed the rated current by a factor of two (I</t>
    </r>
    <r>
      <rPr>
        <vertAlign val="subscript"/>
        <sz val="11"/>
        <color theme="1"/>
        <rFont val="Calibri"/>
        <family val="2"/>
        <scheme val="minor"/>
      </rPr>
      <t>dyn,max</t>
    </r>
    <r>
      <rPr>
        <sz val="11"/>
        <rFont val="ＭＳ Ｐゴシック"/>
        <family val="2"/>
        <charset val="128"/>
      </rPr>
      <t xml:space="preserve"> </t>
    </r>
    <r>
      <rPr>
        <sz val="11"/>
        <color theme="1"/>
        <rFont val="Symbol"/>
        <family val="1"/>
        <charset val="2"/>
      </rPr>
      <t>£</t>
    </r>
    <r>
      <rPr>
        <sz val="11"/>
        <rFont val="ＭＳ Ｐゴシック"/>
        <family val="2"/>
        <charset val="128"/>
      </rPr>
      <t xml:space="preserve"> 2 x I</t>
    </r>
    <r>
      <rPr>
        <vertAlign val="subscript"/>
        <sz val="11"/>
        <color theme="1"/>
        <rFont val="Calibri"/>
        <family val="2"/>
        <scheme val="minor"/>
      </rPr>
      <t>N</t>
    </r>
    <r>
      <rPr>
        <sz val="11"/>
        <rFont val="ＭＳ Ｐゴシック"/>
        <family val="2"/>
        <charset val="128"/>
      </rPr>
      <t xml:space="preserve"> ) [GS 95024-2].</t>
    </r>
  </si>
  <si>
    <t>OWNER</t>
    <phoneticPr fontId="35" type="noConversion"/>
  </si>
  <si>
    <t xml:space="preserve">6 x </t>
    <phoneticPr fontId="8" type="noConversion"/>
  </si>
  <si>
    <t>RG1</t>
    <phoneticPr fontId="8" type="noConversion"/>
  </si>
  <si>
    <t>RG2</t>
    <phoneticPr fontId="8" type="noConversion"/>
  </si>
  <si>
    <t>RG3</t>
    <phoneticPr fontId="8" type="noConversion"/>
  </si>
  <si>
    <t>RG4</t>
    <phoneticPr fontId="8" type="noConversion"/>
  </si>
  <si>
    <t>RG5</t>
    <phoneticPr fontId="8" type="noConversion"/>
  </si>
  <si>
    <t>RG6</t>
    <phoneticPr fontId="8" type="noConversion"/>
  </si>
  <si>
    <t>A0</t>
    <phoneticPr fontId="35" type="noConversion"/>
  </si>
  <si>
    <t>B0</t>
    <phoneticPr fontId="35" type="noConversion"/>
  </si>
  <si>
    <t>B1</t>
    <phoneticPr fontId="35" type="noConversion"/>
  </si>
  <si>
    <t>C0</t>
    <phoneticPr fontId="35" type="noConversion"/>
  </si>
  <si>
    <t>C1</t>
    <phoneticPr fontId="35" type="noConversion"/>
  </si>
  <si>
    <t>Plan Supplier</t>
    <phoneticPr fontId="8" type="noConversion"/>
  </si>
  <si>
    <t>HW</t>
    <phoneticPr fontId="35" type="noConversion"/>
  </si>
  <si>
    <t>A</t>
    <phoneticPr fontId="35" type="noConversion"/>
  </si>
  <si>
    <t>T</t>
    <phoneticPr fontId="35" type="noConversion"/>
  </si>
  <si>
    <t>S</t>
    <phoneticPr fontId="3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</si>
</sst>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quot;%&quot;"/>
    <numFmt numFmtId="165" formatCode="[$-407]mmm/\ yy;@"/>
    <numFmt numFmtId="166" formatCode="dd\.mm\.yyyy"/>
  </numFmts>
  <fonts count="41">
    <font>
      <sz val="11"/>
      <name val="ＭＳ Ｐゴシック"/>
      <family val="2"/>
      <charset val="128"/>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ＭＳ Ｐゴシック"/>
      <family val="2"/>
      <charset val="128"/>
    </font>
    <font>
      <sz val="10"/>
      <name val="Arial"/>
      <family val="2"/>
    </font>
    <font>
      <sz val="8"/>
      <name val="돋움"/>
      <family val="3"/>
      <charset val="129"/>
    </font>
    <font>
      <sz val="11"/>
      <color theme="1"/>
      <name val="Calibri"/>
      <family val="3"/>
      <charset val="129"/>
      <scheme val="minor"/>
    </font>
    <font>
      <u/>
      <sz val="10"/>
      <color indexed="12"/>
      <name val="Arial"/>
      <family val="2"/>
    </font>
    <font>
      <sz val="11"/>
      <color indexed="8"/>
      <name val="Calibri"/>
      <family val="2"/>
    </font>
    <font>
      <sz val="11"/>
      <name val="ＭＳ Ｐゴシック"/>
      <family val="3"/>
      <charset val="128"/>
    </font>
    <font>
      <sz val="11"/>
      <color theme="1"/>
      <name val="Calibri"/>
      <family val="3"/>
      <charset val="128"/>
      <scheme val="minor"/>
    </font>
    <font>
      <sz val="9"/>
      <name val="Calibri"/>
      <family val="2"/>
      <scheme val="minor"/>
    </font>
    <font>
      <b/>
      <sz val="9"/>
      <name val="Calibri"/>
      <family val="2"/>
      <scheme val="minor"/>
    </font>
    <font>
      <sz val="9"/>
      <name val="Calibri"/>
      <family val="2"/>
    </font>
    <font>
      <b/>
      <sz val="10"/>
      <name val="Calibri"/>
      <family val="2"/>
      <scheme val="minor"/>
    </font>
    <font>
      <b/>
      <sz val="12"/>
      <name val="Calibri"/>
      <family val="2"/>
      <scheme val="minor"/>
    </font>
    <font>
      <sz val="7"/>
      <color rgb="FF000000"/>
      <name val="Calibri"/>
      <family val="2"/>
    </font>
    <font>
      <sz val="8"/>
      <name val="Calibri"/>
      <family val="2"/>
      <scheme val="minor"/>
    </font>
    <font>
      <sz val="12"/>
      <name val="Calibri"/>
      <family val="2"/>
      <scheme val="minor"/>
    </font>
    <font>
      <sz val="16"/>
      <name val="Calibri"/>
      <family val="2"/>
      <scheme val="minor"/>
    </font>
    <font>
      <sz val="12"/>
      <color rgb="FF000000"/>
      <name val="Calibri"/>
      <family val="2"/>
    </font>
    <font>
      <sz val="6"/>
      <name val="Calibri"/>
      <family val="2"/>
      <scheme val="minor"/>
    </font>
    <font>
      <sz val="9"/>
      <color rgb="FFFF5757"/>
      <name val="Calibri"/>
      <family val="2"/>
      <scheme val="minor"/>
    </font>
    <font>
      <sz val="9"/>
      <color theme="0"/>
      <name val="Calibri"/>
      <family val="2"/>
      <scheme val="minor"/>
    </font>
    <font>
      <b/>
      <sz val="11"/>
      <name val="ＭＳ Ｐゴシック"/>
      <family val="2"/>
      <charset val="128"/>
    </font>
    <font>
      <sz val="5"/>
      <name val="Calibri"/>
      <family val="2"/>
      <scheme val="minor"/>
    </font>
    <font>
      <sz val="7"/>
      <color rgb="FF646464"/>
      <name val="Calibri"/>
      <family val="2"/>
      <scheme val="minor"/>
    </font>
    <font>
      <sz val="7"/>
      <color theme="1" tint="0.34998626667073579"/>
      <name val="Calibri"/>
      <family val="2"/>
      <scheme val="minor"/>
    </font>
    <font>
      <sz val="7"/>
      <name val="Calibri"/>
      <family val="2"/>
      <scheme val="minor"/>
    </font>
    <font>
      <b/>
      <sz val="7"/>
      <color rgb="FF646464"/>
      <name val="Calibri"/>
      <family val="2"/>
      <scheme val="minor"/>
    </font>
    <font>
      <u/>
      <sz val="11"/>
      <color theme="10"/>
      <name val="ＭＳ Ｐゴシック"/>
      <family val="2"/>
      <charset val="128"/>
    </font>
    <font>
      <sz val="9"/>
      <color theme="1" tint="0.34998626667073579"/>
      <name val="Calibri"/>
      <family val="2"/>
      <scheme val="minor"/>
    </font>
    <font>
      <b/>
      <sz val="9"/>
      <color rgb="FFFF0000"/>
      <name val="Calibri"/>
      <family val="3"/>
      <charset val="134"/>
      <scheme val="minor"/>
    </font>
    <font>
      <sz val="9"/>
      <name val="宋体"/>
      <family val="3"/>
      <charset val="134"/>
    </font>
    <font>
      <b/>
      <sz val="11"/>
      <color theme="1"/>
      <name val="Calibri"/>
      <family val="2"/>
      <scheme val="minor"/>
    </font>
    <font>
      <u/>
      <sz val="9"/>
      <color theme="10"/>
      <name val="Calibri"/>
      <family val="2"/>
      <scheme val="minor"/>
    </font>
    <font>
      <vertAlign val="subscript"/>
      <sz val="11"/>
      <color theme="1"/>
      <name val="Calibri"/>
      <family val="2"/>
      <scheme val="minor"/>
    </font>
    <font>
      <sz val="11"/>
      <color theme="1"/>
      <name val="Symbol"/>
      <family val="1"/>
      <charset val="2"/>
    </font>
  </fonts>
  <fills count="17">
    <fill>
      <patternFill patternType="none"/>
    </fill>
    <fill>
      <patternFill patternType="gray125"/>
    </fill>
    <fill>
      <patternFill patternType="solid">
        <fgColor rgb="FFFFFF00"/>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70C0"/>
        <bgColor indexed="64"/>
      </patternFill>
    </fill>
    <fill>
      <patternFill patternType="solid">
        <fgColor rgb="FFD1D1D1"/>
        <bgColor indexed="64"/>
      </patternFill>
    </fill>
  </fills>
  <borders count="77">
    <border>
      <left/>
      <right/>
      <top/>
      <bottom/>
      <diagonal/>
    </border>
    <border>
      <left style="thin">
        <color indexed="64"/>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bottom style="thin">
        <color indexed="64"/>
      </bottom>
      <diagonal/>
    </border>
    <border>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style="medium">
        <color rgb="FF000000"/>
      </left>
      <right/>
      <top/>
      <bottom style="thin">
        <color indexed="64"/>
      </bottom>
      <diagonal/>
    </border>
    <border>
      <left style="medium">
        <color rgb="FF000000"/>
      </left>
      <right/>
      <top style="thin">
        <color indexed="64"/>
      </top>
      <bottom/>
      <diagonal/>
    </border>
    <border>
      <left/>
      <right style="medium">
        <color rgb="FF000000"/>
      </right>
      <top style="thin">
        <color indexed="64"/>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indexed="64"/>
      </left>
      <right/>
      <top/>
      <bottom style="thin">
        <color indexed="64"/>
      </bottom>
      <diagonal/>
    </border>
    <border>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rgb="FF000000"/>
      </right>
      <top style="medium">
        <color rgb="FF000000"/>
      </top>
      <bottom style="thin">
        <color indexed="64"/>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thin">
        <color rgb="FF000000"/>
      </left>
      <right/>
      <top style="thin">
        <color indexed="64"/>
      </top>
      <bottom/>
      <diagonal/>
    </border>
    <border>
      <left style="thin">
        <color rgb="FF000000"/>
      </left>
      <right/>
      <top/>
      <bottom/>
      <diagonal/>
    </border>
    <border>
      <left/>
      <right style="medium">
        <color indexed="64"/>
      </right>
      <top style="medium">
        <color indexed="64"/>
      </top>
      <bottom style="medium">
        <color indexed="64"/>
      </bottom>
      <diagonal/>
    </border>
    <border>
      <left style="medium">
        <color indexed="64"/>
      </left>
      <right style="thin">
        <color rgb="FF000000"/>
      </right>
      <top style="thin">
        <color indexed="64"/>
      </top>
      <bottom/>
      <diagonal/>
    </border>
    <border>
      <left/>
      <right style="thin">
        <color indexed="64"/>
      </right>
      <top style="medium">
        <color indexed="64"/>
      </top>
      <bottom/>
      <diagonal/>
    </border>
    <border>
      <left style="thin">
        <color rgb="FF000000"/>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rgb="FF000000"/>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medium">
        <color indexed="64"/>
      </bottom>
      <diagonal/>
    </border>
    <border>
      <left/>
      <right style="thin">
        <color rgb="FF000000"/>
      </right>
      <top/>
      <bottom/>
      <diagonal/>
    </border>
    <border>
      <left/>
      <right style="thin">
        <color rgb="FF000000"/>
      </right>
      <top style="thin">
        <color rgb="FF000000"/>
      </top>
      <bottom style="medium">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medium">
        <color indexed="64"/>
      </bottom>
      <diagonal/>
    </border>
    <border>
      <left style="medium">
        <color rgb="FF000000"/>
      </left>
      <right/>
      <top style="thin">
        <color rgb="FF000000"/>
      </top>
      <bottom style="medium">
        <color indexed="64"/>
      </bottom>
      <diagonal/>
    </border>
    <border>
      <left/>
      <right/>
      <top style="thin">
        <color rgb="FF000000"/>
      </top>
      <bottom style="medium">
        <color indexed="64"/>
      </bottom>
      <diagonal/>
    </border>
    <border>
      <left/>
      <right/>
      <top/>
      <bottom style="thin">
        <color rgb="FF000000"/>
      </bottom>
      <diagonal/>
    </border>
    <border>
      <left/>
      <right/>
      <top style="thin">
        <color rgb="FF000000"/>
      </top>
      <bottom/>
      <diagonal/>
    </border>
    <border>
      <left style="thin">
        <color indexed="64"/>
      </left>
      <right style="medium">
        <color rgb="FF000000"/>
      </right>
      <top style="thin">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thin">
        <color indexed="64"/>
      </bottom>
      <diagonal/>
    </border>
    <border>
      <left style="thin">
        <color indexed="64"/>
      </left>
      <right/>
      <top/>
      <bottom/>
      <diagonal/>
    </border>
    <border>
      <left style="medium">
        <color indexed="64"/>
      </left>
      <right style="thin">
        <color rgb="FF000000"/>
      </right>
      <top/>
      <bottom/>
      <diagonal/>
    </border>
  </borders>
  <cellStyleXfs count="23959">
    <xf numFmtId="0" fontId="0" fillId="0" borderId="0"/>
    <xf numFmtId="0" fontId="7" fillId="0" borderId="0"/>
    <xf numFmtId="0" fontId="9" fillId="0" borderId="0"/>
    <xf numFmtId="0" fontId="6" fillId="0" borderId="0"/>
    <xf numFmtId="0" fontId="5" fillId="0" borderId="0"/>
    <xf numFmtId="0" fontId="5" fillId="0" borderId="0"/>
    <xf numFmtId="0" fontId="10" fillId="0" borderId="0" applyNumberFormat="0" applyFill="0" applyBorder="0" applyAlignment="0" applyProtection="0">
      <alignment vertical="top"/>
      <protection locked="0"/>
    </xf>
    <xf numFmtId="0" fontId="7" fillId="0" borderId="0"/>
    <xf numFmtId="0" fontId="7" fillId="0" borderId="0"/>
    <xf numFmtId="0" fontId="11" fillId="3" borderId="2" applyNumberFormat="0" applyFont="0" applyAlignment="0" applyProtection="0"/>
    <xf numFmtId="0" fontId="5" fillId="3" borderId="2"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12" fillId="0" borderId="0"/>
    <xf numFmtId="0" fontId="13" fillId="0" borderId="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33" fillId="0" borderId="0" applyNumberFormat="0" applyFill="0" applyBorder="0" applyAlignment="0" applyProtection="0"/>
    <xf numFmtId="0" fontId="1" fillId="0" borderId="0"/>
    <xf numFmtId="0" fontId="1" fillId="0" borderId="0"/>
    <xf numFmtId="0" fontId="1" fillId="3" borderId="2"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cellStyleXfs>
  <cellXfs count="212">
    <xf numFmtId="0" fontId="0" fillId="0" borderId="0" xfId="0"/>
    <xf numFmtId="0" fontId="0" fillId="0" borderId="0" xfId="0" applyAlignment="1">
      <alignment horizontal="center"/>
    </xf>
    <xf numFmtId="0" fontId="0" fillId="0" borderId="8" xfId="0" applyBorder="1" applyAlignment="1">
      <alignment horizontal="center"/>
    </xf>
    <xf numFmtId="165" fontId="0" fillId="0" borderId="0" xfId="0" applyNumberFormat="1"/>
    <xf numFmtId="0" fontId="0" fillId="10" borderId="8" xfId="0" applyFill="1" applyBorder="1" applyAlignment="1">
      <alignment horizontal="center"/>
    </xf>
    <xf numFmtId="14" fontId="0" fillId="10" borderId="0" xfId="0" applyNumberFormat="1" applyFill="1" applyAlignment="1">
      <alignment horizontal="center"/>
    </xf>
    <xf numFmtId="0" fontId="27" fillId="0" borderId="3" xfId="0" applyFont="1" applyBorder="1" applyAlignment="1">
      <alignment horizontal="center"/>
    </xf>
    <xf numFmtId="14" fontId="0" fillId="0" borderId="0" xfId="0" applyNumberFormat="1"/>
    <xf numFmtId="0" fontId="0" fillId="0" borderId="8" xfId="0" applyBorder="1"/>
    <xf numFmtId="14" fontId="0" fillId="0" borderId="0" xfId="0" applyNumberFormat="1" applyAlignment="1">
      <alignment horizontal="center"/>
    </xf>
    <xf numFmtId="49" fontId="0" fillId="0" borderId="0" xfId="0" applyNumberFormat="1" applyAlignment="1">
      <alignment horizontal="center"/>
    </xf>
    <xf numFmtId="9" fontId="14" fillId="6" borderId="22" xfId="0" applyNumberFormat="1" applyFont="1" applyFill="1" applyBorder="1" applyAlignment="1">
      <alignment horizontal="center" vertical="center"/>
    </xf>
    <xf numFmtId="164" fontId="14" fillId="6" borderId="22" xfId="0" applyNumberFormat="1" applyFont="1" applyFill="1" applyBorder="1" applyAlignment="1">
      <alignment horizontal="center" vertical="center"/>
    </xf>
    <xf numFmtId="0" fontId="14" fillId="6" borderId="14" xfId="0" applyFont="1" applyFill="1" applyBorder="1" applyAlignment="1">
      <alignment horizontal="center" vertical="center"/>
    </xf>
    <xf numFmtId="0" fontId="14" fillId="6" borderId="4" xfId="0" applyFont="1" applyFill="1" applyBorder="1" applyAlignment="1">
      <alignment horizontal="center" vertical="center"/>
    </xf>
    <xf numFmtId="0" fontId="14" fillId="6" borderId="6" xfId="0" applyFont="1" applyFill="1" applyBorder="1" applyAlignment="1">
      <alignment horizontal="center" vertical="center"/>
    </xf>
    <xf numFmtId="0" fontId="14" fillId="6" borderId="4" xfId="0" applyFont="1" applyFill="1" applyBorder="1" applyAlignment="1">
      <alignment horizontal="center"/>
    </xf>
    <xf numFmtId="0" fontId="14" fillId="6" borderId="6" xfId="0" applyFont="1" applyFill="1" applyBorder="1" applyAlignment="1">
      <alignment horizontal="center"/>
    </xf>
    <xf numFmtId="164" fontId="14" fillId="6" borderId="23" xfId="0" applyNumberFormat="1" applyFont="1" applyFill="1" applyBorder="1" applyAlignment="1">
      <alignment horizontal="center" vertical="center"/>
    </xf>
    <xf numFmtId="0" fontId="14" fillId="6" borderId="50" xfId="0" applyFont="1" applyFill="1" applyBorder="1" applyAlignment="1">
      <alignment horizontal="center"/>
    </xf>
    <xf numFmtId="0" fontId="14" fillId="6" borderId="47" xfId="0" applyFont="1" applyFill="1" applyBorder="1" applyAlignment="1">
      <alignment horizontal="center"/>
    </xf>
    <xf numFmtId="9" fontId="14" fillId="6" borderId="23" xfId="0" applyNumberFormat="1" applyFont="1" applyFill="1" applyBorder="1" applyAlignment="1">
      <alignment horizontal="center" vertical="center"/>
    </xf>
    <xf numFmtId="0" fontId="15" fillId="12" borderId="45" xfId="0" applyFont="1" applyFill="1" applyBorder="1" applyAlignment="1">
      <alignment horizontal="center" vertical="center"/>
    </xf>
    <xf numFmtId="0" fontId="15" fillId="12" borderId="46" xfId="0" applyFont="1" applyFill="1" applyBorder="1" applyAlignment="1">
      <alignment horizontal="center" vertical="center"/>
    </xf>
    <xf numFmtId="0" fontId="14" fillId="6" borderId="13" xfId="0" applyFont="1" applyFill="1" applyBorder="1" applyAlignment="1">
      <alignment horizontal="center" vertical="center"/>
    </xf>
    <xf numFmtId="0" fontId="14" fillId="6" borderId="11" xfId="0" applyFont="1" applyFill="1" applyBorder="1" applyAlignment="1">
      <alignment horizontal="center" vertical="center"/>
    </xf>
    <xf numFmtId="0" fontId="14" fillId="6" borderId="12" xfId="0" applyFont="1" applyFill="1" applyBorder="1" applyAlignment="1">
      <alignment horizontal="center" vertical="center"/>
    </xf>
    <xf numFmtId="0" fontId="14" fillId="5" borderId="7"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10" borderId="27" xfId="0" applyFont="1" applyFill="1" applyBorder="1" applyAlignment="1">
      <alignment horizontal="center" vertical="center"/>
    </xf>
    <xf numFmtId="0" fontId="14" fillId="10" borderId="28" xfId="0" applyFont="1" applyFill="1" applyBorder="1" applyAlignment="1">
      <alignment horizontal="center" vertical="center"/>
    </xf>
    <xf numFmtId="0" fontId="14" fillId="10" borderId="29" xfId="0" applyFont="1" applyFill="1" applyBorder="1" applyAlignment="1">
      <alignment horizontal="center" vertical="center"/>
    </xf>
    <xf numFmtId="0" fontId="22" fillId="0" borderId="30" xfId="0" applyFont="1" applyBorder="1" applyAlignment="1">
      <alignment horizontal="center" vertical="center"/>
    </xf>
    <xf numFmtId="0" fontId="22" fillId="0" borderId="31" xfId="0" applyFont="1" applyBorder="1" applyAlignment="1">
      <alignment horizontal="center" vertical="center"/>
    </xf>
    <xf numFmtId="0" fontId="22" fillId="0" borderId="32" xfId="0" applyFont="1" applyBorder="1" applyAlignment="1">
      <alignment horizontal="center" vertical="center"/>
    </xf>
    <xf numFmtId="0" fontId="22" fillId="0" borderId="0" xfId="0" applyFont="1" applyAlignment="1">
      <alignment horizontal="center" vertical="center"/>
    </xf>
    <xf numFmtId="0" fontId="22" fillId="0" borderId="33" xfId="0" applyFont="1" applyBorder="1" applyAlignment="1">
      <alignment horizontal="center" vertical="center"/>
    </xf>
    <xf numFmtId="0" fontId="22" fillId="0" borderId="8" xfId="0" applyFont="1" applyBorder="1" applyAlignment="1">
      <alignment horizontal="center" vertical="center"/>
    </xf>
    <xf numFmtId="0" fontId="14" fillId="9" borderId="22" xfId="0" applyFont="1" applyFill="1" applyBorder="1" applyAlignment="1">
      <alignment horizontal="center" vertical="center"/>
    </xf>
    <xf numFmtId="0" fontId="14" fillId="9" borderId="23" xfId="0" applyFont="1" applyFill="1" applyBorder="1" applyAlignment="1">
      <alignment horizontal="center" vertical="center"/>
    </xf>
    <xf numFmtId="0" fontId="14" fillId="9" borderId="24" xfId="0" applyFont="1" applyFill="1" applyBorder="1" applyAlignment="1">
      <alignment horizontal="center" vertical="center"/>
    </xf>
    <xf numFmtId="0" fontId="14" fillId="7" borderId="7" xfId="0" applyFont="1" applyFill="1" applyBorder="1" applyAlignment="1">
      <alignment horizontal="center" vertical="center"/>
    </xf>
    <xf numFmtId="0" fontId="14" fillId="7" borderId="20" xfId="0" applyFont="1" applyFill="1" applyBorder="1" applyAlignment="1">
      <alignment horizontal="center" vertical="center"/>
    </xf>
    <xf numFmtId="0" fontId="14" fillId="7" borderId="21" xfId="0" applyFont="1" applyFill="1" applyBorder="1" applyAlignment="1">
      <alignment horizontal="center" vertical="center"/>
    </xf>
    <xf numFmtId="0" fontId="14" fillId="2" borderId="7" xfId="0" applyFont="1" applyFill="1" applyBorder="1" applyAlignment="1">
      <alignment horizontal="center" vertical="center"/>
    </xf>
    <xf numFmtId="0" fontId="14" fillId="2" borderId="20" xfId="0" applyFont="1" applyFill="1" applyBorder="1" applyAlignment="1">
      <alignment horizontal="center" vertical="center"/>
    </xf>
    <xf numFmtId="0" fontId="14" fillId="2" borderId="21" xfId="0" applyFont="1" applyFill="1" applyBorder="1" applyAlignment="1">
      <alignment horizontal="center" vertical="center"/>
    </xf>
    <xf numFmtId="0" fontId="14" fillId="0" borderId="7"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164" fontId="15" fillId="11" borderId="31" xfId="0" applyNumberFormat="1" applyFont="1" applyFill="1" applyBorder="1" applyAlignment="1">
      <alignment horizontal="center" vertical="center"/>
    </xf>
    <xf numFmtId="0" fontId="18" fillId="4" borderId="34" xfId="0" applyFont="1" applyFill="1" applyBorder="1" applyAlignment="1">
      <alignment horizontal="center" vertical="center"/>
    </xf>
    <xf numFmtId="0" fontId="18" fillId="4" borderId="4" xfId="0" applyFont="1" applyFill="1" applyBorder="1" applyAlignment="1">
      <alignment horizontal="center" vertical="center"/>
    </xf>
    <xf numFmtId="0" fontId="18" fillId="4" borderId="35" xfId="0" applyFont="1" applyFill="1" applyBorder="1" applyAlignment="1">
      <alignment horizontal="center" vertical="center"/>
    </xf>
    <xf numFmtId="0" fontId="18" fillId="4" borderId="36" xfId="0" applyFont="1" applyFill="1" applyBorder="1" applyAlignment="1">
      <alignment horizontal="center" vertical="center"/>
    </xf>
    <xf numFmtId="0" fontId="18" fillId="4" borderId="37" xfId="0" applyFont="1" applyFill="1" applyBorder="1" applyAlignment="1">
      <alignment horizontal="center" vertical="center"/>
    </xf>
    <xf numFmtId="0" fontId="18" fillId="4" borderId="38" xfId="0" applyFont="1" applyFill="1" applyBorder="1" applyAlignment="1">
      <alignment horizontal="center" vertical="center"/>
    </xf>
    <xf numFmtId="166" fontId="15" fillId="11" borderId="0" xfId="0" applyNumberFormat="1" applyFont="1" applyFill="1" applyAlignment="1">
      <alignment horizontal="center" vertical="center"/>
    </xf>
    <xf numFmtId="49" fontId="15" fillId="8" borderId="9" xfId="0" applyNumberFormat="1" applyFont="1" applyFill="1" applyBorder="1" applyAlignment="1">
      <alignment horizontal="left" vertical="center"/>
    </xf>
    <xf numFmtId="49" fontId="15" fillId="8" borderId="49" xfId="0" applyNumberFormat="1" applyFont="1" applyFill="1" applyBorder="1" applyAlignment="1">
      <alignment horizontal="left" vertical="center"/>
    </xf>
    <xf numFmtId="0" fontId="14" fillId="0" borderId="64" xfId="0" applyFont="1" applyBorder="1" applyAlignment="1">
      <alignment horizontal="center" vertical="center"/>
    </xf>
    <xf numFmtId="0" fontId="14" fillId="0" borderId="70" xfId="0" applyFont="1" applyBorder="1" applyAlignment="1">
      <alignment horizontal="center" vertical="center"/>
    </xf>
    <xf numFmtId="0" fontId="14" fillId="0" borderId="62" xfId="0" applyFont="1" applyBorder="1" applyAlignment="1">
      <alignment horizontal="center" vertical="center"/>
    </xf>
    <xf numFmtId="0" fontId="14" fillId="0" borderId="65" xfId="0" applyFont="1" applyBorder="1" applyAlignment="1">
      <alignment horizontal="center" vertical="center"/>
    </xf>
    <xf numFmtId="0" fontId="14" fillId="0" borderId="69" xfId="0" applyFont="1" applyBorder="1" applyAlignment="1">
      <alignment horizontal="center" vertical="center"/>
    </xf>
    <xf numFmtId="0" fontId="14" fillId="0" borderId="63" xfId="0" applyFont="1" applyBorder="1" applyAlignment="1">
      <alignment horizontal="center" vertical="center"/>
    </xf>
    <xf numFmtId="49" fontId="15" fillId="8" borderId="17" xfId="0" applyNumberFormat="1" applyFont="1" applyFill="1" applyBorder="1" applyAlignment="1">
      <alignment horizontal="left" vertical="center"/>
    </xf>
    <xf numFmtId="0" fontId="22" fillId="0" borderId="73" xfId="0" applyFont="1" applyBorder="1" applyAlignment="1">
      <alignment horizontal="center" vertical="center"/>
    </xf>
    <xf numFmtId="0" fontId="22" fillId="0" borderId="72" xfId="0" applyFont="1" applyBorder="1" applyAlignment="1">
      <alignment horizontal="center" vertical="center"/>
    </xf>
    <xf numFmtId="14" fontId="34" fillId="0" borderId="59" xfId="12016" applyNumberFormat="1" applyFont="1" applyFill="1" applyBorder="1" applyAlignment="1">
      <alignment horizontal="center" vertical="center"/>
    </xf>
    <xf numFmtId="14" fontId="34" fillId="0" borderId="58" xfId="12016" applyNumberFormat="1" applyFont="1" applyFill="1" applyBorder="1" applyAlignment="1">
      <alignment horizontal="center" vertical="center"/>
    </xf>
    <xf numFmtId="49" fontId="14" fillId="6" borderId="26" xfId="0" applyNumberFormat="1" applyFont="1" applyFill="1" applyBorder="1" applyAlignment="1">
      <alignment horizontal="center" vertical="center"/>
    </xf>
    <xf numFmtId="49" fontId="14" fillId="6" borderId="43" xfId="0" applyNumberFormat="1" applyFont="1" applyFill="1" applyBorder="1" applyAlignment="1">
      <alignment horizontal="center" vertical="center"/>
    </xf>
    <xf numFmtId="49" fontId="14" fillId="6" borderId="51" xfId="0" applyNumberFormat="1" applyFont="1" applyFill="1" applyBorder="1" applyAlignment="1">
      <alignment horizontal="center" vertical="center"/>
    </xf>
    <xf numFmtId="49" fontId="14" fillId="6" borderId="16" xfId="0" applyNumberFormat="1" applyFont="1" applyFill="1" applyBorder="1" applyAlignment="1">
      <alignment horizontal="center" vertical="center"/>
    </xf>
    <xf numFmtId="49" fontId="14" fillId="6" borderId="17" xfId="0" applyNumberFormat="1" applyFont="1" applyFill="1" applyBorder="1" applyAlignment="1">
      <alignment horizontal="center" vertical="center"/>
    </xf>
    <xf numFmtId="0" fontId="26" fillId="2" borderId="73" xfId="0" applyFont="1" applyFill="1" applyBorder="1" applyAlignment="1">
      <alignment horizontal="center" vertical="center"/>
    </xf>
    <xf numFmtId="0" fontId="26" fillId="0" borderId="73" xfId="0" applyFont="1" applyBorder="1" applyAlignment="1">
      <alignment horizontal="center" vertical="center"/>
    </xf>
    <xf numFmtId="0" fontId="26" fillId="0" borderId="35" xfId="0" applyFont="1" applyBorder="1" applyAlignment="1">
      <alignment horizontal="center" vertical="center"/>
    </xf>
    <xf numFmtId="0" fontId="14" fillId="6" borderId="40" xfId="0" applyFont="1" applyFill="1" applyBorder="1" applyAlignment="1">
      <alignment horizontal="center"/>
    </xf>
    <xf numFmtId="0" fontId="14" fillId="6" borderId="48" xfId="0" applyFont="1" applyFill="1" applyBorder="1" applyAlignment="1">
      <alignment horizontal="center"/>
    </xf>
    <xf numFmtId="0" fontId="14" fillId="6" borderId="0" xfId="0" applyFont="1" applyFill="1" applyAlignment="1">
      <alignment horizontal="center"/>
    </xf>
    <xf numFmtId="0" fontId="14" fillId="6" borderId="76" xfId="0" applyFont="1" applyFill="1" applyBorder="1" applyAlignment="1">
      <alignment horizontal="center"/>
    </xf>
    <xf numFmtId="9" fontId="14" fillId="6" borderId="20" xfId="0" applyNumberFormat="1" applyFont="1" applyFill="1" applyBorder="1" applyAlignment="1">
      <alignment horizontal="center" vertical="center"/>
    </xf>
    <xf numFmtId="9" fontId="14" fillId="6" borderId="7" xfId="0" applyNumberFormat="1" applyFont="1" applyFill="1" applyBorder="1" applyAlignment="1">
      <alignment horizontal="center" vertical="center"/>
    </xf>
    <xf numFmtId="0" fontId="14" fillId="6" borderId="40" xfId="0" applyFont="1" applyFill="1" applyBorder="1" applyAlignment="1">
      <alignment horizontal="center" vertical="center"/>
    </xf>
    <xf numFmtId="0" fontId="14" fillId="6" borderId="0" xfId="0" applyFont="1" applyFill="1" applyAlignment="1">
      <alignment horizontal="center" vertical="center"/>
    </xf>
    <xf numFmtId="0" fontId="14" fillId="6" borderId="18" xfId="0" applyFont="1" applyFill="1" applyBorder="1" applyAlignment="1">
      <alignment horizontal="center" vertical="center"/>
    </xf>
    <xf numFmtId="0" fontId="22" fillId="0" borderId="74" xfId="0" applyFont="1" applyBorder="1" applyAlignment="1">
      <alignment horizontal="center" vertical="center"/>
    </xf>
    <xf numFmtId="0" fontId="0" fillId="0" borderId="0" xfId="0"/>
    <xf numFmtId="0" fontId="14" fillId="0" borderId="0" xfId="0" applyFont="1"/>
    <xf numFmtId="0" fontId="14" fillId="0" borderId="0" xfId="0" applyFont="1" applyAlignment="1">
      <alignment vertical="center"/>
    </xf>
    <xf numFmtId="49" fontId="14" fillId="4" borderId="3" xfId="0" applyNumberFormat="1" applyFont="1" applyFill="1" applyBorder="1" applyAlignment="1">
      <alignment horizontal="center" vertical="center"/>
    </xf>
    <xf numFmtId="0" fontId="14" fillId="0" borderId="0" xfId="0" applyFont="1" applyAlignment="1">
      <alignment horizontal="center" vertical="center"/>
    </xf>
    <xf numFmtId="49" fontId="14" fillId="4" borderId="1" xfId="0" applyNumberFormat="1" applyFont="1" applyFill="1" applyBorder="1"/>
    <xf numFmtId="0" fontId="14" fillId="0" borderId="5" xfId="0" applyFont="1" applyBorder="1" applyAlignment="1">
      <alignment horizontal="center"/>
    </xf>
    <xf numFmtId="0" fontId="14" fillId="4" borderId="3" xfId="0" applyFont="1" applyFill="1" applyBorder="1" applyAlignment="1">
      <alignment horizontal="center" vertical="center"/>
    </xf>
    <xf numFmtId="0" fontId="14" fillId="0" borderId="0" xfId="0" applyFont="1" applyAlignment="1">
      <alignment horizontal="left"/>
    </xf>
    <xf numFmtId="49" fontId="14" fillId="4" borderId="15" xfId="0" applyNumberFormat="1" applyFont="1" applyFill="1" applyBorder="1" applyAlignment="1">
      <alignment horizontal="center" vertical="center"/>
    </xf>
    <xf numFmtId="0" fontId="14" fillId="0" borderId="17" xfId="0" applyFont="1" applyBorder="1" applyAlignment="1">
      <alignment horizontal="left"/>
    </xf>
    <xf numFmtId="0" fontId="14" fillId="0" borderId="18" xfId="0" applyFont="1" applyBorder="1" applyAlignment="1">
      <alignment horizontal="left"/>
    </xf>
    <xf numFmtId="0" fontId="14" fillId="4" borderId="7" xfId="0" applyFont="1" applyFill="1" applyBorder="1" applyAlignment="1">
      <alignment horizontal="center" vertical="center"/>
    </xf>
    <xf numFmtId="0" fontId="17" fillId="11" borderId="33" xfId="0" applyFont="1" applyFill="1" applyBorder="1" applyAlignment="1">
      <alignment vertical="center" wrapText="1"/>
    </xf>
    <xf numFmtId="0" fontId="17" fillId="11" borderId="32" xfId="0" applyFont="1" applyFill="1" applyBorder="1" applyAlignment="1">
      <alignment vertical="center"/>
    </xf>
    <xf numFmtId="0" fontId="20" fillId="11" borderId="0" xfId="0" applyFont="1" applyFill="1" applyAlignment="1">
      <alignment horizontal="center" vertical="center"/>
    </xf>
    <xf numFmtId="0" fontId="20" fillId="11" borderId="8" xfId="0" applyFont="1" applyFill="1" applyBorder="1" applyAlignment="1">
      <alignment horizontal="center" vertical="center" wrapText="1"/>
    </xf>
    <xf numFmtId="164" fontId="20" fillId="11" borderId="71" xfId="0" applyNumberFormat="1" applyFont="1" applyFill="1" applyBorder="1" applyAlignment="1">
      <alignment horizontal="center" vertical="center"/>
    </xf>
    <xf numFmtId="164" fontId="20" fillId="11" borderId="71" xfId="0" applyNumberFormat="1" applyFont="1" applyFill="1" applyBorder="1" applyAlignment="1">
      <alignment horizontal="center" vertical="center" wrapText="1"/>
    </xf>
    <xf numFmtId="49" fontId="14" fillId="4" borderId="39" xfId="0" applyNumberFormat="1" applyFont="1" applyFill="1" applyBorder="1"/>
    <xf numFmtId="49" fontId="14" fillId="4" borderId="39" xfId="0" applyNumberFormat="1" applyFont="1" applyFill="1" applyBorder="1" applyAlignment="1">
      <alignment horizontal="center" vertical="center"/>
    </xf>
    <xf numFmtId="49" fontId="14" fillId="4" borderId="41" xfId="0" applyNumberFormat="1" applyFont="1" applyFill="1" applyBorder="1" applyAlignment="1">
      <alignment horizontal="center" vertical="center"/>
    </xf>
    <xf numFmtId="49" fontId="14" fillId="4" borderId="25" xfId="0" applyNumberFormat="1" applyFont="1" applyFill="1" applyBorder="1" applyAlignment="1">
      <alignment horizontal="center" vertical="center"/>
    </xf>
    <xf numFmtId="0" fontId="22" fillId="0" borderId="0" xfId="0" applyFont="1" applyAlignment="1">
      <alignment vertical="center"/>
    </xf>
    <xf numFmtId="0" fontId="14" fillId="4" borderId="41" xfId="0" applyFont="1" applyFill="1" applyBorder="1" applyAlignment="1">
      <alignment horizontal="center" vertical="center"/>
    </xf>
    <xf numFmtId="0" fontId="14" fillId="0" borderId="40" xfId="0" applyFont="1" applyBorder="1"/>
    <xf numFmtId="0" fontId="14" fillId="0" borderId="40" xfId="0" applyFont="1" applyBorder="1" applyAlignment="1">
      <alignment horizontal="center"/>
    </xf>
    <xf numFmtId="49" fontId="14" fillId="0" borderId="0" xfId="0" applyNumberFormat="1" applyFont="1" applyAlignment="1">
      <alignment horizontal="center"/>
    </xf>
    <xf numFmtId="0" fontId="14" fillId="0" borderId="0" xfId="0" applyFont="1" applyAlignment="1">
      <alignment horizontal="center"/>
    </xf>
    <xf numFmtId="0" fontId="14" fillId="0" borderId="0" xfId="0" applyFont="1" applyAlignment="1">
      <alignment horizontal="center" vertical="center" wrapText="1"/>
    </xf>
    <xf numFmtId="0" fontId="15" fillId="0" borderId="0" xfId="0" applyFont="1" applyAlignment="1">
      <alignment vertical="center"/>
    </xf>
    <xf numFmtId="0" fontId="15" fillId="11" borderId="8" xfId="0" applyFont="1" applyFill="1" applyBorder="1" applyAlignment="1">
      <alignment horizontal="center" vertical="center" wrapText="1"/>
    </xf>
    <xf numFmtId="0" fontId="15" fillId="11" borderId="8" xfId="0" applyFont="1" applyFill="1" applyBorder="1" applyAlignment="1">
      <alignment horizontal="left" vertical="center" wrapText="1"/>
    </xf>
    <xf numFmtId="0" fontId="17" fillId="11" borderId="30" xfId="0" applyFont="1" applyFill="1" applyBorder="1" applyAlignment="1">
      <alignment vertical="center"/>
    </xf>
    <xf numFmtId="0" fontId="20" fillId="11" borderId="31" xfId="0" applyFont="1" applyFill="1" applyBorder="1" applyAlignment="1">
      <alignment horizontal="center" vertical="center"/>
    </xf>
    <xf numFmtId="164" fontId="20" fillId="11" borderId="44" xfId="0" applyNumberFormat="1" applyFont="1" applyFill="1" applyBorder="1" applyAlignment="1">
      <alignment horizontal="center" vertical="center"/>
    </xf>
    <xf numFmtId="0" fontId="14" fillId="13" borderId="48" xfId="0" applyFont="1" applyFill="1" applyBorder="1"/>
    <xf numFmtId="0" fontId="14" fillId="13" borderId="60" xfId="0" applyFont="1" applyFill="1" applyBorder="1"/>
    <xf numFmtId="0" fontId="14" fillId="13" borderId="18" xfId="0" applyFont="1" applyFill="1" applyBorder="1"/>
    <xf numFmtId="0" fontId="14" fillId="0" borderId="16" xfId="0" applyFont="1" applyBorder="1"/>
    <xf numFmtId="0" fontId="14" fillId="4" borderId="5" xfId="0" applyFont="1" applyFill="1" applyBorder="1" applyAlignment="1">
      <alignment horizontal="center"/>
    </xf>
    <xf numFmtId="49" fontId="14" fillId="4" borderId="10" xfId="0" applyNumberFormat="1" applyFont="1" applyFill="1" applyBorder="1"/>
    <xf numFmtId="49" fontId="14" fillId="4" borderId="7" xfId="0" applyNumberFormat="1" applyFont="1" applyFill="1" applyBorder="1" applyAlignment="1">
      <alignment horizontal="center" vertical="center"/>
    </xf>
    <xf numFmtId="49" fontId="14" fillId="4" borderId="14" xfId="0" applyNumberFormat="1" applyFont="1" applyFill="1" applyBorder="1" applyAlignment="1">
      <alignment horizontal="center" vertical="center"/>
    </xf>
    <xf numFmtId="0" fontId="14" fillId="0" borderId="6" xfId="0" applyFont="1" applyBorder="1" applyAlignment="1">
      <alignment horizontal="center"/>
    </xf>
    <xf numFmtId="0" fontId="14" fillId="4" borderId="19" xfId="0" applyFont="1" applyFill="1" applyBorder="1" applyAlignment="1">
      <alignment horizontal="center"/>
    </xf>
    <xf numFmtId="0" fontId="14" fillId="4" borderId="6" xfId="0" applyFont="1" applyFill="1" applyBorder="1" applyAlignment="1">
      <alignment horizontal="center"/>
    </xf>
    <xf numFmtId="0" fontId="14" fillId="0" borderId="52" xfId="0" applyFont="1" applyBorder="1"/>
    <xf numFmtId="0" fontId="14" fillId="13" borderId="0" xfId="0" applyFont="1" applyFill="1"/>
    <xf numFmtId="0" fontId="25" fillId="13" borderId="18" xfId="0" applyFont="1" applyFill="1" applyBorder="1" applyAlignment="1">
      <alignment horizontal="center"/>
    </xf>
    <xf numFmtId="0" fontId="25" fillId="13" borderId="0" xfId="0" applyFont="1" applyFill="1" applyAlignment="1">
      <alignment horizontal="center"/>
    </xf>
    <xf numFmtId="0" fontId="25" fillId="13" borderId="23" xfId="0" applyFont="1" applyFill="1" applyBorder="1" applyAlignment="1">
      <alignment horizontal="center"/>
    </xf>
    <xf numFmtId="0" fontId="14" fillId="13" borderId="23" xfId="0" applyFont="1" applyFill="1" applyBorder="1"/>
    <xf numFmtId="0" fontId="14" fillId="13" borderId="75" xfId="0" applyFont="1" applyFill="1" applyBorder="1" applyAlignment="1">
      <alignment horizontal="center"/>
    </xf>
    <xf numFmtId="0" fontId="14" fillId="13" borderId="75" xfId="0" applyFont="1" applyFill="1" applyBorder="1"/>
    <xf numFmtId="0" fontId="14" fillId="13" borderId="0" xfId="0" applyFont="1" applyFill="1" applyAlignment="1">
      <alignment horizontal="center"/>
    </xf>
    <xf numFmtId="0" fontId="14" fillId="13" borderId="48" xfId="0" applyFont="1" applyFill="1" applyBorder="1" applyAlignment="1">
      <alignment horizontal="center"/>
    </xf>
    <xf numFmtId="0" fontId="14" fillId="13" borderId="60" xfId="0" applyFont="1" applyFill="1" applyBorder="1" applyAlignment="1">
      <alignment horizontal="center"/>
    </xf>
    <xf numFmtId="49" fontId="14" fillId="6" borderId="16" xfId="0" applyNumberFormat="1" applyFont="1" applyFill="1" applyBorder="1" applyAlignment="1">
      <alignment horizontal="center" vertical="center" wrapText="1"/>
    </xf>
    <xf numFmtId="0" fontId="26" fillId="0" borderId="18" xfId="0" applyFont="1" applyBorder="1" applyAlignment="1">
      <alignment horizontal="left" wrapText="1"/>
    </xf>
    <xf numFmtId="0" fontId="31" fillId="0" borderId="58" xfId="0" applyFont="1" applyBorder="1" applyAlignment="1">
      <alignment horizontal="center"/>
    </xf>
    <xf numFmtId="0" fontId="31" fillId="0" borderId="59" xfId="0" applyFont="1" applyBorder="1"/>
    <xf numFmtId="0" fontId="14" fillId="14" borderId="0" xfId="0" applyFont="1" applyFill="1"/>
    <xf numFmtId="0" fontId="14" fillId="14" borderId="0" xfId="0" applyFont="1" applyFill="1" applyAlignment="1">
      <alignment horizontal="center"/>
    </xf>
    <xf numFmtId="9" fontId="14" fillId="14" borderId="0" xfId="0" applyNumberFormat="1" applyFont="1" applyFill="1" applyAlignment="1">
      <alignment horizontal="center"/>
    </xf>
    <xf numFmtId="0" fontId="29" fillId="14" borderId="16" xfId="0" applyFont="1" applyFill="1" applyBorder="1" applyAlignment="1">
      <alignment horizontal="right" vertical="center"/>
    </xf>
    <xf numFmtId="0" fontId="30" fillId="6" borderId="57" xfId="0" applyFont="1" applyFill="1" applyBorder="1" applyAlignment="1">
      <alignment horizontal="center"/>
    </xf>
    <xf numFmtId="49" fontId="14" fillId="6" borderId="16" xfId="0" applyNumberFormat="1" applyFont="1" applyFill="1" applyBorder="1" applyAlignment="1">
      <alignment horizontal="center" vertical="center"/>
    </xf>
    <xf numFmtId="0" fontId="28" fillId="14" borderId="16" xfId="0" applyFont="1" applyFill="1" applyBorder="1" applyAlignment="1">
      <alignment horizontal="left" vertical="center" wrapText="1"/>
    </xf>
    <xf numFmtId="0" fontId="14" fillId="14" borderId="0" xfId="0" applyFont="1" applyFill="1" applyAlignment="1">
      <alignment horizontal="center" wrapText="1"/>
    </xf>
    <xf numFmtId="0" fontId="30" fillId="6" borderId="57" xfId="0" applyFont="1" applyFill="1" applyBorder="1" applyAlignment="1">
      <alignment horizontal="center" wrapText="1"/>
    </xf>
    <xf numFmtId="49" fontId="14" fillId="6" borderId="42" xfId="0" applyNumberFormat="1" applyFont="1" applyFill="1" applyBorder="1" applyAlignment="1">
      <alignment horizontal="center" vertical="center" wrapText="1"/>
    </xf>
    <xf numFmtId="49" fontId="14" fillId="4" borderId="1" xfId="0" applyNumberFormat="1" applyFont="1" applyFill="1" applyBorder="1" applyAlignment="1">
      <alignment wrapText="1"/>
    </xf>
    <xf numFmtId="0" fontId="14" fillId="4" borderId="1" xfId="0" applyFont="1" applyFill="1" applyBorder="1" applyAlignment="1">
      <alignment wrapText="1"/>
    </xf>
    <xf numFmtId="0" fontId="14" fillId="4" borderId="39" xfId="0" applyFont="1" applyFill="1" applyBorder="1" applyAlignment="1">
      <alignment wrapText="1"/>
    </xf>
    <xf numFmtId="0" fontId="14" fillId="4" borderId="10" xfId="0" applyFont="1" applyFill="1" applyBorder="1" applyAlignment="1">
      <alignment wrapText="1"/>
    </xf>
    <xf numFmtId="0" fontId="14" fillId="0" borderId="0" xfId="0" applyFont="1" applyAlignment="1">
      <alignment wrapText="1"/>
    </xf>
    <xf numFmtId="0" fontId="38" fillId="0" borderId="58" xfId="12016" applyFont="1" applyFill="1" applyBorder="1" applyAlignment="1">
      <alignment horizontal="center" vertical="center"/>
    </xf>
    <xf numFmtId="0" fontId="38" fillId="0" borderId="58" xfId="12016" applyFont="1" applyFill="1" applyBorder="1" applyAlignment="1">
      <alignment horizontal="center" vertical="center" wrapText="1"/>
    </xf>
    <xf numFmtId="0" fontId="38" fillId="0" borderId="59" xfId="12016" applyFont="1" applyFill="1" applyBorder="1" applyAlignment="1">
      <alignment horizontal="center" vertical="center"/>
    </xf>
    <xf numFmtId="0" fontId="38" fillId="0" borderId="59" xfId="12016" applyFont="1" applyFill="1" applyBorder="1" applyAlignment="1">
      <alignment horizontal="center" vertical="center" wrapText="1"/>
    </xf>
    <xf numFmtId="0" fontId="14" fillId="6" borderId="3" xfId="0" applyFont="1" applyFill="1" applyBorder="1" applyAlignment="1">
      <alignment horizontal="center" vertical="center"/>
    </xf>
    <xf numFmtId="0" fontId="14" fillId="6" borderId="1" xfId="0" applyFont="1" applyFill="1" applyBorder="1" applyAlignment="1">
      <alignment horizontal="center"/>
    </xf>
    <xf numFmtId="0" fontId="14" fillId="6" borderId="5" xfId="0" applyFont="1" applyFill="1" applyBorder="1"/>
    <xf numFmtId="0" fontId="14" fillId="6" borderId="7" xfId="0" applyFont="1" applyFill="1" applyBorder="1" applyAlignment="1">
      <alignment horizontal="center" vertical="center"/>
    </xf>
    <xf numFmtId="0" fontId="14" fillId="6" borderId="10" xfId="0" applyFont="1" applyFill="1" applyBorder="1" applyAlignment="1">
      <alignment horizontal="center" vertical="center"/>
    </xf>
    <xf numFmtId="0" fontId="14" fillId="6" borderId="6" xfId="0" applyFont="1" applyFill="1" applyBorder="1" applyAlignment="1">
      <alignment vertical="center"/>
    </xf>
    <xf numFmtId="0" fontId="14" fillId="14" borderId="16" xfId="0" applyFont="1" applyFill="1" applyBorder="1"/>
    <xf numFmtId="0" fontId="32" fillId="14" borderId="16" xfId="0" applyFont="1" applyFill="1" applyBorder="1" applyAlignment="1">
      <alignment horizontal="right" vertical="center"/>
    </xf>
    <xf numFmtId="49" fontId="15" fillId="6" borderId="53" xfId="0" applyNumberFormat="1" applyFont="1" applyFill="1" applyBorder="1" applyAlignment="1">
      <alignment horizontal="left" vertical="center"/>
    </xf>
    <xf numFmtId="49" fontId="14" fillId="6" borderId="55" xfId="0" applyNumberFormat="1" applyFont="1" applyFill="1" applyBorder="1" applyAlignment="1">
      <alignment horizontal="center" vertical="center" wrapText="1" shrinkToFit="1"/>
    </xf>
    <xf numFmtId="49" fontId="14" fillId="6" borderId="42" xfId="0" applyNumberFormat="1" applyFont="1" applyFill="1" applyBorder="1" applyAlignment="1">
      <alignment horizontal="center" vertical="center" wrapText="1" shrinkToFit="1"/>
    </xf>
    <xf numFmtId="49" fontId="14" fillId="6" borderId="43" xfId="0" applyNumberFormat="1" applyFont="1" applyFill="1" applyBorder="1" applyAlignment="1">
      <alignment horizontal="center" vertical="center" wrapText="1" shrinkToFit="1"/>
    </xf>
    <xf numFmtId="49" fontId="14" fillId="6" borderId="56" xfId="0" applyNumberFormat="1" applyFont="1" applyFill="1" applyBorder="1" applyAlignment="1">
      <alignment horizontal="center" vertical="center" wrapText="1" shrinkToFit="1"/>
    </xf>
    <xf numFmtId="49" fontId="21" fillId="6" borderId="31" xfId="0" applyNumberFormat="1" applyFont="1" applyFill="1" applyBorder="1" applyAlignment="1">
      <alignment horizontal="center" vertical="center" shrinkToFit="1"/>
    </xf>
    <xf numFmtId="0" fontId="24" fillId="7" borderId="68" xfId="0" applyFont="1" applyFill="1" applyBorder="1" applyAlignment="1">
      <alignment horizontal="center" vertical="center"/>
    </xf>
    <xf numFmtId="0" fontId="24" fillId="13" borderId="67" xfId="0" applyFont="1" applyFill="1" applyBorder="1" applyAlignment="1">
      <alignment horizontal="center" vertical="center"/>
    </xf>
    <xf numFmtId="0" fontId="24" fillId="15" borderId="68" xfId="0" applyFont="1" applyFill="1" applyBorder="1" applyAlignment="1">
      <alignment horizontal="center" vertical="center"/>
    </xf>
    <xf numFmtId="0" fontId="24" fillId="2" borderId="68" xfId="0" applyFont="1" applyFill="1" applyBorder="1" applyAlignment="1">
      <alignment horizontal="center" vertical="center"/>
    </xf>
    <xf numFmtId="0" fontId="24" fillId="5" borderId="68" xfId="0" applyFont="1" applyFill="1" applyBorder="1" applyAlignment="1">
      <alignment horizontal="center" vertical="center"/>
    </xf>
    <xf numFmtId="0" fontId="24" fillId="10" borderId="61" xfId="0" applyFont="1" applyFill="1" applyBorder="1" applyAlignment="1">
      <alignment horizontal="center" vertical="center"/>
    </xf>
    <xf numFmtId="0" fontId="24" fillId="13" borderId="66" xfId="0" applyFont="1" applyFill="1" applyBorder="1" applyAlignment="1">
      <alignment horizontal="center" vertical="center"/>
    </xf>
    <xf numFmtId="0" fontId="14" fillId="2" borderId="0" xfId="0" applyFont="1" applyFill="1"/>
    <xf numFmtId="49" fontId="14" fillId="0" borderId="3" xfId="0" applyNumberFormat="1" applyFont="1" applyBorder="1" applyAlignment="1">
      <alignment wrapText="1"/>
    </xf>
    <xf numFmtId="0" fontId="0" fillId="0" borderId="3" xfId="0" applyBorder="1" applyAlignment="1">
      <alignment horizontal="left" vertical="top" wrapText="1"/>
    </xf>
    <xf numFmtId="0" fontId="37" fillId="16" borderId="3" xfId="0" applyFont="1" applyFill="1" applyBorder="1" applyAlignment="1">
      <alignment horizontal="left" vertical="top" wrapText="1"/>
    </xf>
    <xf numFmtId="0" fontId="16" fillId="0" borderId="3" xfId="0" applyFont="1" applyBorder="1" applyAlignment="1">
      <alignment vertical="top" wrapText="1"/>
    </xf>
    <xf numFmtId="0" fontId="16" fillId="0" borderId="54" xfId="0" applyFont="1" applyBorder="1" applyAlignment="1">
      <alignment vertical="top" wrapText="1"/>
    </xf>
    <xf numFmtId="0" fontId="0" fillId="4" borderId="3" xfId="0" applyFill="1" applyBorder="1" applyAlignment="1">
      <alignment horizontal="left" vertical="top" wrapText="1"/>
    </xf>
    <xf numFmtId="0" fontId="38" fillId="0" borderId="0" xfId="12016" applyFont="1" applyFill="1" applyBorder="1" applyAlignment="1">
      <alignment horizontal="center" vertical="center"/>
    </xf>
    <xf numFmtId="0" fontId="38" fillId="0" borderId="0" xfId="12016" applyFont="1" applyFill="1" applyBorder="1" applyAlignment="1">
      <alignment horizontal="center" vertical="center" wrapText="1"/>
    </xf>
    <xf numFmtId="14" fontId="34" fillId="0" borderId="0" xfId="12016" applyNumberFormat="1" applyFont="1" applyFill="1" applyBorder="1" applyAlignment="1">
      <alignment horizontal="center" vertical="center"/>
    </xf>
    <xf numFmtId="0" fontId="31" fillId="0" borderId="0" xfId="0" applyFont="1"/>
    <xf numFmtId="0" fontId="14" fillId="0" borderId="75" xfId="0" applyFont="1" applyBorder="1" applyAlignment="1">
      <alignment horizontal="center" vertical="center"/>
    </xf>
    <xf numFmtId="0" fontId="14" fillId="9" borderId="0" xfId="0" applyFont="1" applyFill="1" applyAlignment="1">
      <alignment horizontal="center" vertical="center"/>
    </xf>
    <xf numFmtId="0" fontId="14" fillId="7" borderId="0" xfId="0" applyFont="1" applyFill="1" applyAlignment="1">
      <alignment horizontal="center" vertical="center"/>
    </xf>
    <xf numFmtId="0" fontId="14" fillId="2" borderId="0" xfId="0" applyFont="1" applyFill="1" applyAlignment="1">
      <alignment horizontal="center" vertical="center"/>
    </xf>
    <xf numFmtId="0" fontId="14" fillId="5" borderId="0" xfId="0" applyFont="1" applyFill="1" applyAlignment="1">
      <alignment horizontal="center" vertical="center"/>
    </xf>
    <xf numFmtId="0" fontId="14" fillId="10" borderId="40" xfId="0" applyFont="1" applyFill="1" applyBorder="1" applyAlignment="1">
      <alignment horizontal="center" vertical="center"/>
    </xf>
    <xf numFmtId="0" fontId="18" fillId="4" borderId="0" xfId="0" applyFont="1" applyFill="1" applyAlignment="1">
      <alignment horizontal="center" vertical="center"/>
    </xf>
    <xf numFmtId="0" fontId="14" fillId="0" borderId="60" xfId="0" applyFont="1" applyBorder="1" applyAlignment="1">
      <alignment horizontal="center" vertical="center"/>
    </xf>
    <xf numFmtId="0" fontId="14" fillId="0" borderId="48" xfId="0" applyFont="1" applyBorder="1" applyAlignment="1">
      <alignment horizontal="center" vertical="center"/>
    </xf>
  </cellXfs>
  <cellStyles count="23959">
    <cellStyle name="Hyperlink 2" xfId="6" xr:uid="{00000000-0005-0000-0000-000000000000}"/>
    <cellStyle name="Link" xfId="12016" builtinId="8"/>
    <cellStyle name="Normal 2" xfId="7" xr:uid="{00000000-0005-0000-0000-000002000000}"/>
    <cellStyle name="Normal 3" xfId="8" xr:uid="{00000000-0005-0000-0000-000003000000}"/>
    <cellStyle name="Normal 4" xfId="12009" xr:uid="{00000000-0005-0000-0000-000004000000}"/>
    <cellStyle name="Normal 4 2" xfId="23953" xr:uid="{2B209C25-D064-41C3-ACA7-24E6F7DC97CB}"/>
    <cellStyle name="Normal 5" xfId="12012" xr:uid="{00000000-0005-0000-0000-000005000000}"/>
    <cellStyle name="Normal 5 2" xfId="23954" xr:uid="{1EEA5C71-6359-4B82-9DAE-9E4F17B3253A}"/>
    <cellStyle name="Normal 6" xfId="12014" xr:uid="{00000000-0005-0000-0000-000006000000}"/>
    <cellStyle name="Normal 6 2" xfId="23956" xr:uid="{A7067967-E812-4F98-9652-487059C689CA}"/>
    <cellStyle name="Note 2" xfId="9" xr:uid="{00000000-0005-0000-0000-000007000000}"/>
    <cellStyle name="Notiz 2" xfId="10" xr:uid="{00000000-0005-0000-0000-000008000000}"/>
    <cellStyle name="Notiz 2 2" xfId="12019" xr:uid="{80F6E475-DAB2-480A-97F7-9E1B05A67410}"/>
    <cellStyle name="Percent 2" xfId="12013" xr:uid="{00000000-0005-0000-0000-000009000000}"/>
    <cellStyle name="Percent 2 2" xfId="23955" xr:uid="{9476BAF7-9053-4316-B554-FDC53AE9EE81}"/>
    <cellStyle name="Percent 3" xfId="12015" xr:uid="{00000000-0005-0000-0000-00000A000000}"/>
    <cellStyle name="Percent 3 2" xfId="23957" xr:uid="{936B62DE-00F5-44C6-BE9B-053EE47F0A36}"/>
    <cellStyle name="Standard" xfId="0" builtinId="0"/>
    <cellStyle name="Standard 10" xfId="5" xr:uid="{00000000-0005-0000-0000-00000C000000}"/>
    <cellStyle name="Standard 10 10" xfId="11" xr:uid="{00000000-0005-0000-0000-00000D000000}"/>
    <cellStyle name="Standard 10 10 2" xfId="12020" xr:uid="{C177C262-C013-439C-91AA-CD954A7E4440}"/>
    <cellStyle name="Standard 10 11" xfId="12018" xr:uid="{C81E9294-5236-4D7D-AED4-3372E63458C8}"/>
    <cellStyle name="Standard 10 2" xfId="12" xr:uid="{00000000-0005-0000-0000-00000E000000}"/>
    <cellStyle name="Standard 10 2 10" xfId="12021" xr:uid="{757F1539-1C8C-4B9D-9F8E-9700897CEBEB}"/>
    <cellStyle name="Standard 10 2 2" xfId="13" xr:uid="{00000000-0005-0000-0000-00000F000000}"/>
    <cellStyle name="Standard 10 2 2 2" xfId="14" xr:uid="{00000000-0005-0000-0000-000010000000}"/>
    <cellStyle name="Standard 10 2 2 2 2" xfId="15" xr:uid="{00000000-0005-0000-0000-000011000000}"/>
    <cellStyle name="Standard 10 2 2 2 2 2" xfId="12024" xr:uid="{92085C8C-6FEB-4D2C-AB43-D4FF25C4E3FE}"/>
    <cellStyle name="Standard 10 2 2 2 3" xfId="12023" xr:uid="{09090F16-E196-4AA1-9B5F-9267B2E99713}"/>
    <cellStyle name="Standard 10 2 2 3" xfId="16" xr:uid="{00000000-0005-0000-0000-000012000000}"/>
    <cellStyle name="Standard 10 2 2 3 2" xfId="12025" xr:uid="{802FFE2C-BE0D-4549-820A-81AE0722B4AA}"/>
    <cellStyle name="Standard 10 2 2 4" xfId="12022" xr:uid="{34E08902-2EE7-4769-AD7B-C402C39FBC6A}"/>
    <cellStyle name="Standard 10 2 3" xfId="17" xr:uid="{00000000-0005-0000-0000-000013000000}"/>
    <cellStyle name="Standard 10 2 3 2" xfId="18" xr:uid="{00000000-0005-0000-0000-000014000000}"/>
    <cellStyle name="Standard 10 2 3 2 2" xfId="19" xr:uid="{00000000-0005-0000-0000-000015000000}"/>
    <cellStyle name="Standard 10 2 3 2 2 2" xfId="12028" xr:uid="{AF8B691D-2402-436B-8D84-0BEBEBE78B03}"/>
    <cellStyle name="Standard 10 2 3 2 3" xfId="12027" xr:uid="{072A1E3D-B9EB-44DE-8AB8-06E204EE379A}"/>
    <cellStyle name="Standard 10 2 3 3" xfId="20" xr:uid="{00000000-0005-0000-0000-000016000000}"/>
    <cellStyle name="Standard 10 2 3 3 2" xfId="12029" xr:uid="{59D27949-B8F8-4D05-A86F-69D29191BF3B}"/>
    <cellStyle name="Standard 10 2 3 4" xfId="12026" xr:uid="{B9C0ACE8-8F58-4742-A7BE-C6CBFF1D88A9}"/>
    <cellStyle name="Standard 10 2 4" xfId="21" xr:uid="{00000000-0005-0000-0000-000017000000}"/>
    <cellStyle name="Standard 10 2 4 2" xfId="22" xr:uid="{00000000-0005-0000-0000-000018000000}"/>
    <cellStyle name="Standard 10 2 4 2 2" xfId="23" xr:uid="{00000000-0005-0000-0000-000019000000}"/>
    <cellStyle name="Standard 10 2 4 2 2 2" xfId="12032" xr:uid="{B7F931D9-6FC2-43DE-8ABD-D3CE9E5778EE}"/>
    <cellStyle name="Standard 10 2 4 2 3" xfId="12031" xr:uid="{3FFED8C5-3413-43AC-B3BD-BC51F972D09C}"/>
    <cellStyle name="Standard 10 2 4 3" xfId="24" xr:uid="{00000000-0005-0000-0000-00001A000000}"/>
    <cellStyle name="Standard 10 2 4 3 2" xfId="12033" xr:uid="{426761EE-46A7-4792-B453-A1679AAC44B9}"/>
    <cellStyle name="Standard 10 2 4 4" xfId="12030" xr:uid="{E83311E3-5B6C-422D-8560-D6F0B6CB8DC6}"/>
    <cellStyle name="Standard 10 2 5" xfId="25" xr:uid="{00000000-0005-0000-0000-00001B000000}"/>
    <cellStyle name="Standard 10 2 5 2" xfId="26" xr:uid="{00000000-0005-0000-0000-00001C000000}"/>
    <cellStyle name="Standard 10 2 5 2 2" xfId="27" xr:uid="{00000000-0005-0000-0000-00001D000000}"/>
    <cellStyle name="Standard 10 2 5 2 2 2" xfId="12036" xr:uid="{176BC9EF-CFBF-48CE-B05B-A04F3ECC0A15}"/>
    <cellStyle name="Standard 10 2 5 2 3" xfId="12035" xr:uid="{66D66524-D1EE-4907-8071-4F8A90255A36}"/>
    <cellStyle name="Standard 10 2 5 3" xfId="28" xr:uid="{00000000-0005-0000-0000-00001E000000}"/>
    <cellStyle name="Standard 10 2 5 3 2" xfId="12037" xr:uid="{D97198B2-24C6-483D-9DD7-7F8425F1BBD9}"/>
    <cellStyle name="Standard 10 2 5 4" xfId="12034" xr:uid="{2B0D799F-EE62-4F18-B16C-03527B36D60B}"/>
    <cellStyle name="Standard 10 2 6" xfId="29" xr:uid="{00000000-0005-0000-0000-00001F000000}"/>
    <cellStyle name="Standard 10 2 6 2" xfId="30" xr:uid="{00000000-0005-0000-0000-000020000000}"/>
    <cellStyle name="Standard 10 2 6 2 2" xfId="31" xr:uid="{00000000-0005-0000-0000-000021000000}"/>
    <cellStyle name="Standard 10 2 6 2 2 2" xfId="12040" xr:uid="{C71E437C-3C84-449E-96A0-8FD595C95494}"/>
    <cellStyle name="Standard 10 2 6 2 3" xfId="12039" xr:uid="{99E7E2D6-D356-4337-9DA4-A81FE01A0D67}"/>
    <cellStyle name="Standard 10 2 6 3" xfId="32" xr:uid="{00000000-0005-0000-0000-000022000000}"/>
    <cellStyle name="Standard 10 2 6 3 2" xfId="12041" xr:uid="{D4C167C5-E17E-4ADE-8299-3A0C1153DE79}"/>
    <cellStyle name="Standard 10 2 6 4" xfId="12038" xr:uid="{3D5D8CE4-D37F-44F7-B706-6FFC766A5B0F}"/>
    <cellStyle name="Standard 10 2 7" xfId="33" xr:uid="{00000000-0005-0000-0000-000023000000}"/>
    <cellStyle name="Standard 10 2 7 2" xfId="34" xr:uid="{00000000-0005-0000-0000-000024000000}"/>
    <cellStyle name="Standard 10 2 7 2 2" xfId="35" xr:uid="{00000000-0005-0000-0000-000025000000}"/>
    <cellStyle name="Standard 10 2 7 2 2 2" xfId="12044" xr:uid="{F266B0C7-79DB-43EE-ABF9-0F6382BF21EC}"/>
    <cellStyle name="Standard 10 2 7 2 3" xfId="12043" xr:uid="{303FE6E0-956F-4736-87FD-6714199D5241}"/>
    <cellStyle name="Standard 10 2 7 3" xfId="36" xr:uid="{00000000-0005-0000-0000-000026000000}"/>
    <cellStyle name="Standard 10 2 7 3 2" xfId="12045" xr:uid="{50D067AF-5BC5-4D01-B075-B641C3A8A5CE}"/>
    <cellStyle name="Standard 10 2 7 4" xfId="12042" xr:uid="{4F6A3137-CE7B-48C8-BCB4-51721840E5AE}"/>
    <cellStyle name="Standard 10 2 8" xfId="37" xr:uid="{00000000-0005-0000-0000-000027000000}"/>
    <cellStyle name="Standard 10 2 8 2" xfId="38" xr:uid="{00000000-0005-0000-0000-000028000000}"/>
    <cellStyle name="Standard 10 2 8 2 2" xfId="12047" xr:uid="{F6869D84-A2CC-482B-B06A-A0D7FABFD496}"/>
    <cellStyle name="Standard 10 2 8 3" xfId="12046" xr:uid="{040D414A-CE44-4A36-A2DB-781B2FA79B31}"/>
    <cellStyle name="Standard 10 2 9" xfId="39" xr:uid="{00000000-0005-0000-0000-000029000000}"/>
    <cellStyle name="Standard 10 2 9 2" xfId="12048" xr:uid="{565534D0-9104-482E-A773-C3A9448BB1E5}"/>
    <cellStyle name="Standard 10 3" xfId="40" xr:uid="{00000000-0005-0000-0000-00002A000000}"/>
    <cellStyle name="Standard 10 3 2" xfId="41" xr:uid="{00000000-0005-0000-0000-00002B000000}"/>
    <cellStyle name="Standard 10 3 2 2" xfId="42" xr:uid="{00000000-0005-0000-0000-00002C000000}"/>
    <cellStyle name="Standard 10 3 2 2 2" xfId="12051" xr:uid="{3F070516-AFF9-45D6-9678-8271FDCF7047}"/>
    <cellStyle name="Standard 10 3 2 3" xfId="12050" xr:uid="{5EA70E98-D37D-40C2-B30A-A0FC3BE6091C}"/>
    <cellStyle name="Standard 10 3 3" xfId="43" xr:uid="{00000000-0005-0000-0000-00002D000000}"/>
    <cellStyle name="Standard 10 3 3 2" xfId="12052" xr:uid="{1E0E3340-D697-4E69-991E-6279A71DCE79}"/>
    <cellStyle name="Standard 10 3 4" xfId="12049" xr:uid="{7AC4E934-5645-411F-AC53-38B53A726B86}"/>
    <cellStyle name="Standard 10 4" xfId="44" xr:uid="{00000000-0005-0000-0000-00002E000000}"/>
    <cellStyle name="Standard 10 4 2" xfId="45" xr:uid="{00000000-0005-0000-0000-00002F000000}"/>
    <cellStyle name="Standard 10 4 2 2" xfId="46" xr:uid="{00000000-0005-0000-0000-000030000000}"/>
    <cellStyle name="Standard 10 4 2 2 2" xfId="12055" xr:uid="{CC2F8D15-D996-4ED0-9929-E3B4D70CCAB7}"/>
    <cellStyle name="Standard 10 4 2 3" xfId="12054" xr:uid="{7544D9D4-EB60-486C-AE68-65EDB9F83C16}"/>
    <cellStyle name="Standard 10 4 3" xfId="47" xr:uid="{00000000-0005-0000-0000-000031000000}"/>
    <cellStyle name="Standard 10 4 3 2" xfId="12056" xr:uid="{DBA7CD32-2F39-4B43-8D34-E7E78DAC97F9}"/>
    <cellStyle name="Standard 10 4 4" xfId="12053" xr:uid="{52751D34-C626-42EE-8F59-CE954377008D}"/>
    <cellStyle name="Standard 10 5" xfId="48" xr:uid="{00000000-0005-0000-0000-000032000000}"/>
    <cellStyle name="Standard 10 5 2" xfId="49" xr:uid="{00000000-0005-0000-0000-000033000000}"/>
    <cellStyle name="Standard 10 5 2 2" xfId="50" xr:uid="{00000000-0005-0000-0000-000034000000}"/>
    <cellStyle name="Standard 10 5 2 2 2" xfId="12059" xr:uid="{5110C39E-0830-4AB2-84F8-B78721C8D112}"/>
    <cellStyle name="Standard 10 5 2 3" xfId="12058" xr:uid="{E88722BD-CAD5-42EC-ABE3-F330C7F40B2A}"/>
    <cellStyle name="Standard 10 5 3" xfId="51" xr:uid="{00000000-0005-0000-0000-000035000000}"/>
    <cellStyle name="Standard 10 5 3 2" xfId="12060" xr:uid="{F57DCC09-D469-4F4A-8CA9-9566A806EBF6}"/>
    <cellStyle name="Standard 10 5 4" xfId="12057" xr:uid="{5F9B6998-5092-4C1F-A697-5554D1643D3C}"/>
    <cellStyle name="Standard 10 6" xfId="52" xr:uid="{00000000-0005-0000-0000-000036000000}"/>
    <cellStyle name="Standard 10 6 2" xfId="53" xr:uid="{00000000-0005-0000-0000-000037000000}"/>
    <cellStyle name="Standard 10 6 2 2" xfId="54" xr:uid="{00000000-0005-0000-0000-000038000000}"/>
    <cellStyle name="Standard 10 6 2 2 2" xfId="12063" xr:uid="{EFCE7273-6FF6-405C-B0E3-296D7726373E}"/>
    <cellStyle name="Standard 10 6 2 3" xfId="12062" xr:uid="{325EC822-F7DC-48F0-8A8C-80309314185C}"/>
    <cellStyle name="Standard 10 6 3" xfId="55" xr:uid="{00000000-0005-0000-0000-000039000000}"/>
    <cellStyle name="Standard 10 6 3 2" xfId="12064" xr:uid="{8CB38EE0-B37A-4B28-8C93-2E02B3235C75}"/>
    <cellStyle name="Standard 10 6 4" xfId="12061" xr:uid="{7E352DD7-65A7-4526-B016-F4AA0226E326}"/>
    <cellStyle name="Standard 10 7" xfId="56" xr:uid="{00000000-0005-0000-0000-00003A000000}"/>
    <cellStyle name="Standard 10 7 2" xfId="57" xr:uid="{00000000-0005-0000-0000-00003B000000}"/>
    <cellStyle name="Standard 10 7 2 2" xfId="58" xr:uid="{00000000-0005-0000-0000-00003C000000}"/>
    <cellStyle name="Standard 10 7 2 2 2" xfId="12067" xr:uid="{9DD26EAF-C331-46AE-A101-BCF6039B9115}"/>
    <cellStyle name="Standard 10 7 2 3" xfId="12066" xr:uid="{71ED18AA-1859-468E-9D51-A00DE2BB2C6F}"/>
    <cellStyle name="Standard 10 7 3" xfId="59" xr:uid="{00000000-0005-0000-0000-00003D000000}"/>
    <cellStyle name="Standard 10 7 3 2" xfId="12068" xr:uid="{E5F96393-86EA-4673-89A0-D272FFB842A8}"/>
    <cellStyle name="Standard 10 7 4" xfId="12065" xr:uid="{BB242825-7F0D-4A7D-9238-E176287A5626}"/>
    <cellStyle name="Standard 10 8" xfId="60" xr:uid="{00000000-0005-0000-0000-00003E000000}"/>
    <cellStyle name="Standard 10 8 2" xfId="61" xr:uid="{00000000-0005-0000-0000-00003F000000}"/>
    <cellStyle name="Standard 10 8 2 2" xfId="62" xr:uid="{00000000-0005-0000-0000-000040000000}"/>
    <cellStyle name="Standard 10 8 2 2 2" xfId="12071" xr:uid="{EFA9BAAD-DB31-468E-8734-091E9181EA7D}"/>
    <cellStyle name="Standard 10 8 2 3" xfId="12070" xr:uid="{A44B2977-76B4-493D-B59E-1EE1A31ECCC3}"/>
    <cellStyle name="Standard 10 8 3" xfId="63" xr:uid="{00000000-0005-0000-0000-000041000000}"/>
    <cellStyle name="Standard 10 8 3 2" xfId="12072" xr:uid="{4639A908-F2FB-4D81-9F70-D6A18970DEDC}"/>
    <cellStyle name="Standard 10 8 4" xfId="12069" xr:uid="{DEC908AD-75C3-45D6-8C78-21FC3C4948B2}"/>
    <cellStyle name="Standard 10 9" xfId="64" xr:uid="{00000000-0005-0000-0000-000042000000}"/>
    <cellStyle name="Standard 10 9 2" xfId="65" xr:uid="{00000000-0005-0000-0000-000043000000}"/>
    <cellStyle name="Standard 10 9 2 2" xfId="12074" xr:uid="{FDA5305F-62C6-4361-BC61-BA8FDE9A3C64}"/>
    <cellStyle name="Standard 10 9 3" xfId="12073" xr:uid="{812581A1-4BDD-4D12-A5C1-9282AE4DF6B9}"/>
    <cellStyle name="Standard 11" xfId="66" xr:uid="{00000000-0005-0000-0000-000044000000}"/>
    <cellStyle name="Standard 11 2" xfId="67" xr:uid="{00000000-0005-0000-0000-000045000000}"/>
    <cellStyle name="Standard 12" xfId="68" xr:uid="{00000000-0005-0000-0000-000046000000}"/>
    <cellStyle name="Standard 12 10" xfId="12075" xr:uid="{DC85CF91-8BDF-4788-80CA-B9F9EFE749EB}"/>
    <cellStyle name="Standard 12 2" xfId="69" xr:uid="{00000000-0005-0000-0000-000047000000}"/>
    <cellStyle name="Standard 12 2 2" xfId="70" xr:uid="{00000000-0005-0000-0000-000048000000}"/>
    <cellStyle name="Standard 12 2 2 2" xfId="71" xr:uid="{00000000-0005-0000-0000-000049000000}"/>
    <cellStyle name="Standard 12 2 2 2 2" xfId="12078" xr:uid="{D900F6E7-3F34-408A-815A-93564BC73EE2}"/>
    <cellStyle name="Standard 12 2 2 3" xfId="12077" xr:uid="{7BAB67F2-B038-4C7B-8851-07F6EA086031}"/>
    <cellStyle name="Standard 12 2 3" xfId="72" xr:uid="{00000000-0005-0000-0000-00004A000000}"/>
    <cellStyle name="Standard 12 2 3 2" xfId="12079" xr:uid="{484E2854-A2F9-4C9F-8CBA-BBA260C427AC}"/>
    <cellStyle name="Standard 12 2 4" xfId="12076" xr:uid="{E55E30D4-FDB2-40FC-8E59-9B84A17ECEB5}"/>
    <cellStyle name="Standard 12 3" xfId="73" xr:uid="{00000000-0005-0000-0000-00004B000000}"/>
    <cellStyle name="Standard 12 3 2" xfId="74" xr:uid="{00000000-0005-0000-0000-00004C000000}"/>
    <cellStyle name="Standard 12 3 2 2" xfId="75" xr:uid="{00000000-0005-0000-0000-00004D000000}"/>
    <cellStyle name="Standard 12 3 2 2 2" xfId="12082" xr:uid="{897EFC66-0934-4B9C-B73B-138D4BD62E27}"/>
    <cellStyle name="Standard 12 3 2 3" xfId="12081" xr:uid="{640E1CC5-1ED5-452F-8927-DBE9A8341D9D}"/>
    <cellStyle name="Standard 12 3 3" xfId="76" xr:uid="{00000000-0005-0000-0000-00004E000000}"/>
    <cellStyle name="Standard 12 3 3 2" xfId="12083" xr:uid="{10471169-208F-44A5-B53A-46D5F186A0D3}"/>
    <cellStyle name="Standard 12 3 4" xfId="12080" xr:uid="{7DED7AE0-291C-4253-B507-6C7BB1EAC2F5}"/>
    <cellStyle name="Standard 12 4" xfId="77" xr:uid="{00000000-0005-0000-0000-00004F000000}"/>
    <cellStyle name="Standard 12 4 2" xfId="78" xr:uid="{00000000-0005-0000-0000-000050000000}"/>
    <cellStyle name="Standard 12 4 2 2" xfId="79" xr:uid="{00000000-0005-0000-0000-000051000000}"/>
    <cellStyle name="Standard 12 4 2 2 2" xfId="12086" xr:uid="{212081ED-DC85-4F93-BA07-A1DD63C223C3}"/>
    <cellStyle name="Standard 12 4 2 3" xfId="12085" xr:uid="{E3F8780E-AD8F-4441-AF96-8E9183010529}"/>
    <cellStyle name="Standard 12 4 3" xfId="80" xr:uid="{00000000-0005-0000-0000-000052000000}"/>
    <cellStyle name="Standard 12 4 3 2" xfId="12087" xr:uid="{34BCE850-86E5-45A4-AC09-A8BE2EE02861}"/>
    <cellStyle name="Standard 12 4 4" xfId="12084" xr:uid="{6CE57687-BC0F-42D3-86EF-51F1CDCC9B12}"/>
    <cellStyle name="Standard 12 5" xfId="81" xr:uid="{00000000-0005-0000-0000-000053000000}"/>
    <cellStyle name="Standard 12 5 2" xfId="82" xr:uid="{00000000-0005-0000-0000-000054000000}"/>
    <cellStyle name="Standard 12 5 2 2" xfId="83" xr:uid="{00000000-0005-0000-0000-000055000000}"/>
    <cellStyle name="Standard 12 5 2 2 2" xfId="12090" xr:uid="{3EB1D1BC-D4DE-46C5-98EE-1583B6C3B08F}"/>
    <cellStyle name="Standard 12 5 2 3" xfId="12089" xr:uid="{EEB59C84-0D7F-42A3-B9EE-002CB1E63792}"/>
    <cellStyle name="Standard 12 5 3" xfId="84" xr:uid="{00000000-0005-0000-0000-000056000000}"/>
    <cellStyle name="Standard 12 5 3 2" xfId="12091" xr:uid="{5DFF3CD5-F8BD-4B4D-B84C-DBC74158680F}"/>
    <cellStyle name="Standard 12 5 4" xfId="12088" xr:uid="{BDAAC831-F216-45EB-A957-54F91FBE91AF}"/>
    <cellStyle name="Standard 12 6" xfId="85" xr:uid="{00000000-0005-0000-0000-000057000000}"/>
    <cellStyle name="Standard 12 6 2" xfId="86" xr:uid="{00000000-0005-0000-0000-000058000000}"/>
    <cellStyle name="Standard 12 6 2 2" xfId="87" xr:uid="{00000000-0005-0000-0000-000059000000}"/>
    <cellStyle name="Standard 12 6 2 2 2" xfId="12094" xr:uid="{88DA340F-9198-42DF-B2B5-B183D0BB784F}"/>
    <cellStyle name="Standard 12 6 2 3" xfId="12093" xr:uid="{222CEC61-2502-4C01-B287-527BC7B54A84}"/>
    <cellStyle name="Standard 12 6 3" xfId="88" xr:uid="{00000000-0005-0000-0000-00005A000000}"/>
    <cellStyle name="Standard 12 6 3 2" xfId="12095" xr:uid="{840AE37F-5423-4DDB-A85D-04C8E08531EA}"/>
    <cellStyle name="Standard 12 6 4" xfId="12092" xr:uid="{374DF67F-CA72-4873-983E-65C586A706B3}"/>
    <cellStyle name="Standard 12 7" xfId="89" xr:uid="{00000000-0005-0000-0000-00005B000000}"/>
    <cellStyle name="Standard 12 7 2" xfId="90" xr:uid="{00000000-0005-0000-0000-00005C000000}"/>
    <cellStyle name="Standard 12 7 2 2" xfId="91" xr:uid="{00000000-0005-0000-0000-00005D000000}"/>
    <cellStyle name="Standard 12 7 2 2 2" xfId="12098" xr:uid="{FCE71472-0309-4C24-B840-E34DC857181A}"/>
    <cellStyle name="Standard 12 7 2 3" xfId="12097" xr:uid="{05D7D58C-3146-4C37-84E8-F490AC5D7869}"/>
    <cellStyle name="Standard 12 7 3" xfId="92" xr:uid="{00000000-0005-0000-0000-00005E000000}"/>
    <cellStyle name="Standard 12 7 3 2" xfId="12099" xr:uid="{5E3DCAA1-F51A-4E0D-9F60-93914222BB32}"/>
    <cellStyle name="Standard 12 7 4" xfId="12096" xr:uid="{DD7D5812-9E26-4216-816B-D4FF678A93F4}"/>
    <cellStyle name="Standard 12 8" xfId="93" xr:uid="{00000000-0005-0000-0000-00005F000000}"/>
    <cellStyle name="Standard 12 8 2" xfId="94" xr:uid="{00000000-0005-0000-0000-000060000000}"/>
    <cellStyle name="Standard 12 8 2 2" xfId="12101" xr:uid="{4FF587D9-436C-453D-AFFF-56394E2C735C}"/>
    <cellStyle name="Standard 12 8 3" xfId="12100" xr:uid="{A3BB4B14-78BB-4CC9-9A4E-265580C7A637}"/>
    <cellStyle name="Standard 12 9" xfId="95" xr:uid="{00000000-0005-0000-0000-000061000000}"/>
    <cellStyle name="Standard 12 9 2" xfId="12102" xr:uid="{641DEBA2-59AA-4047-BD89-5CCA3786C1D5}"/>
    <cellStyle name="Standard 13" xfId="96" xr:uid="{00000000-0005-0000-0000-000062000000}"/>
    <cellStyle name="Standard 13 2" xfId="97" xr:uid="{00000000-0005-0000-0000-000063000000}"/>
    <cellStyle name="Standard 13 2 2" xfId="98" xr:uid="{00000000-0005-0000-0000-000064000000}"/>
    <cellStyle name="Standard 13 2 2 2" xfId="99" xr:uid="{00000000-0005-0000-0000-000065000000}"/>
    <cellStyle name="Standard 13 2 2 2 2" xfId="12106" xr:uid="{556442DD-443C-4D31-AC2D-19A7C8AFCD98}"/>
    <cellStyle name="Standard 13 2 2 3" xfId="12105" xr:uid="{43B83042-011D-4F0B-B479-D410598A8EB1}"/>
    <cellStyle name="Standard 13 2 3" xfId="100" xr:uid="{00000000-0005-0000-0000-000066000000}"/>
    <cellStyle name="Standard 13 2 3 2" xfId="12107" xr:uid="{B909D001-FAF0-4CFD-B541-2EC0FBFB8E47}"/>
    <cellStyle name="Standard 13 2 4" xfId="12104" xr:uid="{8E2586FD-038E-40A3-AB16-B347816711C4}"/>
    <cellStyle name="Standard 13 3" xfId="101" xr:uid="{00000000-0005-0000-0000-000067000000}"/>
    <cellStyle name="Standard 13 3 2" xfId="102" xr:uid="{00000000-0005-0000-0000-000068000000}"/>
    <cellStyle name="Standard 13 3 2 2" xfId="103" xr:uid="{00000000-0005-0000-0000-000069000000}"/>
    <cellStyle name="Standard 13 3 2 2 2" xfId="12110" xr:uid="{6239A110-3213-4511-85E7-FF583A350F83}"/>
    <cellStyle name="Standard 13 3 2 3" xfId="12109" xr:uid="{2BDB9C1D-88E5-4A69-ABA3-35CD95A02254}"/>
    <cellStyle name="Standard 13 3 3" xfId="104" xr:uid="{00000000-0005-0000-0000-00006A000000}"/>
    <cellStyle name="Standard 13 3 3 2" xfId="12111" xr:uid="{DDFE944F-C1AA-4045-AEB3-78CB0ACF5DD1}"/>
    <cellStyle name="Standard 13 3 4" xfId="12108" xr:uid="{72ABBE28-5AB7-46D9-953A-043EB004881D}"/>
    <cellStyle name="Standard 13 4" xfId="105" xr:uid="{00000000-0005-0000-0000-00006B000000}"/>
    <cellStyle name="Standard 13 4 2" xfId="106" xr:uid="{00000000-0005-0000-0000-00006C000000}"/>
    <cellStyle name="Standard 13 4 2 2" xfId="107" xr:uid="{00000000-0005-0000-0000-00006D000000}"/>
    <cellStyle name="Standard 13 4 2 2 2" xfId="12114" xr:uid="{336B441F-F08A-45FF-8A0F-1E4281EA3C43}"/>
    <cellStyle name="Standard 13 4 2 3" xfId="12113" xr:uid="{0EBF4110-0961-4667-B7D6-50A263873303}"/>
    <cellStyle name="Standard 13 4 3" xfId="108" xr:uid="{00000000-0005-0000-0000-00006E000000}"/>
    <cellStyle name="Standard 13 4 3 2" xfId="12115" xr:uid="{7E91934D-DD3D-4D65-9726-6D567900F2DB}"/>
    <cellStyle name="Standard 13 4 4" xfId="12112" xr:uid="{3BB55F7C-351A-4DAD-8FD7-C418C52DB7E6}"/>
    <cellStyle name="Standard 13 5" xfId="109" xr:uid="{00000000-0005-0000-0000-00006F000000}"/>
    <cellStyle name="Standard 13 5 2" xfId="110" xr:uid="{00000000-0005-0000-0000-000070000000}"/>
    <cellStyle name="Standard 13 5 2 2" xfId="111" xr:uid="{00000000-0005-0000-0000-000071000000}"/>
    <cellStyle name="Standard 13 5 2 2 2" xfId="12118" xr:uid="{33EA64B0-90F2-4418-9955-27DEF7924BCF}"/>
    <cellStyle name="Standard 13 5 2 3" xfId="12117" xr:uid="{CEF7DA29-6D59-4AD5-BA59-54E7EDD842DE}"/>
    <cellStyle name="Standard 13 5 3" xfId="112" xr:uid="{00000000-0005-0000-0000-000072000000}"/>
    <cellStyle name="Standard 13 5 3 2" xfId="12119" xr:uid="{DA2AEF02-50C1-4523-899C-36B5E6B8B70F}"/>
    <cellStyle name="Standard 13 5 4" xfId="12116" xr:uid="{977B004C-22B9-4F0B-ACC2-6EC75B035E4D}"/>
    <cellStyle name="Standard 13 6" xfId="113" xr:uid="{00000000-0005-0000-0000-000073000000}"/>
    <cellStyle name="Standard 13 6 2" xfId="114" xr:uid="{00000000-0005-0000-0000-000074000000}"/>
    <cellStyle name="Standard 13 6 2 2" xfId="115" xr:uid="{00000000-0005-0000-0000-000075000000}"/>
    <cellStyle name="Standard 13 6 2 2 2" xfId="12122" xr:uid="{2692DFE6-E59A-4B60-816C-D4464B370291}"/>
    <cellStyle name="Standard 13 6 2 3" xfId="12121" xr:uid="{F2ED3D06-3A63-47F2-9CEA-56FE3BE95059}"/>
    <cellStyle name="Standard 13 6 3" xfId="116" xr:uid="{00000000-0005-0000-0000-000076000000}"/>
    <cellStyle name="Standard 13 6 3 2" xfId="12123" xr:uid="{9C9982D4-951B-4490-8FB5-F679E3691268}"/>
    <cellStyle name="Standard 13 6 4" xfId="12120" xr:uid="{8546CEB3-A5EF-482E-BA9D-3C0E453D5751}"/>
    <cellStyle name="Standard 13 7" xfId="117" xr:uid="{00000000-0005-0000-0000-000077000000}"/>
    <cellStyle name="Standard 13 7 2" xfId="118" xr:uid="{00000000-0005-0000-0000-000078000000}"/>
    <cellStyle name="Standard 13 7 2 2" xfId="12125" xr:uid="{DCD405B5-2199-4A5C-8068-39A51F4EA822}"/>
    <cellStyle name="Standard 13 7 3" xfId="12124" xr:uid="{477DF208-F7EB-43A7-9DCE-BCCC45CB11D5}"/>
    <cellStyle name="Standard 13 8" xfId="119" xr:uid="{00000000-0005-0000-0000-000079000000}"/>
    <cellStyle name="Standard 13 8 2" xfId="12126" xr:uid="{DC73B64F-68D9-4C29-BFFA-4284CD1D9B2E}"/>
    <cellStyle name="Standard 13 9" xfId="12103" xr:uid="{0684E304-DE7F-4A18-A0CF-CF76EA1D3093}"/>
    <cellStyle name="Standard 14" xfId="120" xr:uid="{00000000-0005-0000-0000-00007A000000}"/>
    <cellStyle name="Standard 14 2" xfId="121" xr:uid="{00000000-0005-0000-0000-00007B000000}"/>
    <cellStyle name="Standard 14 2 2" xfId="122" xr:uid="{00000000-0005-0000-0000-00007C000000}"/>
    <cellStyle name="Standard 14 2 2 2" xfId="12129" xr:uid="{B9EFFD4E-5329-4B56-BAA3-126D87A01442}"/>
    <cellStyle name="Standard 14 2 3" xfId="12128" xr:uid="{47306B0E-7BEB-41F1-A21B-954B5502804B}"/>
    <cellStyle name="Standard 14 3" xfId="123" xr:uid="{00000000-0005-0000-0000-00007D000000}"/>
    <cellStyle name="Standard 14 3 2" xfId="12130" xr:uid="{A9F60923-0EDA-4841-B89D-128833FF9085}"/>
    <cellStyle name="Standard 14 4" xfId="12127" xr:uid="{A25E747C-0B24-43E2-9B28-EA5D37B285A6}"/>
    <cellStyle name="Standard 15" xfId="124" xr:uid="{00000000-0005-0000-0000-00007E000000}"/>
    <cellStyle name="Standard 15 2" xfId="125" xr:uid="{00000000-0005-0000-0000-00007F000000}"/>
    <cellStyle name="Standard 15 2 2" xfId="126" xr:uid="{00000000-0005-0000-0000-000080000000}"/>
    <cellStyle name="Standard 15 2 2 2" xfId="12133" xr:uid="{21DC8DBC-3FCE-456D-8E10-77C6E0ED7747}"/>
    <cellStyle name="Standard 15 2 3" xfId="12132" xr:uid="{02996E0E-9721-43DE-9F4D-963D74B65D9D}"/>
    <cellStyle name="Standard 15 3" xfId="127" xr:uid="{00000000-0005-0000-0000-000081000000}"/>
    <cellStyle name="Standard 15 3 2" xfId="12134" xr:uid="{C2FE9FA3-F0C3-41BB-8D5E-87F7D82CCC6F}"/>
    <cellStyle name="Standard 15 4" xfId="12131" xr:uid="{CF4C6ED9-36EA-4216-AB93-52723809259C}"/>
    <cellStyle name="Standard 16" xfId="128" xr:uid="{00000000-0005-0000-0000-000082000000}"/>
    <cellStyle name="Standard 16 2" xfId="129" xr:uid="{00000000-0005-0000-0000-000083000000}"/>
    <cellStyle name="Standard 16 2 2" xfId="130" xr:uid="{00000000-0005-0000-0000-000084000000}"/>
    <cellStyle name="Standard 16 2 2 2" xfId="12137" xr:uid="{98039ABA-5C6B-4435-85CA-25542D5F91B3}"/>
    <cellStyle name="Standard 16 2 3" xfId="12136" xr:uid="{72410B1F-4F3B-4659-BF73-502513A7DA32}"/>
    <cellStyle name="Standard 16 3" xfId="131" xr:uid="{00000000-0005-0000-0000-000085000000}"/>
    <cellStyle name="Standard 16 3 2" xfId="12138" xr:uid="{07F7F095-D478-4E35-A9AE-00DFF333F77A}"/>
    <cellStyle name="Standard 16 4" xfId="12135" xr:uid="{2CA21F53-7F41-4FA9-8281-7FCDC45E52B5}"/>
    <cellStyle name="Standard 17" xfId="132" xr:uid="{00000000-0005-0000-0000-000086000000}"/>
    <cellStyle name="Standard 17 2" xfId="133" xr:uid="{00000000-0005-0000-0000-000087000000}"/>
    <cellStyle name="Standard 17 2 2" xfId="134" xr:uid="{00000000-0005-0000-0000-000088000000}"/>
    <cellStyle name="Standard 17 2 2 2" xfId="12141" xr:uid="{A6641C03-6CBF-4C95-8298-A31D5E08689E}"/>
    <cellStyle name="Standard 17 2 3" xfId="12140" xr:uid="{4039D3A8-6F66-4564-8C85-9C6BD40814A5}"/>
    <cellStyle name="Standard 17 3" xfId="135" xr:uid="{00000000-0005-0000-0000-000089000000}"/>
    <cellStyle name="Standard 17 3 2" xfId="12142" xr:uid="{28545CB8-5762-4572-B638-69556345A56A}"/>
    <cellStyle name="Standard 17 4" xfId="12139" xr:uid="{30FA2A36-CDB6-4960-8E4F-D79A4BF3E76F}"/>
    <cellStyle name="Standard 18" xfId="136" xr:uid="{00000000-0005-0000-0000-00008A000000}"/>
    <cellStyle name="Standard 18 2" xfId="137" xr:uid="{00000000-0005-0000-0000-00008B000000}"/>
    <cellStyle name="Standard 18 2 2" xfId="138" xr:uid="{00000000-0005-0000-0000-00008C000000}"/>
    <cellStyle name="Standard 18 2 2 2" xfId="12145" xr:uid="{1752D24F-D01F-45F7-AE35-3D335044FDEC}"/>
    <cellStyle name="Standard 18 2 3" xfId="12144" xr:uid="{5B187A89-ED83-4AFE-BF4D-F070957993CC}"/>
    <cellStyle name="Standard 18 3" xfId="139" xr:uid="{00000000-0005-0000-0000-00008D000000}"/>
    <cellStyle name="Standard 18 3 2" xfId="12146" xr:uid="{56A1344A-9406-4A05-89E9-09B2FFB4FE34}"/>
    <cellStyle name="Standard 18 4" xfId="12143" xr:uid="{F9A6A757-1856-4C3C-9D09-1CB35893D200}"/>
    <cellStyle name="Standard 19" xfId="140" xr:uid="{00000000-0005-0000-0000-00008E000000}"/>
    <cellStyle name="Standard 19 2" xfId="141" xr:uid="{00000000-0005-0000-0000-00008F000000}"/>
    <cellStyle name="Standard 19 2 2" xfId="142" xr:uid="{00000000-0005-0000-0000-000090000000}"/>
    <cellStyle name="Standard 19 2 2 2" xfId="12149" xr:uid="{73DD8767-DBD8-42F4-A4BD-9E9FAB735E97}"/>
    <cellStyle name="Standard 19 2 3" xfId="12148" xr:uid="{8CB82CE5-0244-4501-856B-A46870B44868}"/>
    <cellStyle name="Standard 19 3" xfId="143" xr:uid="{00000000-0005-0000-0000-000091000000}"/>
    <cellStyle name="Standard 19 3 2" xfId="12150" xr:uid="{FD72D928-1C54-401B-B34D-39D8FC8E022E}"/>
    <cellStyle name="Standard 19 4" xfId="12147" xr:uid="{B1012174-0F2D-467E-BD4D-66731DA09833}"/>
    <cellStyle name="Standard 2" xfId="1" xr:uid="{00000000-0005-0000-0000-000092000000}"/>
    <cellStyle name="Standard 2 10" xfId="144" xr:uid="{00000000-0005-0000-0000-000093000000}"/>
    <cellStyle name="Standard 2 10 2" xfId="145" xr:uid="{00000000-0005-0000-0000-000094000000}"/>
    <cellStyle name="Standard 2 11" xfId="146" xr:uid="{00000000-0005-0000-0000-000095000000}"/>
    <cellStyle name="Standard 2 12" xfId="147" xr:uid="{00000000-0005-0000-0000-000096000000}"/>
    <cellStyle name="Standard 2 13" xfId="12010" xr:uid="{00000000-0005-0000-0000-000097000000}"/>
    <cellStyle name="Standard 2 2" xfId="148" xr:uid="{00000000-0005-0000-0000-000098000000}"/>
    <cellStyle name="Standard 2 2 2" xfId="149" xr:uid="{00000000-0005-0000-0000-000099000000}"/>
    <cellStyle name="Standard 2 2 2 2" xfId="150" xr:uid="{00000000-0005-0000-0000-00009A000000}"/>
    <cellStyle name="Standard 2 2 3" xfId="151" xr:uid="{00000000-0005-0000-0000-00009B000000}"/>
    <cellStyle name="Standard 2 3" xfId="152" xr:uid="{00000000-0005-0000-0000-00009C000000}"/>
    <cellStyle name="Standard 2 3 2" xfId="153" xr:uid="{00000000-0005-0000-0000-00009D000000}"/>
    <cellStyle name="Standard 2 3 2 2" xfId="154" xr:uid="{00000000-0005-0000-0000-00009E000000}"/>
    <cellStyle name="Standard 2 3 3" xfId="155" xr:uid="{00000000-0005-0000-0000-00009F000000}"/>
    <cellStyle name="Standard 2 4" xfId="156" xr:uid="{00000000-0005-0000-0000-0000A0000000}"/>
    <cellStyle name="Standard 2 4 2" xfId="157" xr:uid="{00000000-0005-0000-0000-0000A1000000}"/>
    <cellStyle name="Standard 2 4 2 2" xfId="158" xr:uid="{00000000-0005-0000-0000-0000A2000000}"/>
    <cellStyle name="Standard 2 4 3" xfId="159" xr:uid="{00000000-0005-0000-0000-0000A3000000}"/>
    <cellStyle name="Standard 2 5" xfId="160" xr:uid="{00000000-0005-0000-0000-0000A4000000}"/>
    <cellStyle name="Standard 2 5 2" xfId="161" xr:uid="{00000000-0005-0000-0000-0000A5000000}"/>
    <cellStyle name="Standard 2 5 2 2" xfId="162" xr:uid="{00000000-0005-0000-0000-0000A6000000}"/>
    <cellStyle name="Standard 2 5 3" xfId="163" xr:uid="{00000000-0005-0000-0000-0000A7000000}"/>
    <cellStyle name="Standard 2 6" xfId="164" xr:uid="{00000000-0005-0000-0000-0000A8000000}"/>
    <cellStyle name="Standard 2 6 2" xfId="165" xr:uid="{00000000-0005-0000-0000-0000A9000000}"/>
    <cellStyle name="Standard 2 6 2 2" xfId="166" xr:uid="{00000000-0005-0000-0000-0000AA000000}"/>
    <cellStyle name="Standard 2 6 3" xfId="167" xr:uid="{00000000-0005-0000-0000-0000AB000000}"/>
    <cellStyle name="Standard 2 7" xfId="168" xr:uid="{00000000-0005-0000-0000-0000AC000000}"/>
    <cellStyle name="Standard 2 7 2" xfId="169" xr:uid="{00000000-0005-0000-0000-0000AD000000}"/>
    <cellStyle name="Standard 2 7 2 2" xfId="170" xr:uid="{00000000-0005-0000-0000-0000AE000000}"/>
    <cellStyle name="Standard 2 7 3" xfId="171" xr:uid="{00000000-0005-0000-0000-0000AF000000}"/>
    <cellStyle name="Standard 2 8" xfId="172" xr:uid="{00000000-0005-0000-0000-0000B0000000}"/>
    <cellStyle name="Standard 2 8 2" xfId="173" xr:uid="{00000000-0005-0000-0000-0000B1000000}"/>
    <cellStyle name="Standard 2 8 2 2" xfId="174" xr:uid="{00000000-0005-0000-0000-0000B2000000}"/>
    <cellStyle name="Standard 2 8 3" xfId="175" xr:uid="{00000000-0005-0000-0000-0000B3000000}"/>
    <cellStyle name="Standard 2 9" xfId="176" xr:uid="{00000000-0005-0000-0000-0000B4000000}"/>
    <cellStyle name="Standard 2 9 2" xfId="177" xr:uid="{00000000-0005-0000-0000-0000B5000000}"/>
    <cellStyle name="Standard 2 9 2 2" xfId="178" xr:uid="{00000000-0005-0000-0000-0000B6000000}"/>
    <cellStyle name="Standard 2 9 3" xfId="179" xr:uid="{00000000-0005-0000-0000-0000B7000000}"/>
    <cellStyle name="Standard 20" xfId="180" xr:uid="{00000000-0005-0000-0000-0000B8000000}"/>
    <cellStyle name="Standard 20 2" xfId="181" xr:uid="{00000000-0005-0000-0000-0000B9000000}"/>
    <cellStyle name="Standard 20 2 2" xfId="182" xr:uid="{00000000-0005-0000-0000-0000BA000000}"/>
    <cellStyle name="Standard 20 2 2 2" xfId="12153" xr:uid="{618590E0-0245-4222-9D74-29BB3E4BC89D}"/>
    <cellStyle name="Standard 20 2 3" xfId="12152" xr:uid="{7A587B17-5A58-484F-879D-B972058196BD}"/>
    <cellStyle name="Standard 20 3" xfId="183" xr:uid="{00000000-0005-0000-0000-0000BB000000}"/>
    <cellStyle name="Standard 20 3 2" xfId="12154" xr:uid="{4AD5022B-D896-4212-B2F7-92CD58D865C9}"/>
    <cellStyle name="Standard 20 4" xfId="12151" xr:uid="{F30A6F1E-4F50-489A-A6F5-FB014C08BC37}"/>
    <cellStyle name="Standard 21" xfId="184" xr:uid="{00000000-0005-0000-0000-0000BC000000}"/>
    <cellStyle name="Standard 21 2" xfId="185" xr:uid="{00000000-0005-0000-0000-0000BD000000}"/>
    <cellStyle name="Standard 21 2 2" xfId="186" xr:uid="{00000000-0005-0000-0000-0000BE000000}"/>
    <cellStyle name="Standard 21 2 2 2" xfId="12157" xr:uid="{731D2B30-F3C8-4F5A-9366-DC71F11C2904}"/>
    <cellStyle name="Standard 21 2 3" xfId="12156" xr:uid="{6A8EF384-BA13-40A5-A46F-FF03ECEA9BCD}"/>
    <cellStyle name="Standard 21 3" xfId="187" xr:uid="{00000000-0005-0000-0000-0000BF000000}"/>
    <cellStyle name="Standard 21 3 2" xfId="12158" xr:uid="{B4C518B6-02DF-4BC4-A3D7-8521BEA73A75}"/>
    <cellStyle name="Standard 21 4" xfId="12155" xr:uid="{E832054E-496C-4529-8E7D-154BA4D57FD9}"/>
    <cellStyle name="Standard 22" xfId="188" xr:uid="{00000000-0005-0000-0000-0000C0000000}"/>
    <cellStyle name="Standard 22 2" xfId="12159" xr:uid="{4CC9C270-5FE7-497C-8BF6-91193E4B8E24}"/>
    <cellStyle name="Standard 23" xfId="189" xr:uid="{00000000-0005-0000-0000-0000C1000000}"/>
    <cellStyle name="Standard 23 2" xfId="12160" xr:uid="{44C3A62D-BF0B-4009-B9F7-C05367761487}"/>
    <cellStyle name="Standard 3" xfId="4" xr:uid="{00000000-0005-0000-0000-0000C2000000}"/>
    <cellStyle name="Standard 3 2" xfId="190" xr:uid="{00000000-0005-0000-0000-0000C3000000}"/>
    <cellStyle name="Standard 3 2 2" xfId="191" xr:uid="{00000000-0005-0000-0000-0000C4000000}"/>
    <cellStyle name="Standard 3 3" xfId="192" xr:uid="{00000000-0005-0000-0000-0000C5000000}"/>
    <cellStyle name="Standard 3 4" xfId="12017" xr:uid="{0FC7E857-7107-4A58-8DB6-8CE943E15CF3}"/>
    <cellStyle name="Standard 4" xfId="2" xr:uid="{00000000-0005-0000-0000-0000C6000000}"/>
    <cellStyle name="Standard 4 2" xfId="193" xr:uid="{00000000-0005-0000-0000-0000C7000000}"/>
    <cellStyle name="Standard 4 2 2" xfId="194" xr:uid="{00000000-0005-0000-0000-0000C8000000}"/>
    <cellStyle name="Standard 4 3" xfId="195" xr:uid="{00000000-0005-0000-0000-0000C9000000}"/>
    <cellStyle name="Standard 4 4" xfId="12011" xr:uid="{00000000-0005-0000-0000-0000CA000000}"/>
    <cellStyle name="Standard 5" xfId="196" xr:uid="{00000000-0005-0000-0000-0000CB000000}"/>
    <cellStyle name="Standard 5 2" xfId="197" xr:uid="{00000000-0005-0000-0000-0000CC000000}"/>
    <cellStyle name="Standard 5 2 2" xfId="198" xr:uid="{00000000-0005-0000-0000-0000CD000000}"/>
    <cellStyle name="Standard 5 3" xfId="199" xr:uid="{00000000-0005-0000-0000-0000CE000000}"/>
    <cellStyle name="Standard 6" xfId="200" xr:uid="{00000000-0005-0000-0000-0000CF000000}"/>
    <cellStyle name="Standard 6 10" xfId="201" xr:uid="{00000000-0005-0000-0000-0000D0000000}"/>
    <cellStyle name="Standard 6 10 10" xfId="202" xr:uid="{00000000-0005-0000-0000-0000D1000000}"/>
    <cellStyle name="Standard 6 10 10 2" xfId="12163" xr:uid="{0898FB73-6839-4211-8AA5-09E0CC56C438}"/>
    <cellStyle name="Standard 6 10 11" xfId="12162" xr:uid="{2782B00B-5D82-4A90-B547-24164B138433}"/>
    <cellStyle name="Standard 6 10 2" xfId="203" xr:uid="{00000000-0005-0000-0000-0000D2000000}"/>
    <cellStyle name="Standard 6 10 2 10" xfId="12164" xr:uid="{E1E5A325-B99D-4425-A03B-CA74C06366FB}"/>
    <cellStyle name="Standard 6 10 2 2" xfId="204" xr:uid="{00000000-0005-0000-0000-0000D3000000}"/>
    <cellStyle name="Standard 6 10 2 2 2" xfId="205" xr:uid="{00000000-0005-0000-0000-0000D4000000}"/>
    <cellStyle name="Standard 6 10 2 2 2 2" xfId="206" xr:uid="{00000000-0005-0000-0000-0000D5000000}"/>
    <cellStyle name="Standard 6 10 2 2 2 2 2" xfId="12167" xr:uid="{A0D77051-E9D7-4B65-A80E-FBCFB386ECAD}"/>
    <cellStyle name="Standard 6 10 2 2 2 3" xfId="12166" xr:uid="{AED6F36D-5D50-4960-BE94-10E98F2A87DF}"/>
    <cellStyle name="Standard 6 10 2 2 3" xfId="207" xr:uid="{00000000-0005-0000-0000-0000D6000000}"/>
    <cellStyle name="Standard 6 10 2 2 3 2" xfId="12168" xr:uid="{733672A1-5D94-46ED-8D1A-753BB7E44080}"/>
    <cellStyle name="Standard 6 10 2 2 4" xfId="12165" xr:uid="{4089D708-8410-4955-84D5-A6DE71A94B9C}"/>
    <cellStyle name="Standard 6 10 2 3" xfId="208" xr:uid="{00000000-0005-0000-0000-0000D7000000}"/>
    <cellStyle name="Standard 6 10 2 3 2" xfId="209" xr:uid="{00000000-0005-0000-0000-0000D8000000}"/>
    <cellStyle name="Standard 6 10 2 3 2 2" xfId="210" xr:uid="{00000000-0005-0000-0000-0000D9000000}"/>
    <cellStyle name="Standard 6 10 2 3 2 2 2" xfId="12171" xr:uid="{42E94AC2-A3EC-41FC-86F7-257555C1F548}"/>
    <cellStyle name="Standard 6 10 2 3 2 3" xfId="12170" xr:uid="{ECD384EA-D85E-4C56-8101-7BE8C2375FDA}"/>
    <cellStyle name="Standard 6 10 2 3 3" xfId="211" xr:uid="{00000000-0005-0000-0000-0000DA000000}"/>
    <cellStyle name="Standard 6 10 2 3 3 2" xfId="12172" xr:uid="{AFB51900-111E-4C0D-8D50-8706305083F0}"/>
    <cellStyle name="Standard 6 10 2 3 4" xfId="12169" xr:uid="{C87F4BBE-7228-446D-B52D-E3A7111392C1}"/>
    <cellStyle name="Standard 6 10 2 4" xfId="212" xr:uid="{00000000-0005-0000-0000-0000DB000000}"/>
    <cellStyle name="Standard 6 10 2 4 2" xfId="213" xr:uid="{00000000-0005-0000-0000-0000DC000000}"/>
    <cellStyle name="Standard 6 10 2 4 2 2" xfId="214" xr:uid="{00000000-0005-0000-0000-0000DD000000}"/>
    <cellStyle name="Standard 6 10 2 4 2 2 2" xfId="12175" xr:uid="{B7176EED-B38E-4587-9C33-30A1B9495CB0}"/>
    <cellStyle name="Standard 6 10 2 4 2 3" xfId="12174" xr:uid="{5AC40730-D03B-4768-B129-1E15DAC0DAFE}"/>
    <cellStyle name="Standard 6 10 2 4 3" xfId="215" xr:uid="{00000000-0005-0000-0000-0000DE000000}"/>
    <cellStyle name="Standard 6 10 2 4 3 2" xfId="12176" xr:uid="{BA8ADB15-E3DD-4F6E-A93C-3FC31355AD38}"/>
    <cellStyle name="Standard 6 10 2 4 4" xfId="12173" xr:uid="{5AC51E2C-28D9-4562-A80E-900A92E700B2}"/>
    <cellStyle name="Standard 6 10 2 5" xfId="216" xr:uid="{00000000-0005-0000-0000-0000DF000000}"/>
    <cellStyle name="Standard 6 10 2 5 2" xfId="217" xr:uid="{00000000-0005-0000-0000-0000E0000000}"/>
    <cellStyle name="Standard 6 10 2 5 2 2" xfId="218" xr:uid="{00000000-0005-0000-0000-0000E1000000}"/>
    <cellStyle name="Standard 6 10 2 5 2 2 2" xfId="12179" xr:uid="{D751C089-518E-4BF9-AC5F-57DFA65BFFCF}"/>
    <cellStyle name="Standard 6 10 2 5 2 3" xfId="12178" xr:uid="{FEF53AB5-C342-4D9B-AC9F-C8F2104D1C95}"/>
    <cellStyle name="Standard 6 10 2 5 3" xfId="219" xr:uid="{00000000-0005-0000-0000-0000E2000000}"/>
    <cellStyle name="Standard 6 10 2 5 3 2" xfId="12180" xr:uid="{A713FE06-156C-484B-AF22-7EE382368C4D}"/>
    <cellStyle name="Standard 6 10 2 5 4" xfId="12177" xr:uid="{8E47426E-5221-4775-8862-ECDECD38DB67}"/>
    <cellStyle name="Standard 6 10 2 6" xfId="220" xr:uid="{00000000-0005-0000-0000-0000E3000000}"/>
    <cellStyle name="Standard 6 10 2 6 2" xfId="221" xr:uid="{00000000-0005-0000-0000-0000E4000000}"/>
    <cellStyle name="Standard 6 10 2 6 2 2" xfId="222" xr:uid="{00000000-0005-0000-0000-0000E5000000}"/>
    <cellStyle name="Standard 6 10 2 6 2 2 2" xfId="12183" xr:uid="{F45FC621-16FF-4D0C-A481-81E0CF9A9E35}"/>
    <cellStyle name="Standard 6 10 2 6 2 3" xfId="12182" xr:uid="{42FEB748-3A08-4A50-A6C4-EBA4943B9518}"/>
    <cellStyle name="Standard 6 10 2 6 3" xfId="223" xr:uid="{00000000-0005-0000-0000-0000E6000000}"/>
    <cellStyle name="Standard 6 10 2 6 3 2" xfId="12184" xr:uid="{B3E03362-5C48-44E5-977C-F64188FEC01F}"/>
    <cellStyle name="Standard 6 10 2 6 4" xfId="12181" xr:uid="{1EBDAAEC-AF1D-44FD-B3BA-F0887DD1CF92}"/>
    <cellStyle name="Standard 6 10 2 7" xfId="224" xr:uid="{00000000-0005-0000-0000-0000E7000000}"/>
    <cellStyle name="Standard 6 10 2 7 2" xfId="225" xr:uid="{00000000-0005-0000-0000-0000E8000000}"/>
    <cellStyle name="Standard 6 10 2 7 2 2" xfId="226" xr:uid="{00000000-0005-0000-0000-0000E9000000}"/>
    <cellStyle name="Standard 6 10 2 7 2 2 2" xfId="12187" xr:uid="{C795B6B6-4961-49C1-8276-6678F0E2C1CE}"/>
    <cellStyle name="Standard 6 10 2 7 2 3" xfId="12186" xr:uid="{E073DB6C-5C30-402A-BC1A-3643B73AB494}"/>
    <cellStyle name="Standard 6 10 2 7 3" xfId="227" xr:uid="{00000000-0005-0000-0000-0000EA000000}"/>
    <cellStyle name="Standard 6 10 2 7 3 2" xfId="12188" xr:uid="{262395B6-2970-4D2C-9B68-2080CBBD8F16}"/>
    <cellStyle name="Standard 6 10 2 7 4" xfId="12185" xr:uid="{8D69FF6C-303D-4CFC-AC28-6F5B48C5ACEA}"/>
    <cellStyle name="Standard 6 10 2 8" xfId="228" xr:uid="{00000000-0005-0000-0000-0000EB000000}"/>
    <cellStyle name="Standard 6 10 2 8 2" xfId="229" xr:uid="{00000000-0005-0000-0000-0000EC000000}"/>
    <cellStyle name="Standard 6 10 2 8 2 2" xfId="12190" xr:uid="{CB640090-7456-48A6-A9D8-52E338DC6052}"/>
    <cellStyle name="Standard 6 10 2 8 3" xfId="12189" xr:uid="{D5ADEDED-5E07-49B5-8CD5-AAE6D9EBC4A8}"/>
    <cellStyle name="Standard 6 10 2 9" xfId="230" xr:uid="{00000000-0005-0000-0000-0000ED000000}"/>
    <cellStyle name="Standard 6 10 2 9 2" xfId="12191" xr:uid="{E913FE23-5F87-43BC-A337-33348D0FA219}"/>
    <cellStyle name="Standard 6 10 3" xfId="231" xr:uid="{00000000-0005-0000-0000-0000EE000000}"/>
    <cellStyle name="Standard 6 10 3 2" xfId="232" xr:uid="{00000000-0005-0000-0000-0000EF000000}"/>
    <cellStyle name="Standard 6 10 3 2 2" xfId="233" xr:uid="{00000000-0005-0000-0000-0000F0000000}"/>
    <cellStyle name="Standard 6 10 3 2 2 2" xfId="12194" xr:uid="{9B037A88-00BC-4626-8A5B-084CA114280E}"/>
    <cellStyle name="Standard 6 10 3 2 3" xfId="12193" xr:uid="{22DBB876-8CC0-4E73-A26F-E85300B7B335}"/>
    <cellStyle name="Standard 6 10 3 3" xfId="234" xr:uid="{00000000-0005-0000-0000-0000F1000000}"/>
    <cellStyle name="Standard 6 10 3 3 2" xfId="12195" xr:uid="{B732D1B2-572C-48A1-881C-D61E0CF3D675}"/>
    <cellStyle name="Standard 6 10 3 4" xfId="12192" xr:uid="{D4AB6399-473E-4994-A32D-5FBE2B32473B}"/>
    <cellStyle name="Standard 6 10 4" xfId="235" xr:uid="{00000000-0005-0000-0000-0000F2000000}"/>
    <cellStyle name="Standard 6 10 4 2" xfId="236" xr:uid="{00000000-0005-0000-0000-0000F3000000}"/>
    <cellStyle name="Standard 6 10 4 2 2" xfId="237" xr:uid="{00000000-0005-0000-0000-0000F4000000}"/>
    <cellStyle name="Standard 6 10 4 2 2 2" xfId="12198" xr:uid="{EE393366-21F4-4B73-9A1E-D82D2CAF3B14}"/>
    <cellStyle name="Standard 6 10 4 2 3" xfId="12197" xr:uid="{8EA9018F-9C35-47E0-9A64-D1339539F617}"/>
    <cellStyle name="Standard 6 10 4 3" xfId="238" xr:uid="{00000000-0005-0000-0000-0000F5000000}"/>
    <cellStyle name="Standard 6 10 4 3 2" xfId="12199" xr:uid="{6FD2B088-D8DC-4924-86FE-0661031B929E}"/>
    <cellStyle name="Standard 6 10 4 4" xfId="12196" xr:uid="{07074F77-9AD7-47E8-B6BA-8E71537C613B}"/>
    <cellStyle name="Standard 6 10 5" xfId="239" xr:uid="{00000000-0005-0000-0000-0000F6000000}"/>
    <cellStyle name="Standard 6 10 5 2" xfId="240" xr:uid="{00000000-0005-0000-0000-0000F7000000}"/>
    <cellStyle name="Standard 6 10 5 2 2" xfId="241" xr:uid="{00000000-0005-0000-0000-0000F8000000}"/>
    <cellStyle name="Standard 6 10 5 2 2 2" xfId="12202" xr:uid="{E8F992D3-D4FC-431B-AF49-86135687724F}"/>
    <cellStyle name="Standard 6 10 5 2 3" xfId="12201" xr:uid="{53F0F1E4-64C2-4F43-8511-AC4E9CE70291}"/>
    <cellStyle name="Standard 6 10 5 3" xfId="242" xr:uid="{00000000-0005-0000-0000-0000F9000000}"/>
    <cellStyle name="Standard 6 10 5 3 2" xfId="12203" xr:uid="{340BB530-376C-4E04-A4F5-89EE5594756A}"/>
    <cellStyle name="Standard 6 10 5 4" xfId="12200" xr:uid="{E5AD11E5-7A07-4E35-9F4F-F4548698FAE9}"/>
    <cellStyle name="Standard 6 10 6" xfId="243" xr:uid="{00000000-0005-0000-0000-0000FA000000}"/>
    <cellStyle name="Standard 6 10 6 2" xfId="244" xr:uid="{00000000-0005-0000-0000-0000FB000000}"/>
    <cellStyle name="Standard 6 10 6 2 2" xfId="245" xr:uid="{00000000-0005-0000-0000-0000FC000000}"/>
    <cellStyle name="Standard 6 10 6 2 2 2" xfId="12206" xr:uid="{911E888F-533F-4788-9173-BD3B0552620F}"/>
    <cellStyle name="Standard 6 10 6 2 3" xfId="12205" xr:uid="{6F170097-AB66-4A42-87FF-29567E3C93AF}"/>
    <cellStyle name="Standard 6 10 6 3" xfId="246" xr:uid="{00000000-0005-0000-0000-0000FD000000}"/>
    <cellStyle name="Standard 6 10 6 3 2" xfId="12207" xr:uid="{1771ED13-FAC4-4D3F-97B8-C7260C0EF325}"/>
    <cellStyle name="Standard 6 10 6 4" xfId="12204" xr:uid="{58B7F56D-2ED0-4DE6-B2F3-91D4F15D2F2B}"/>
    <cellStyle name="Standard 6 10 7" xfId="247" xr:uid="{00000000-0005-0000-0000-0000FE000000}"/>
    <cellStyle name="Standard 6 10 7 2" xfId="248" xr:uid="{00000000-0005-0000-0000-0000FF000000}"/>
    <cellStyle name="Standard 6 10 7 2 2" xfId="249" xr:uid="{00000000-0005-0000-0000-000000010000}"/>
    <cellStyle name="Standard 6 10 7 2 2 2" xfId="12210" xr:uid="{DAACEB78-3125-4025-85D3-EEA5C92E0EA4}"/>
    <cellStyle name="Standard 6 10 7 2 3" xfId="12209" xr:uid="{099F397C-A637-41B7-9E12-58571A18933A}"/>
    <cellStyle name="Standard 6 10 7 3" xfId="250" xr:uid="{00000000-0005-0000-0000-000001010000}"/>
    <cellStyle name="Standard 6 10 7 3 2" xfId="12211" xr:uid="{DCFC2199-A4C7-4424-B2DE-F8D159187ADE}"/>
    <cellStyle name="Standard 6 10 7 4" xfId="12208" xr:uid="{72197ABF-9B98-4531-952E-192535ABFA97}"/>
    <cellStyle name="Standard 6 10 8" xfId="251" xr:uid="{00000000-0005-0000-0000-000002010000}"/>
    <cellStyle name="Standard 6 10 8 2" xfId="252" xr:uid="{00000000-0005-0000-0000-000003010000}"/>
    <cellStyle name="Standard 6 10 8 2 2" xfId="253" xr:uid="{00000000-0005-0000-0000-000004010000}"/>
    <cellStyle name="Standard 6 10 8 2 2 2" xfId="12214" xr:uid="{711BDD99-EB38-4516-97B3-7EE97A4D50C2}"/>
    <cellStyle name="Standard 6 10 8 2 3" xfId="12213" xr:uid="{17A315DF-C673-48EE-82BF-D644C70AC5E9}"/>
    <cellStyle name="Standard 6 10 8 3" xfId="254" xr:uid="{00000000-0005-0000-0000-000005010000}"/>
    <cellStyle name="Standard 6 10 8 3 2" xfId="12215" xr:uid="{E80225E0-7157-4E91-A77B-B57E6248F1E1}"/>
    <cellStyle name="Standard 6 10 8 4" xfId="12212" xr:uid="{508E1E1C-8A61-4440-99F9-6F61BB0371ED}"/>
    <cellStyle name="Standard 6 10 9" xfId="255" xr:uid="{00000000-0005-0000-0000-000006010000}"/>
    <cellStyle name="Standard 6 10 9 2" xfId="256" xr:uid="{00000000-0005-0000-0000-000007010000}"/>
    <cellStyle name="Standard 6 10 9 2 2" xfId="12217" xr:uid="{FD8400A4-19FB-45AC-9BF4-2DDD840FDB92}"/>
    <cellStyle name="Standard 6 10 9 3" xfId="12216" xr:uid="{C8BCB90B-4A3A-4921-A374-1570312DA018}"/>
    <cellStyle name="Standard 6 11" xfId="257" xr:uid="{00000000-0005-0000-0000-000008010000}"/>
    <cellStyle name="Standard 6 11 10" xfId="258" xr:uid="{00000000-0005-0000-0000-000009010000}"/>
    <cellStyle name="Standard 6 11 10 2" xfId="12219" xr:uid="{4035F397-91AB-4A5F-95B0-666B945A52BB}"/>
    <cellStyle name="Standard 6 11 11" xfId="12218" xr:uid="{30BB9381-936E-4AED-BA2A-E7E3A1856D22}"/>
    <cellStyle name="Standard 6 11 2" xfId="259" xr:uid="{00000000-0005-0000-0000-00000A010000}"/>
    <cellStyle name="Standard 6 11 2 10" xfId="12220" xr:uid="{6CF21C67-463B-42A1-8E1D-CD2EE1170709}"/>
    <cellStyle name="Standard 6 11 2 2" xfId="260" xr:uid="{00000000-0005-0000-0000-00000B010000}"/>
    <cellStyle name="Standard 6 11 2 2 2" xfId="261" xr:uid="{00000000-0005-0000-0000-00000C010000}"/>
    <cellStyle name="Standard 6 11 2 2 2 2" xfId="262" xr:uid="{00000000-0005-0000-0000-00000D010000}"/>
    <cellStyle name="Standard 6 11 2 2 2 2 2" xfId="12223" xr:uid="{FDE79DDA-5809-413B-A1CA-9535AAB003AC}"/>
    <cellStyle name="Standard 6 11 2 2 2 3" xfId="12222" xr:uid="{14F03898-516C-4176-BBB0-6122250E880B}"/>
    <cellStyle name="Standard 6 11 2 2 3" xfId="263" xr:uid="{00000000-0005-0000-0000-00000E010000}"/>
    <cellStyle name="Standard 6 11 2 2 3 2" xfId="12224" xr:uid="{CA9B5B99-1396-4454-B8CA-391F86C008A9}"/>
    <cellStyle name="Standard 6 11 2 2 4" xfId="12221" xr:uid="{BF95F05A-35B4-4E34-A9F0-16DE8D23BE7D}"/>
    <cellStyle name="Standard 6 11 2 3" xfId="264" xr:uid="{00000000-0005-0000-0000-00000F010000}"/>
    <cellStyle name="Standard 6 11 2 3 2" xfId="265" xr:uid="{00000000-0005-0000-0000-000010010000}"/>
    <cellStyle name="Standard 6 11 2 3 2 2" xfId="266" xr:uid="{00000000-0005-0000-0000-000011010000}"/>
    <cellStyle name="Standard 6 11 2 3 2 2 2" xfId="12227" xr:uid="{35D082C1-378D-4649-9D22-66859E72478E}"/>
    <cellStyle name="Standard 6 11 2 3 2 3" xfId="12226" xr:uid="{9F807D91-AFC3-4F78-8D6F-19EAD44BBE9E}"/>
    <cellStyle name="Standard 6 11 2 3 3" xfId="267" xr:uid="{00000000-0005-0000-0000-000012010000}"/>
    <cellStyle name="Standard 6 11 2 3 3 2" xfId="12228" xr:uid="{5578B82F-6246-4217-AAF6-B2D32A37CC9F}"/>
    <cellStyle name="Standard 6 11 2 3 4" xfId="12225" xr:uid="{767A0CA4-F3D7-44A7-97F9-B57151FB4C06}"/>
    <cellStyle name="Standard 6 11 2 4" xfId="268" xr:uid="{00000000-0005-0000-0000-000013010000}"/>
    <cellStyle name="Standard 6 11 2 4 2" xfId="269" xr:uid="{00000000-0005-0000-0000-000014010000}"/>
    <cellStyle name="Standard 6 11 2 4 2 2" xfId="270" xr:uid="{00000000-0005-0000-0000-000015010000}"/>
    <cellStyle name="Standard 6 11 2 4 2 2 2" xfId="12231" xr:uid="{EF88123A-4ABD-4C57-881C-49BC79C894A7}"/>
    <cellStyle name="Standard 6 11 2 4 2 3" xfId="12230" xr:uid="{477FC08C-CDCF-4C39-9D13-35EC61397B71}"/>
    <cellStyle name="Standard 6 11 2 4 3" xfId="271" xr:uid="{00000000-0005-0000-0000-000016010000}"/>
    <cellStyle name="Standard 6 11 2 4 3 2" xfId="12232" xr:uid="{FCC8B7F9-B13E-4E7D-9E5D-FDA9E7A07365}"/>
    <cellStyle name="Standard 6 11 2 4 4" xfId="12229" xr:uid="{2FBB3426-5F7A-483F-9253-1CBB890D84DD}"/>
    <cellStyle name="Standard 6 11 2 5" xfId="272" xr:uid="{00000000-0005-0000-0000-000017010000}"/>
    <cellStyle name="Standard 6 11 2 5 2" xfId="273" xr:uid="{00000000-0005-0000-0000-000018010000}"/>
    <cellStyle name="Standard 6 11 2 5 2 2" xfId="274" xr:uid="{00000000-0005-0000-0000-000019010000}"/>
    <cellStyle name="Standard 6 11 2 5 2 2 2" xfId="12235" xr:uid="{88DFB686-EA04-441C-B435-5AFC99F67251}"/>
    <cellStyle name="Standard 6 11 2 5 2 3" xfId="12234" xr:uid="{13D2A7BF-1EA7-4793-A67E-1490B7F17264}"/>
    <cellStyle name="Standard 6 11 2 5 3" xfId="275" xr:uid="{00000000-0005-0000-0000-00001A010000}"/>
    <cellStyle name="Standard 6 11 2 5 3 2" xfId="12236" xr:uid="{D280B2C8-50D7-46B2-ACDD-3BD21BF8ADEB}"/>
    <cellStyle name="Standard 6 11 2 5 4" xfId="12233" xr:uid="{4ED11F9B-DDD9-4023-9206-940F69E0D36F}"/>
    <cellStyle name="Standard 6 11 2 6" xfId="276" xr:uid="{00000000-0005-0000-0000-00001B010000}"/>
    <cellStyle name="Standard 6 11 2 6 2" xfId="277" xr:uid="{00000000-0005-0000-0000-00001C010000}"/>
    <cellStyle name="Standard 6 11 2 6 2 2" xfId="278" xr:uid="{00000000-0005-0000-0000-00001D010000}"/>
    <cellStyle name="Standard 6 11 2 6 2 2 2" xfId="12239" xr:uid="{7801679E-1B6B-45E9-BFE9-98A4DCD1C6C6}"/>
    <cellStyle name="Standard 6 11 2 6 2 3" xfId="12238" xr:uid="{7D1D48B0-2668-4611-B0F9-C843FE6FD70C}"/>
    <cellStyle name="Standard 6 11 2 6 3" xfId="279" xr:uid="{00000000-0005-0000-0000-00001E010000}"/>
    <cellStyle name="Standard 6 11 2 6 3 2" xfId="12240" xr:uid="{C1ADD460-9848-4EE7-9D55-26FEBCABEFAF}"/>
    <cellStyle name="Standard 6 11 2 6 4" xfId="12237" xr:uid="{0726E5ED-A7BA-4F00-AA87-D8D82ED0216C}"/>
    <cellStyle name="Standard 6 11 2 7" xfId="280" xr:uid="{00000000-0005-0000-0000-00001F010000}"/>
    <cellStyle name="Standard 6 11 2 7 2" xfId="281" xr:uid="{00000000-0005-0000-0000-000020010000}"/>
    <cellStyle name="Standard 6 11 2 7 2 2" xfId="282" xr:uid="{00000000-0005-0000-0000-000021010000}"/>
    <cellStyle name="Standard 6 11 2 7 2 2 2" xfId="12243" xr:uid="{9586968D-4007-45E4-A8AE-47C7657465BE}"/>
    <cellStyle name="Standard 6 11 2 7 2 3" xfId="12242" xr:uid="{056D3B4E-249B-482A-8586-434DD33C7FD3}"/>
    <cellStyle name="Standard 6 11 2 7 3" xfId="283" xr:uid="{00000000-0005-0000-0000-000022010000}"/>
    <cellStyle name="Standard 6 11 2 7 3 2" xfId="12244" xr:uid="{74D99419-41B0-4BCC-AD94-A80F98287374}"/>
    <cellStyle name="Standard 6 11 2 7 4" xfId="12241" xr:uid="{12158FFC-918D-4ADC-8353-604FCA7B4C4B}"/>
    <cellStyle name="Standard 6 11 2 8" xfId="284" xr:uid="{00000000-0005-0000-0000-000023010000}"/>
    <cellStyle name="Standard 6 11 2 8 2" xfId="285" xr:uid="{00000000-0005-0000-0000-000024010000}"/>
    <cellStyle name="Standard 6 11 2 8 2 2" xfId="12246" xr:uid="{39E29C64-2F34-45A3-A742-06863450FCB8}"/>
    <cellStyle name="Standard 6 11 2 8 3" xfId="12245" xr:uid="{CF0842DD-0AF9-4997-A2CC-2BC37D13103D}"/>
    <cellStyle name="Standard 6 11 2 9" xfId="286" xr:uid="{00000000-0005-0000-0000-000025010000}"/>
    <cellStyle name="Standard 6 11 2 9 2" xfId="12247" xr:uid="{C47CF08D-7EA9-4101-8F91-2136FE8FD9FC}"/>
    <cellStyle name="Standard 6 11 3" xfId="287" xr:uid="{00000000-0005-0000-0000-000026010000}"/>
    <cellStyle name="Standard 6 11 3 2" xfId="288" xr:uid="{00000000-0005-0000-0000-000027010000}"/>
    <cellStyle name="Standard 6 11 3 2 2" xfId="289" xr:uid="{00000000-0005-0000-0000-000028010000}"/>
    <cellStyle name="Standard 6 11 3 2 2 2" xfId="12250" xr:uid="{0DC7DB49-F2C0-4C0F-A0C9-AB8B039BC595}"/>
    <cellStyle name="Standard 6 11 3 2 3" xfId="12249" xr:uid="{11FA219E-0FC2-417B-B99A-B3EDCAEB8312}"/>
    <cellStyle name="Standard 6 11 3 3" xfId="290" xr:uid="{00000000-0005-0000-0000-000029010000}"/>
    <cellStyle name="Standard 6 11 3 3 2" xfId="12251" xr:uid="{914EC452-B3F4-4195-B3A3-9F22E80D5645}"/>
    <cellStyle name="Standard 6 11 3 4" xfId="12248" xr:uid="{260461B1-9836-4742-8F7E-45B40015EAC4}"/>
    <cellStyle name="Standard 6 11 4" xfId="291" xr:uid="{00000000-0005-0000-0000-00002A010000}"/>
    <cellStyle name="Standard 6 11 4 2" xfId="292" xr:uid="{00000000-0005-0000-0000-00002B010000}"/>
    <cellStyle name="Standard 6 11 4 2 2" xfId="293" xr:uid="{00000000-0005-0000-0000-00002C010000}"/>
    <cellStyle name="Standard 6 11 4 2 2 2" xfId="12254" xr:uid="{0CB1E1FD-689C-4E77-950F-8835D076A7E0}"/>
    <cellStyle name="Standard 6 11 4 2 3" xfId="12253" xr:uid="{1319CA67-712F-4B68-8732-6F210A0CD4DB}"/>
    <cellStyle name="Standard 6 11 4 3" xfId="294" xr:uid="{00000000-0005-0000-0000-00002D010000}"/>
    <cellStyle name="Standard 6 11 4 3 2" xfId="12255" xr:uid="{FF69348A-28D0-410B-98CF-9AF22743DA1F}"/>
    <cellStyle name="Standard 6 11 4 4" xfId="12252" xr:uid="{A1F0330F-EBEF-4C5B-9461-EE05071F6BF4}"/>
    <cellStyle name="Standard 6 11 5" xfId="295" xr:uid="{00000000-0005-0000-0000-00002E010000}"/>
    <cellStyle name="Standard 6 11 5 2" xfId="296" xr:uid="{00000000-0005-0000-0000-00002F010000}"/>
    <cellStyle name="Standard 6 11 5 2 2" xfId="297" xr:uid="{00000000-0005-0000-0000-000030010000}"/>
    <cellStyle name="Standard 6 11 5 2 2 2" xfId="12258" xr:uid="{2E6C2E8D-D398-4E5F-8E59-F2F087528EFF}"/>
    <cellStyle name="Standard 6 11 5 2 3" xfId="12257" xr:uid="{BDECCC37-68E9-4DB5-8A9E-80F3B17EB86A}"/>
    <cellStyle name="Standard 6 11 5 3" xfId="298" xr:uid="{00000000-0005-0000-0000-000031010000}"/>
    <cellStyle name="Standard 6 11 5 3 2" xfId="12259" xr:uid="{CC4C175B-A89E-47F3-BB1A-CFAFB03FAF02}"/>
    <cellStyle name="Standard 6 11 5 4" xfId="12256" xr:uid="{E4853C23-1D63-4363-BC8D-C2ED262AA1FD}"/>
    <cellStyle name="Standard 6 11 6" xfId="299" xr:uid="{00000000-0005-0000-0000-000032010000}"/>
    <cellStyle name="Standard 6 11 6 2" xfId="300" xr:uid="{00000000-0005-0000-0000-000033010000}"/>
    <cellStyle name="Standard 6 11 6 2 2" xfId="301" xr:uid="{00000000-0005-0000-0000-000034010000}"/>
    <cellStyle name="Standard 6 11 6 2 2 2" xfId="12262" xr:uid="{113A557A-8967-4910-9B7E-800994626991}"/>
    <cellStyle name="Standard 6 11 6 2 3" xfId="12261" xr:uid="{BA015360-2CC6-4FEB-B131-3F137EEE5605}"/>
    <cellStyle name="Standard 6 11 6 3" xfId="302" xr:uid="{00000000-0005-0000-0000-000035010000}"/>
    <cellStyle name="Standard 6 11 6 3 2" xfId="12263" xr:uid="{147787F4-58AB-444A-8813-70D762091901}"/>
    <cellStyle name="Standard 6 11 6 4" xfId="12260" xr:uid="{0753AEBC-8A00-4007-B473-DF938EBD5E35}"/>
    <cellStyle name="Standard 6 11 7" xfId="303" xr:uid="{00000000-0005-0000-0000-000036010000}"/>
    <cellStyle name="Standard 6 11 7 2" xfId="304" xr:uid="{00000000-0005-0000-0000-000037010000}"/>
    <cellStyle name="Standard 6 11 7 2 2" xfId="305" xr:uid="{00000000-0005-0000-0000-000038010000}"/>
    <cellStyle name="Standard 6 11 7 2 2 2" xfId="12266" xr:uid="{6E347E89-053E-4453-B721-5697C7556BC3}"/>
    <cellStyle name="Standard 6 11 7 2 3" xfId="12265" xr:uid="{D2704C75-0CBA-45F4-B914-CBAEDED5A68B}"/>
    <cellStyle name="Standard 6 11 7 3" xfId="306" xr:uid="{00000000-0005-0000-0000-000039010000}"/>
    <cellStyle name="Standard 6 11 7 3 2" xfId="12267" xr:uid="{798D671B-6260-4A9B-BC5A-9185BF58EDCF}"/>
    <cellStyle name="Standard 6 11 7 4" xfId="12264" xr:uid="{B125E553-CA67-441D-8365-003493921698}"/>
    <cellStyle name="Standard 6 11 8" xfId="307" xr:uid="{00000000-0005-0000-0000-00003A010000}"/>
    <cellStyle name="Standard 6 11 8 2" xfId="308" xr:uid="{00000000-0005-0000-0000-00003B010000}"/>
    <cellStyle name="Standard 6 11 8 2 2" xfId="309" xr:uid="{00000000-0005-0000-0000-00003C010000}"/>
    <cellStyle name="Standard 6 11 8 2 2 2" xfId="12270" xr:uid="{D9D60465-0F1C-4524-ADDA-E02F585CF541}"/>
    <cellStyle name="Standard 6 11 8 2 3" xfId="12269" xr:uid="{333E2899-5722-43B1-981E-ADB552FA2803}"/>
    <cellStyle name="Standard 6 11 8 3" xfId="310" xr:uid="{00000000-0005-0000-0000-00003D010000}"/>
    <cellStyle name="Standard 6 11 8 3 2" xfId="12271" xr:uid="{D868B006-7DCA-4E2D-BC90-4EFE99380FAF}"/>
    <cellStyle name="Standard 6 11 8 4" xfId="12268" xr:uid="{D444008E-44A1-4054-BB8D-913A1001DEE8}"/>
    <cellStyle name="Standard 6 11 9" xfId="311" xr:uid="{00000000-0005-0000-0000-00003E010000}"/>
    <cellStyle name="Standard 6 11 9 2" xfId="312" xr:uid="{00000000-0005-0000-0000-00003F010000}"/>
    <cellStyle name="Standard 6 11 9 2 2" xfId="12273" xr:uid="{1A9BEB6B-F5FA-43CE-A910-B2A3D7ADD5D0}"/>
    <cellStyle name="Standard 6 11 9 3" xfId="12272" xr:uid="{C99A7134-CDF1-4BF1-89AB-62FFDF67DBC4}"/>
    <cellStyle name="Standard 6 12" xfId="313" xr:uid="{00000000-0005-0000-0000-000040010000}"/>
    <cellStyle name="Standard 6 12 10" xfId="314" xr:uid="{00000000-0005-0000-0000-000041010000}"/>
    <cellStyle name="Standard 6 12 10 2" xfId="12275" xr:uid="{2E74C3BB-21C2-4237-AA6A-955B4A135166}"/>
    <cellStyle name="Standard 6 12 11" xfId="12274" xr:uid="{355150F7-7DDD-4C03-A7F1-117C7C0232F9}"/>
    <cellStyle name="Standard 6 12 2" xfId="315" xr:uid="{00000000-0005-0000-0000-000042010000}"/>
    <cellStyle name="Standard 6 12 2 10" xfId="12276" xr:uid="{98AB4908-3BF8-4D29-AD70-895FA3CB7B6E}"/>
    <cellStyle name="Standard 6 12 2 2" xfId="316" xr:uid="{00000000-0005-0000-0000-000043010000}"/>
    <cellStyle name="Standard 6 12 2 2 2" xfId="317" xr:uid="{00000000-0005-0000-0000-000044010000}"/>
    <cellStyle name="Standard 6 12 2 2 2 2" xfId="318" xr:uid="{00000000-0005-0000-0000-000045010000}"/>
    <cellStyle name="Standard 6 12 2 2 2 2 2" xfId="12279" xr:uid="{4F891845-F0BB-4399-97F2-EE1C1A86EB49}"/>
    <cellStyle name="Standard 6 12 2 2 2 3" xfId="12278" xr:uid="{884CBC7F-466F-494C-936B-011F586A1470}"/>
    <cellStyle name="Standard 6 12 2 2 3" xfId="319" xr:uid="{00000000-0005-0000-0000-000046010000}"/>
    <cellStyle name="Standard 6 12 2 2 3 2" xfId="12280" xr:uid="{06D2B697-4623-4111-BFE2-D477F5953B55}"/>
    <cellStyle name="Standard 6 12 2 2 4" xfId="12277" xr:uid="{8B787F2A-5FA5-4E5F-9482-95988F904EC9}"/>
    <cellStyle name="Standard 6 12 2 3" xfId="320" xr:uid="{00000000-0005-0000-0000-000047010000}"/>
    <cellStyle name="Standard 6 12 2 3 2" xfId="321" xr:uid="{00000000-0005-0000-0000-000048010000}"/>
    <cellStyle name="Standard 6 12 2 3 2 2" xfId="322" xr:uid="{00000000-0005-0000-0000-000049010000}"/>
    <cellStyle name="Standard 6 12 2 3 2 2 2" xfId="12283" xr:uid="{81C1BEE8-CBE9-4088-8D9C-AF0F95A7323B}"/>
    <cellStyle name="Standard 6 12 2 3 2 3" xfId="12282" xr:uid="{C8FFF960-3933-4606-8AB4-922A2BC1B244}"/>
    <cellStyle name="Standard 6 12 2 3 3" xfId="323" xr:uid="{00000000-0005-0000-0000-00004A010000}"/>
    <cellStyle name="Standard 6 12 2 3 3 2" xfId="12284" xr:uid="{4A76FAD0-3365-4D92-BB23-AE27B9D97494}"/>
    <cellStyle name="Standard 6 12 2 3 4" xfId="12281" xr:uid="{ECE3D24B-A0D9-4DC8-804A-7BEAA75F5617}"/>
    <cellStyle name="Standard 6 12 2 4" xfId="324" xr:uid="{00000000-0005-0000-0000-00004B010000}"/>
    <cellStyle name="Standard 6 12 2 4 2" xfId="325" xr:uid="{00000000-0005-0000-0000-00004C010000}"/>
    <cellStyle name="Standard 6 12 2 4 2 2" xfId="326" xr:uid="{00000000-0005-0000-0000-00004D010000}"/>
    <cellStyle name="Standard 6 12 2 4 2 2 2" xfId="12287" xr:uid="{3656A4A6-1FB9-4DAE-ABDC-8E43CC0D3CBD}"/>
    <cellStyle name="Standard 6 12 2 4 2 3" xfId="12286" xr:uid="{92A6AC62-8C7B-4E6E-A5EE-3393DE1C768A}"/>
    <cellStyle name="Standard 6 12 2 4 3" xfId="327" xr:uid="{00000000-0005-0000-0000-00004E010000}"/>
    <cellStyle name="Standard 6 12 2 4 3 2" xfId="12288" xr:uid="{32ADBDAD-BEF1-4063-8ECE-1BE6E0160EC4}"/>
    <cellStyle name="Standard 6 12 2 4 4" xfId="12285" xr:uid="{BE82B45A-C01B-4C61-83EF-0D18282C3BC5}"/>
    <cellStyle name="Standard 6 12 2 5" xfId="328" xr:uid="{00000000-0005-0000-0000-00004F010000}"/>
    <cellStyle name="Standard 6 12 2 5 2" xfId="329" xr:uid="{00000000-0005-0000-0000-000050010000}"/>
    <cellStyle name="Standard 6 12 2 5 2 2" xfId="330" xr:uid="{00000000-0005-0000-0000-000051010000}"/>
    <cellStyle name="Standard 6 12 2 5 2 2 2" xfId="12291" xr:uid="{1A7AD858-836F-4945-8DF4-B2E06194B826}"/>
    <cellStyle name="Standard 6 12 2 5 2 3" xfId="12290" xr:uid="{1E05D288-695F-4578-9800-F4613B3CC41C}"/>
    <cellStyle name="Standard 6 12 2 5 3" xfId="331" xr:uid="{00000000-0005-0000-0000-000052010000}"/>
    <cellStyle name="Standard 6 12 2 5 3 2" xfId="12292" xr:uid="{13E38DCD-F6E1-49FD-983E-762EF08339E1}"/>
    <cellStyle name="Standard 6 12 2 5 4" xfId="12289" xr:uid="{586ED94D-C409-4B2A-95BE-48FD3DC9D8BC}"/>
    <cellStyle name="Standard 6 12 2 6" xfId="332" xr:uid="{00000000-0005-0000-0000-000053010000}"/>
    <cellStyle name="Standard 6 12 2 6 2" xfId="333" xr:uid="{00000000-0005-0000-0000-000054010000}"/>
    <cellStyle name="Standard 6 12 2 6 2 2" xfId="334" xr:uid="{00000000-0005-0000-0000-000055010000}"/>
    <cellStyle name="Standard 6 12 2 6 2 2 2" xfId="12295" xr:uid="{D1F0C054-DEBE-4F71-A322-CAB793314D7F}"/>
    <cellStyle name="Standard 6 12 2 6 2 3" xfId="12294" xr:uid="{B8474B19-6E57-4F66-B236-C1D8BBDE59E6}"/>
    <cellStyle name="Standard 6 12 2 6 3" xfId="335" xr:uid="{00000000-0005-0000-0000-000056010000}"/>
    <cellStyle name="Standard 6 12 2 6 3 2" xfId="12296" xr:uid="{9C1DC4BA-9704-4A24-BEEA-6A22EBE1216D}"/>
    <cellStyle name="Standard 6 12 2 6 4" xfId="12293" xr:uid="{4E02D088-5F3B-48BA-B12C-5D55850784A6}"/>
    <cellStyle name="Standard 6 12 2 7" xfId="336" xr:uid="{00000000-0005-0000-0000-000057010000}"/>
    <cellStyle name="Standard 6 12 2 7 2" xfId="337" xr:uid="{00000000-0005-0000-0000-000058010000}"/>
    <cellStyle name="Standard 6 12 2 7 2 2" xfId="338" xr:uid="{00000000-0005-0000-0000-000059010000}"/>
    <cellStyle name="Standard 6 12 2 7 2 2 2" xfId="12299" xr:uid="{A6B63E25-DC45-4449-A28D-2D12F014C20A}"/>
    <cellStyle name="Standard 6 12 2 7 2 3" xfId="12298" xr:uid="{AF5607DD-164A-426D-B9D5-488A009748DB}"/>
    <cellStyle name="Standard 6 12 2 7 3" xfId="339" xr:uid="{00000000-0005-0000-0000-00005A010000}"/>
    <cellStyle name="Standard 6 12 2 7 3 2" xfId="12300" xr:uid="{DE74E4DE-1EB4-42E9-8C78-54E5BD9032F3}"/>
    <cellStyle name="Standard 6 12 2 7 4" xfId="12297" xr:uid="{D272C078-3BED-4E71-AAD4-1A3E73F160DF}"/>
    <cellStyle name="Standard 6 12 2 8" xfId="340" xr:uid="{00000000-0005-0000-0000-00005B010000}"/>
    <cellStyle name="Standard 6 12 2 8 2" xfId="341" xr:uid="{00000000-0005-0000-0000-00005C010000}"/>
    <cellStyle name="Standard 6 12 2 8 2 2" xfId="12302" xr:uid="{D79435C0-042A-443E-86A2-0FC010A54794}"/>
    <cellStyle name="Standard 6 12 2 8 3" xfId="12301" xr:uid="{5E9C2DE1-D418-493F-BEAC-C426B4E4A83E}"/>
    <cellStyle name="Standard 6 12 2 9" xfId="342" xr:uid="{00000000-0005-0000-0000-00005D010000}"/>
    <cellStyle name="Standard 6 12 2 9 2" xfId="12303" xr:uid="{6DE69693-6A82-4EE0-A5C8-DC91E22FA414}"/>
    <cellStyle name="Standard 6 12 3" xfId="343" xr:uid="{00000000-0005-0000-0000-00005E010000}"/>
    <cellStyle name="Standard 6 12 3 2" xfId="344" xr:uid="{00000000-0005-0000-0000-00005F010000}"/>
    <cellStyle name="Standard 6 12 3 2 2" xfId="345" xr:uid="{00000000-0005-0000-0000-000060010000}"/>
    <cellStyle name="Standard 6 12 3 2 2 2" xfId="12306" xr:uid="{AAB8DA53-EBB3-49E9-99E6-07A16BA32A10}"/>
    <cellStyle name="Standard 6 12 3 2 3" xfId="12305" xr:uid="{67735117-FC00-48A5-9A3B-65C7E191997A}"/>
    <cellStyle name="Standard 6 12 3 3" xfId="346" xr:uid="{00000000-0005-0000-0000-000061010000}"/>
    <cellStyle name="Standard 6 12 3 3 2" xfId="12307" xr:uid="{5DC5AE1C-7D56-4E28-8CEA-FCD789EDA1F3}"/>
    <cellStyle name="Standard 6 12 3 4" xfId="12304" xr:uid="{D68149B9-FBE4-4AC1-B2EF-33A51FCD01C5}"/>
    <cellStyle name="Standard 6 12 4" xfId="347" xr:uid="{00000000-0005-0000-0000-000062010000}"/>
    <cellStyle name="Standard 6 12 4 2" xfId="348" xr:uid="{00000000-0005-0000-0000-000063010000}"/>
    <cellStyle name="Standard 6 12 4 2 2" xfId="349" xr:uid="{00000000-0005-0000-0000-000064010000}"/>
    <cellStyle name="Standard 6 12 4 2 2 2" xfId="12310" xr:uid="{C9713C96-D407-407D-B256-EC3D2145FACD}"/>
    <cellStyle name="Standard 6 12 4 2 3" xfId="12309" xr:uid="{4CC49E2B-352E-43AD-AFEF-4D41DB7112A4}"/>
    <cellStyle name="Standard 6 12 4 3" xfId="350" xr:uid="{00000000-0005-0000-0000-000065010000}"/>
    <cellStyle name="Standard 6 12 4 3 2" xfId="12311" xr:uid="{96327E05-AAE5-4427-AD3B-089D8A31C66B}"/>
    <cellStyle name="Standard 6 12 4 4" xfId="12308" xr:uid="{2399F18C-359B-4AFA-ACEA-0D708A3D2436}"/>
    <cellStyle name="Standard 6 12 5" xfId="351" xr:uid="{00000000-0005-0000-0000-000066010000}"/>
    <cellStyle name="Standard 6 12 5 2" xfId="352" xr:uid="{00000000-0005-0000-0000-000067010000}"/>
    <cellStyle name="Standard 6 12 5 2 2" xfId="353" xr:uid="{00000000-0005-0000-0000-000068010000}"/>
    <cellStyle name="Standard 6 12 5 2 2 2" xfId="12314" xr:uid="{13A4A2A4-8F83-4417-90A7-BDBBC00B0C16}"/>
    <cellStyle name="Standard 6 12 5 2 3" xfId="12313" xr:uid="{325E61F4-8F95-4334-9FE3-EC1B621A1C35}"/>
    <cellStyle name="Standard 6 12 5 3" xfId="354" xr:uid="{00000000-0005-0000-0000-000069010000}"/>
    <cellStyle name="Standard 6 12 5 3 2" xfId="12315" xr:uid="{88FA9F29-0313-4671-844F-C8B91342E60A}"/>
    <cellStyle name="Standard 6 12 5 4" xfId="12312" xr:uid="{B0E468EF-A122-44FD-B41A-5C94D12458B4}"/>
    <cellStyle name="Standard 6 12 6" xfId="355" xr:uid="{00000000-0005-0000-0000-00006A010000}"/>
    <cellStyle name="Standard 6 12 6 2" xfId="356" xr:uid="{00000000-0005-0000-0000-00006B010000}"/>
    <cellStyle name="Standard 6 12 6 2 2" xfId="357" xr:uid="{00000000-0005-0000-0000-00006C010000}"/>
    <cellStyle name="Standard 6 12 6 2 2 2" xfId="12318" xr:uid="{055A49CE-20EB-4E97-BA1A-50C750B0CDD6}"/>
    <cellStyle name="Standard 6 12 6 2 3" xfId="12317" xr:uid="{FFF78F96-587F-450D-99A8-EC066FBB0D0C}"/>
    <cellStyle name="Standard 6 12 6 3" xfId="358" xr:uid="{00000000-0005-0000-0000-00006D010000}"/>
    <cellStyle name="Standard 6 12 6 3 2" xfId="12319" xr:uid="{323EEB03-1894-474E-846B-D020EDDE85AA}"/>
    <cellStyle name="Standard 6 12 6 4" xfId="12316" xr:uid="{24120BDB-96D4-46B1-8DB5-8283D3CC86AF}"/>
    <cellStyle name="Standard 6 12 7" xfId="359" xr:uid="{00000000-0005-0000-0000-00006E010000}"/>
    <cellStyle name="Standard 6 12 7 2" xfId="360" xr:uid="{00000000-0005-0000-0000-00006F010000}"/>
    <cellStyle name="Standard 6 12 7 2 2" xfId="361" xr:uid="{00000000-0005-0000-0000-000070010000}"/>
    <cellStyle name="Standard 6 12 7 2 2 2" xfId="12322" xr:uid="{26F5F694-9E25-4EC1-8F56-97B89CD4C0D1}"/>
    <cellStyle name="Standard 6 12 7 2 3" xfId="12321" xr:uid="{DA66073E-3D95-42BA-A744-F607E902375D}"/>
    <cellStyle name="Standard 6 12 7 3" xfId="362" xr:uid="{00000000-0005-0000-0000-000071010000}"/>
    <cellStyle name="Standard 6 12 7 3 2" xfId="12323" xr:uid="{144E1CE9-F009-4E9A-B109-B448F52381D4}"/>
    <cellStyle name="Standard 6 12 7 4" xfId="12320" xr:uid="{39805E10-1B97-4440-857B-8DC48777BAF3}"/>
    <cellStyle name="Standard 6 12 8" xfId="363" xr:uid="{00000000-0005-0000-0000-000072010000}"/>
    <cellStyle name="Standard 6 12 8 2" xfId="364" xr:uid="{00000000-0005-0000-0000-000073010000}"/>
    <cellStyle name="Standard 6 12 8 2 2" xfId="365" xr:uid="{00000000-0005-0000-0000-000074010000}"/>
    <cellStyle name="Standard 6 12 8 2 2 2" xfId="12326" xr:uid="{312B27EB-46BA-48C8-AEAC-E0CF278683A3}"/>
    <cellStyle name="Standard 6 12 8 2 3" xfId="12325" xr:uid="{CB090193-7DA5-4685-8175-E32D4E4C79D5}"/>
    <cellStyle name="Standard 6 12 8 3" xfId="366" xr:uid="{00000000-0005-0000-0000-000075010000}"/>
    <cellStyle name="Standard 6 12 8 3 2" xfId="12327" xr:uid="{B4F03917-5802-46F3-912B-CF9686477CAE}"/>
    <cellStyle name="Standard 6 12 8 4" xfId="12324" xr:uid="{9A8614B6-8EB6-47BF-9E15-B3F32BE85807}"/>
    <cellStyle name="Standard 6 12 9" xfId="367" xr:uid="{00000000-0005-0000-0000-000076010000}"/>
    <cellStyle name="Standard 6 12 9 2" xfId="368" xr:uid="{00000000-0005-0000-0000-000077010000}"/>
    <cellStyle name="Standard 6 12 9 2 2" xfId="12329" xr:uid="{258E2845-A13F-47C6-93F4-88A82171D1D3}"/>
    <cellStyle name="Standard 6 12 9 3" xfId="12328" xr:uid="{F64F8872-908A-4529-9DDE-8C9A3B692AD8}"/>
    <cellStyle name="Standard 6 13" xfId="369" xr:uid="{00000000-0005-0000-0000-000078010000}"/>
    <cellStyle name="Standard 6 13 10" xfId="12330" xr:uid="{63C705FE-165E-40FC-ADC6-A9E2B590D354}"/>
    <cellStyle name="Standard 6 13 2" xfId="370" xr:uid="{00000000-0005-0000-0000-000079010000}"/>
    <cellStyle name="Standard 6 13 2 2" xfId="371" xr:uid="{00000000-0005-0000-0000-00007A010000}"/>
    <cellStyle name="Standard 6 13 2 2 2" xfId="372" xr:uid="{00000000-0005-0000-0000-00007B010000}"/>
    <cellStyle name="Standard 6 13 2 2 2 2" xfId="12333" xr:uid="{D27C580B-3C7B-43D3-922C-C8DAFEFA4962}"/>
    <cellStyle name="Standard 6 13 2 2 3" xfId="12332" xr:uid="{BFE47B66-B663-4E12-81C6-356F5B74B815}"/>
    <cellStyle name="Standard 6 13 2 3" xfId="373" xr:uid="{00000000-0005-0000-0000-00007C010000}"/>
    <cellStyle name="Standard 6 13 2 3 2" xfId="12334" xr:uid="{DA135FDD-9C58-40F8-8FD2-EFF53185B607}"/>
    <cellStyle name="Standard 6 13 2 4" xfId="12331" xr:uid="{A142ACC8-B4EE-4092-9CBF-8BEEA0CADF39}"/>
    <cellStyle name="Standard 6 13 3" xfId="374" xr:uid="{00000000-0005-0000-0000-00007D010000}"/>
    <cellStyle name="Standard 6 13 3 2" xfId="375" xr:uid="{00000000-0005-0000-0000-00007E010000}"/>
    <cellStyle name="Standard 6 13 3 2 2" xfId="376" xr:uid="{00000000-0005-0000-0000-00007F010000}"/>
    <cellStyle name="Standard 6 13 3 2 2 2" xfId="12337" xr:uid="{12212CE1-3296-4848-ABE0-3BE198D65B98}"/>
    <cellStyle name="Standard 6 13 3 2 3" xfId="12336" xr:uid="{60FB84DE-DA66-4AF3-ACCC-B89DFD359A74}"/>
    <cellStyle name="Standard 6 13 3 3" xfId="377" xr:uid="{00000000-0005-0000-0000-000080010000}"/>
    <cellStyle name="Standard 6 13 3 3 2" xfId="12338" xr:uid="{90F2EDFF-1D51-4355-A1F9-DE2EE000ABFD}"/>
    <cellStyle name="Standard 6 13 3 4" xfId="12335" xr:uid="{6E9009AF-3021-4A45-95B3-7DFBC0401EDE}"/>
    <cellStyle name="Standard 6 13 4" xfId="378" xr:uid="{00000000-0005-0000-0000-000081010000}"/>
    <cellStyle name="Standard 6 13 4 2" xfId="379" xr:uid="{00000000-0005-0000-0000-000082010000}"/>
    <cellStyle name="Standard 6 13 4 2 2" xfId="380" xr:uid="{00000000-0005-0000-0000-000083010000}"/>
    <cellStyle name="Standard 6 13 4 2 2 2" xfId="12341" xr:uid="{A14F3B48-CEC1-41DA-854F-7A487F2F7DBF}"/>
    <cellStyle name="Standard 6 13 4 2 3" xfId="12340" xr:uid="{50F793BE-08B3-4AE1-B645-C780391A923D}"/>
    <cellStyle name="Standard 6 13 4 3" xfId="381" xr:uid="{00000000-0005-0000-0000-000084010000}"/>
    <cellStyle name="Standard 6 13 4 3 2" xfId="12342" xr:uid="{20653836-31EC-42B4-AB7E-2A834706CABF}"/>
    <cellStyle name="Standard 6 13 4 4" xfId="12339" xr:uid="{E862474B-040C-42E8-8107-DECEB0EBAB57}"/>
    <cellStyle name="Standard 6 13 5" xfId="382" xr:uid="{00000000-0005-0000-0000-000085010000}"/>
    <cellStyle name="Standard 6 13 5 2" xfId="383" xr:uid="{00000000-0005-0000-0000-000086010000}"/>
    <cellStyle name="Standard 6 13 5 2 2" xfId="384" xr:uid="{00000000-0005-0000-0000-000087010000}"/>
    <cellStyle name="Standard 6 13 5 2 2 2" xfId="12345" xr:uid="{840FB31A-46E9-4C9D-93C3-F4355C0FEACA}"/>
    <cellStyle name="Standard 6 13 5 2 3" xfId="12344" xr:uid="{667BDFE2-A336-48C6-8379-B56771C812C6}"/>
    <cellStyle name="Standard 6 13 5 3" xfId="385" xr:uid="{00000000-0005-0000-0000-000088010000}"/>
    <cellStyle name="Standard 6 13 5 3 2" xfId="12346" xr:uid="{5CF68B60-751E-4BAF-BD19-E425C7A0A906}"/>
    <cellStyle name="Standard 6 13 5 4" xfId="12343" xr:uid="{02B14BE0-9497-42B4-851E-86DEB06C91AA}"/>
    <cellStyle name="Standard 6 13 6" xfId="386" xr:uid="{00000000-0005-0000-0000-000089010000}"/>
    <cellStyle name="Standard 6 13 6 2" xfId="387" xr:uid="{00000000-0005-0000-0000-00008A010000}"/>
    <cellStyle name="Standard 6 13 6 2 2" xfId="388" xr:uid="{00000000-0005-0000-0000-00008B010000}"/>
    <cellStyle name="Standard 6 13 6 2 2 2" xfId="12349" xr:uid="{05BF77BD-D5D9-41FF-8794-0BB86D683AC9}"/>
    <cellStyle name="Standard 6 13 6 2 3" xfId="12348" xr:uid="{3FF455F1-045C-4845-8C0F-2CE731D3B0FB}"/>
    <cellStyle name="Standard 6 13 6 3" xfId="389" xr:uid="{00000000-0005-0000-0000-00008C010000}"/>
    <cellStyle name="Standard 6 13 6 3 2" xfId="12350" xr:uid="{BDD0B717-56B8-4807-9BA2-B39D32602AE0}"/>
    <cellStyle name="Standard 6 13 6 4" xfId="12347" xr:uid="{5F031162-931D-4DC1-9885-00355BE173D8}"/>
    <cellStyle name="Standard 6 13 7" xfId="390" xr:uid="{00000000-0005-0000-0000-00008D010000}"/>
    <cellStyle name="Standard 6 13 7 2" xfId="391" xr:uid="{00000000-0005-0000-0000-00008E010000}"/>
    <cellStyle name="Standard 6 13 7 2 2" xfId="392" xr:uid="{00000000-0005-0000-0000-00008F010000}"/>
    <cellStyle name="Standard 6 13 7 2 2 2" xfId="12353" xr:uid="{7361FFFD-6ECD-490A-8C38-30647A3D1DE3}"/>
    <cellStyle name="Standard 6 13 7 2 3" xfId="12352" xr:uid="{6E764FC2-1EB8-4139-92A7-284243B7DA29}"/>
    <cellStyle name="Standard 6 13 7 3" xfId="393" xr:uid="{00000000-0005-0000-0000-000090010000}"/>
    <cellStyle name="Standard 6 13 7 3 2" xfId="12354" xr:uid="{EE17ED4C-A1E2-4132-B45C-7584437E990E}"/>
    <cellStyle name="Standard 6 13 7 4" xfId="12351" xr:uid="{B4463E91-E249-496A-BF75-327A18E772D6}"/>
    <cellStyle name="Standard 6 13 8" xfId="394" xr:uid="{00000000-0005-0000-0000-000091010000}"/>
    <cellStyle name="Standard 6 13 8 2" xfId="395" xr:uid="{00000000-0005-0000-0000-000092010000}"/>
    <cellStyle name="Standard 6 13 8 2 2" xfId="12356" xr:uid="{44CD8793-AC5E-49B5-B0E6-F9077D4E8E96}"/>
    <cellStyle name="Standard 6 13 8 3" xfId="12355" xr:uid="{6BC3668E-78BA-49E5-BF66-DB3BD5F19289}"/>
    <cellStyle name="Standard 6 13 9" xfId="396" xr:uid="{00000000-0005-0000-0000-000093010000}"/>
    <cellStyle name="Standard 6 13 9 2" xfId="12357" xr:uid="{9F67B8B7-C954-48DD-8E13-2073848D0D0A}"/>
    <cellStyle name="Standard 6 14" xfId="397" xr:uid="{00000000-0005-0000-0000-000094010000}"/>
    <cellStyle name="Standard 6 14 2" xfId="398" xr:uid="{00000000-0005-0000-0000-000095010000}"/>
    <cellStyle name="Standard 6 14 2 2" xfId="399" xr:uid="{00000000-0005-0000-0000-000096010000}"/>
    <cellStyle name="Standard 6 14 2 2 2" xfId="400" xr:uid="{00000000-0005-0000-0000-000097010000}"/>
    <cellStyle name="Standard 6 14 2 2 2 2" xfId="12361" xr:uid="{6E23886A-E516-4188-8FAF-C2F356BBA7C8}"/>
    <cellStyle name="Standard 6 14 2 2 3" xfId="12360" xr:uid="{C66DD1EF-1F8C-46FE-A87D-346037197115}"/>
    <cellStyle name="Standard 6 14 2 3" xfId="401" xr:uid="{00000000-0005-0000-0000-000098010000}"/>
    <cellStyle name="Standard 6 14 2 3 2" xfId="12362" xr:uid="{CAD449EE-14DD-43C1-BA7B-BF283C792EEF}"/>
    <cellStyle name="Standard 6 14 2 4" xfId="12359" xr:uid="{7CA58A70-1D16-4424-BAA0-1F0ADC15E238}"/>
    <cellStyle name="Standard 6 14 3" xfId="402" xr:uid="{00000000-0005-0000-0000-000099010000}"/>
    <cellStyle name="Standard 6 14 3 2" xfId="403" xr:uid="{00000000-0005-0000-0000-00009A010000}"/>
    <cellStyle name="Standard 6 14 3 2 2" xfId="404" xr:uid="{00000000-0005-0000-0000-00009B010000}"/>
    <cellStyle name="Standard 6 14 3 2 2 2" xfId="12365" xr:uid="{2270EF4C-CF18-4E80-A378-D908AC6D7968}"/>
    <cellStyle name="Standard 6 14 3 2 3" xfId="12364" xr:uid="{04A80434-BD97-4A4F-BB2B-9ADF339B259C}"/>
    <cellStyle name="Standard 6 14 3 3" xfId="405" xr:uid="{00000000-0005-0000-0000-00009C010000}"/>
    <cellStyle name="Standard 6 14 3 3 2" xfId="12366" xr:uid="{F2741B95-6A24-4213-9BA2-2FF016F39439}"/>
    <cellStyle name="Standard 6 14 3 4" xfId="12363" xr:uid="{13A1B46C-FD29-494F-A5E5-CAE72F358C23}"/>
    <cellStyle name="Standard 6 14 4" xfId="406" xr:uid="{00000000-0005-0000-0000-00009D010000}"/>
    <cellStyle name="Standard 6 14 4 2" xfId="407" xr:uid="{00000000-0005-0000-0000-00009E010000}"/>
    <cellStyle name="Standard 6 14 4 2 2" xfId="408" xr:uid="{00000000-0005-0000-0000-00009F010000}"/>
    <cellStyle name="Standard 6 14 4 2 2 2" xfId="12369" xr:uid="{7973186E-7C30-41E6-9A94-A2FB27EA4A88}"/>
    <cellStyle name="Standard 6 14 4 2 3" xfId="12368" xr:uid="{05FC5D31-6025-4278-8E1F-531F5CCD1EEE}"/>
    <cellStyle name="Standard 6 14 4 3" xfId="409" xr:uid="{00000000-0005-0000-0000-0000A0010000}"/>
    <cellStyle name="Standard 6 14 4 3 2" xfId="12370" xr:uid="{23C29DA7-BE96-4BB3-8B5C-EF18899DF8C4}"/>
    <cellStyle name="Standard 6 14 4 4" xfId="12367" xr:uid="{9F3E4D61-BA78-4846-A779-3BB4B1B0262F}"/>
    <cellStyle name="Standard 6 14 5" xfId="410" xr:uid="{00000000-0005-0000-0000-0000A1010000}"/>
    <cellStyle name="Standard 6 14 5 2" xfId="411" xr:uid="{00000000-0005-0000-0000-0000A2010000}"/>
    <cellStyle name="Standard 6 14 5 2 2" xfId="412" xr:uid="{00000000-0005-0000-0000-0000A3010000}"/>
    <cellStyle name="Standard 6 14 5 2 2 2" xfId="12373" xr:uid="{0FDD93E4-E01D-4619-A4F3-E59FB110EFF1}"/>
    <cellStyle name="Standard 6 14 5 2 3" xfId="12372" xr:uid="{60A26C1A-235B-4879-A511-75B466377AAA}"/>
    <cellStyle name="Standard 6 14 5 3" xfId="413" xr:uid="{00000000-0005-0000-0000-0000A4010000}"/>
    <cellStyle name="Standard 6 14 5 3 2" xfId="12374" xr:uid="{A13E9059-FBCF-487A-8EBD-062D4FFF9FA8}"/>
    <cellStyle name="Standard 6 14 5 4" xfId="12371" xr:uid="{A5EF73A8-C807-4D68-8484-52E393B588D0}"/>
    <cellStyle name="Standard 6 14 6" xfId="414" xr:uid="{00000000-0005-0000-0000-0000A5010000}"/>
    <cellStyle name="Standard 6 14 6 2" xfId="415" xr:uid="{00000000-0005-0000-0000-0000A6010000}"/>
    <cellStyle name="Standard 6 14 6 2 2" xfId="416" xr:uid="{00000000-0005-0000-0000-0000A7010000}"/>
    <cellStyle name="Standard 6 14 6 2 2 2" xfId="12377" xr:uid="{43B0B8B4-15F2-40C5-A6B4-017FA7C086E5}"/>
    <cellStyle name="Standard 6 14 6 2 3" xfId="12376" xr:uid="{ABEFCBC6-564A-4AC6-B02D-586BC966EA10}"/>
    <cellStyle name="Standard 6 14 6 3" xfId="417" xr:uid="{00000000-0005-0000-0000-0000A8010000}"/>
    <cellStyle name="Standard 6 14 6 3 2" xfId="12378" xr:uid="{7D6A322B-4B76-41E8-AAFE-D890AA0E77A2}"/>
    <cellStyle name="Standard 6 14 6 4" xfId="12375" xr:uid="{A8EC317B-5912-4AB7-A264-4869C6D16D51}"/>
    <cellStyle name="Standard 6 14 7" xfId="418" xr:uid="{00000000-0005-0000-0000-0000A9010000}"/>
    <cellStyle name="Standard 6 14 7 2" xfId="419" xr:uid="{00000000-0005-0000-0000-0000AA010000}"/>
    <cellStyle name="Standard 6 14 7 2 2" xfId="12380" xr:uid="{1DB66944-C0B5-40B3-BEA8-583120A7FAB0}"/>
    <cellStyle name="Standard 6 14 7 3" xfId="12379" xr:uid="{4FBD88E9-BB3C-4F65-8989-B91B29F5EA8C}"/>
    <cellStyle name="Standard 6 14 8" xfId="420" xr:uid="{00000000-0005-0000-0000-0000AB010000}"/>
    <cellStyle name="Standard 6 14 8 2" xfId="12381" xr:uid="{BCEE5DDD-43AB-4446-9C4C-C44CFD4485D9}"/>
    <cellStyle name="Standard 6 14 9" xfId="12358" xr:uid="{CAC68936-F289-4212-A8A0-03490CDF64F4}"/>
    <cellStyle name="Standard 6 15" xfId="421" xr:uid="{00000000-0005-0000-0000-0000AC010000}"/>
    <cellStyle name="Standard 6 15 2" xfId="422" xr:uid="{00000000-0005-0000-0000-0000AD010000}"/>
    <cellStyle name="Standard 6 15 2 2" xfId="423" xr:uid="{00000000-0005-0000-0000-0000AE010000}"/>
    <cellStyle name="Standard 6 15 2 2 2" xfId="12384" xr:uid="{6EBC9516-A331-4F3C-95C8-0B1AEF879B2B}"/>
    <cellStyle name="Standard 6 15 2 3" xfId="12383" xr:uid="{41E6260E-79A1-4354-B533-BC577B43E58D}"/>
    <cellStyle name="Standard 6 15 3" xfId="424" xr:uid="{00000000-0005-0000-0000-0000AF010000}"/>
    <cellStyle name="Standard 6 15 3 2" xfId="12385" xr:uid="{1BA53DB3-C741-4D37-AEA7-82A6F4C7B947}"/>
    <cellStyle name="Standard 6 15 4" xfId="12382" xr:uid="{7C47427B-F448-4A90-A264-7363C18D2E30}"/>
    <cellStyle name="Standard 6 16" xfId="425" xr:uid="{00000000-0005-0000-0000-0000B0010000}"/>
    <cellStyle name="Standard 6 16 2" xfId="426" xr:uid="{00000000-0005-0000-0000-0000B1010000}"/>
    <cellStyle name="Standard 6 16 2 2" xfId="427" xr:uid="{00000000-0005-0000-0000-0000B2010000}"/>
    <cellStyle name="Standard 6 16 2 2 2" xfId="12388" xr:uid="{5B4C2DF9-3BFF-4B6A-AF3C-66273CAEEB61}"/>
    <cellStyle name="Standard 6 16 2 3" xfId="12387" xr:uid="{E3E1F7BD-8F7F-4583-A9A4-C46385E99FE2}"/>
    <cellStyle name="Standard 6 16 3" xfId="428" xr:uid="{00000000-0005-0000-0000-0000B3010000}"/>
    <cellStyle name="Standard 6 16 3 2" xfId="12389" xr:uid="{03218F96-2A60-44AB-85FC-90FE64E4869B}"/>
    <cellStyle name="Standard 6 16 4" xfId="12386" xr:uid="{60C134B7-3944-4A61-A915-B48BDEB48A25}"/>
    <cellStyle name="Standard 6 17" xfId="429" xr:uid="{00000000-0005-0000-0000-0000B4010000}"/>
    <cellStyle name="Standard 6 17 2" xfId="430" xr:uid="{00000000-0005-0000-0000-0000B5010000}"/>
    <cellStyle name="Standard 6 17 2 2" xfId="431" xr:uid="{00000000-0005-0000-0000-0000B6010000}"/>
    <cellStyle name="Standard 6 17 2 2 2" xfId="12392" xr:uid="{195B6283-590B-480E-AAF8-A028EBA2C774}"/>
    <cellStyle name="Standard 6 17 2 3" xfId="12391" xr:uid="{7E6FC4DB-0B94-4912-B027-E2FAA770283D}"/>
    <cellStyle name="Standard 6 17 3" xfId="432" xr:uid="{00000000-0005-0000-0000-0000B7010000}"/>
    <cellStyle name="Standard 6 17 3 2" xfId="12393" xr:uid="{6CD04A7E-8003-4D27-9A5C-FB32C9C7846C}"/>
    <cellStyle name="Standard 6 17 4" xfId="12390" xr:uid="{1420613D-443A-4C63-A5D9-6A0652DF67EC}"/>
    <cellStyle name="Standard 6 18" xfId="433" xr:uid="{00000000-0005-0000-0000-0000B8010000}"/>
    <cellStyle name="Standard 6 18 2" xfId="434" xr:uid="{00000000-0005-0000-0000-0000B9010000}"/>
    <cellStyle name="Standard 6 18 2 2" xfId="435" xr:uid="{00000000-0005-0000-0000-0000BA010000}"/>
    <cellStyle name="Standard 6 18 2 2 2" xfId="12396" xr:uid="{C6F4BA60-8927-4AF0-8FEE-67863BFA8E15}"/>
    <cellStyle name="Standard 6 18 2 3" xfId="12395" xr:uid="{57694EDD-1E29-44CE-BFC4-60843D8D337C}"/>
    <cellStyle name="Standard 6 18 3" xfId="436" xr:uid="{00000000-0005-0000-0000-0000BB010000}"/>
    <cellStyle name="Standard 6 18 3 2" xfId="12397" xr:uid="{2A3F10B6-132F-4962-85B3-EA1FA3C52AF8}"/>
    <cellStyle name="Standard 6 18 4" xfId="12394" xr:uid="{C6E7893C-B2B0-4718-8E7B-73EF6E7C8377}"/>
    <cellStyle name="Standard 6 19" xfId="437" xr:uid="{00000000-0005-0000-0000-0000BC010000}"/>
    <cellStyle name="Standard 6 19 2" xfId="438" xr:uid="{00000000-0005-0000-0000-0000BD010000}"/>
    <cellStyle name="Standard 6 19 2 2" xfId="439" xr:uid="{00000000-0005-0000-0000-0000BE010000}"/>
    <cellStyle name="Standard 6 19 2 2 2" xfId="12400" xr:uid="{2EA9D7BB-76ED-4668-9461-AEF6CFFEA507}"/>
    <cellStyle name="Standard 6 19 2 3" xfId="12399" xr:uid="{E11E511E-4A35-4C9A-960E-2DE7F3208191}"/>
    <cellStyle name="Standard 6 19 3" xfId="440" xr:uid="{00000000-0005-0000-0000-0000BF010000}"/>
    <cellStyle name="Standard 6 19 3 2" xfId="12401" xr:uid="{2983EB7F-2C26-4144-A206-3A18737E1522}"/>
    <cellStyle name="Standard 6 19 4" xfId="12398" xr:uid="{A129317C-EAD7-40FB-AA39-DF85FD9A347D}"/>
    <cellStyle name="Standard 6 2" xfId="441" xr:uid="{00000000-0005-0000-0000-0000C0010000}"/>
    <cellStyle name="Standard 6 2 10" xfId="442" xr:uid="{00000000-0005-0000-0000-0000C1010000}"/>
    <cellStyle name="Standard 6 2 10 10" xfId="443" xr:uid="{00000000-0005-0000-0000-0000C2010000}"/>
    <cellStyle name="Standard 6 2 10 10 2" xfId="12404" xr:uid="{4A11C0F0-D8CE-4B38-8F78-DACD241D6872}"/>
    <cellStyle name="Standard 6 2 10 11" xfId="12403" xr:uid="{67672988-CD48-4835-BD41-7CBD2CA626E5}"/>
    <cellStyle name="Standard 6 2 10 2" xfId="444" xr:uid="{00000000-0005-0000-0000-0000C3010000}"/>
    <cellStyle name="Standard 6 2 10 2 10" xfId="12405" xr:uid="{95DF6139-BCEF-4A2A-A8CB-550897E59532}"/>
    <cellStyle name="Standard 6 2 10 2 2" xfId="445" xr:uid="{00000000-0005-0000-0000-0000C4010000}"/>
    <cellStyle name="Standard 6 2 10 2 2 2" xfId="446" xr:uid="{00000000-0005-0000-0000-0000C5010000}"/>
    <cellStyle name="Standard 6 2 10 2 2 2 2" xfId="447" xr:uid="{00000000-0005-0000-0000-0000C6010000}"/>
    <cellStyle name="Standard 6 2 10 2 2 2 2 2" xfId="12408" xr:uid="{34FC647D-3CB9-4B3D-9643-67B0DA543E2C}"/>
    <cellStyle name="Standard 6 2 10 2 2 2 3" xfId="12407" xr:uid="{A5FBB0C0-AF72-4B57-8645-573B9313ADEA}"/>
    <cellStyle name="Standard 6 2 10 2 2 3" xfId="448" xr:uid="{00000000-0005-0000-0000-0000C7010000}"/>
    <cellStyle name="Standard 6 2 10 2 2 3 2" xfId="12409" xr:uid="{26E17CCA-4CF3-4738-85E1-89DF39C18BF4}"/>
    <cellStyle name="Standard 6 2 10 2 2 4" xfId="12406" xr:uid="{1B26BDB5-7DB2-4261-837E-E4202ECCD74C}"/>
    <cellStyle name="Standard 6 2 10 2 3" xfId="449" xr:uid="{00000000-0005-0000-0000-0000C8010000}"/>
    <cellStyle name="Standard 6 2 10 2 3 2" xfId="450" xr:uid="{00000000-0005-0000-0000-0000C9010000}"/>
    <cellStyle name="Standard 6 2 10 2 3 2 2" xfId="451" xr:uid="{00000000-0005-0000-0000-0000CA010000}"/>
    <cellStyle name="Standard 6 2 10 2 3 2 2 2" xfId="12412" xr:uid="{EBCD7581-C2CA-424E-906D-25F725DD3C42}"/>
    <cellStyle name="Standard 6 2 10 2 3 2 3" xfId="12411" xr:uid="{DD406231-8822-4D91-AC08-C5855DC5E656}"/>
    <cellStyle name="Standard 6 2 10 2 3 3" xfId="452" xr:uid="{00000000-0005-0000-0000-0000CB010000}"/>
    <cellStyle name="Standard 6 2 10 2 3 3 2" xfId="12413" xr:uid="{E6AB1647-D3D6-47D5-8E9D-1AF38E42275C}"/>
    <cellStyle name="Standard 6 2 10 2 3 4" xfId="12410" xr:uid="{A8411386-7D53-4F85-A5B4-C42E7A26BFBE}"/>
    <cellStyle name="Standard 6 2 10 2 4" xfId="453" xr:uid="{00000000-0005-0000-0000-0000CC010000}"/>
    <cellStyle name="Standard 6 2 10 2 4 2" xfId="454" xr:uid="{00000000-0005-0000-0000-0000CD010000}"/>
    <cellStyle name="Standard 6 2 10 2 4 2 2" xfId="455" xr:uid="{00000000-0005-0000-0000-0000CE010000}"/>
    <cellStyle name="Standard 6 2 10 2 4 2 2 2" xfId="12416" xr:uid="{BF6EC7F2-BE5C-46EE-BD11-F9E994D3E1D6}"/>
    <cellStyle name="Standard 6 2 10 2 4 2 3" xfId="12415" xr:uid="{2CA1B2A1-22C8-4D7C-874C-A1BE796A4CB3}"/>
    <cellStyle name="Standard 6 2 10 2 4 3" xfId="456" xr:uid="{00000000-0005-0000-0000-0000CF010000}"/>
    <cellStyle name="Standard 6 2 10 2 4 3 2" xfId="12417" xr:uid="{72D6D77C-C3BD-463C-9197-4F5EC22F6454}"/>
    <cellStyle name="Standard 6 2 10 2 4 4" xfId="12414" xr:uid="{78B0D262-0553-4E95-8543-DB7D92D74CB9}"/>
    <cellStyle name="Standard 6 2 10 2 5" xfId="457" xr:uid="{00000000-0005-0000-0000-0000D0010000}"/>
    <cellStyle name="Standard 6 2 10 2 5 2" xfId="458" xr:uid="{00000000-0005-0000-0000-0000D1010000}"/>
    <cellStyle name="Standard 6 2 10 2 5 2 2" xfId="459" xr:uid="{00000000-0005-0000-0000-0000D2010000}"/>
    <cellStyle name="Standard 6 2 10 2 5 2 2 2" xfId="12420" xr:uid="{C83572B2-B8B5-47DE-99D4-1BF06F2298DE}"/>
    <cellStyle name="Standard 6 2 10 2 5 2 3" xfId="12419" xr:uid="{2D5C11CA-F596-4E67-B78A-CA9A5D23E124}"/>
    <cellStyle name="Standard 6 2 10 2 5 3" xfId="460" xr:uid="{00000000-0005-0000-0000-0000D3010000}"/>
    <cellStyle name="Standard 6 2 10 2 5 3 2" xfId="12421" xr:uid="{281993E8-3D08-4EE8-B626-021287DEAFFB}"/>
    <cellStyle name="Standard 6 2 10 2 5 4" xfId="12418" xr:uid="{63C38604-4B52-4ADD-B628-F2DA65A563A7}"/>
    <cellStyle name="Standard 6 2 10 2 6" xfId="461" xr:uid="{00000000-0005-0000-0000-0000D4010000}"/>
    <cellStyle name="Standard 6 2 10 2 6 2" xfId="462" xr:uid="{00000000-0005-0000-0000-0000D5010000}"/>
    <cellStyle name="Standard 6 2 10 2 6 2 2" xfId="463" xr:uid="{00000000-0005-0000-0000-0000D6010000}"/>
    <cellStyle name="Standard 6 2 10 2 6 2 2 2" xfId="12424" xr:uid="{6E6E3A8D-261F-4926-BD7E-15CEB33DED4D}"/>
    <cellStyle name="Standard 6 2 10 2 6 2 3" xfId="12423" xr:uid="{099772E3-7F86-47F2-973F-801F7F7C9363}"/>
    <cellStyle name="Standard 6 2 10 2 6 3" xfId="464" xr:uid="{00000000-0005-0000-0000-0000D7010000}"/>
    <cellStyle name="Standard 6 2 10 2 6 3 2" xfId="12425" xr:uid="{4A21A2D1-2A6F-480A-983D-AC9273A719B8}"/>
    <cellStyle name="Standard 6 2 10 2 6 4" xfId="12422" xr:uid="{E184ADF8-A605-4C89-9080-0D5ADEE734DE}"/>
    <cellStyle name="Standard 6 2 10 2 7" xfId="465" xr:uid="{00000000-0005-0000-0000-0000D8010000}"/>
    <cellStyle name="Standard 6 2 10 2 7 2" xfId="466" xr:uid="{00000000-0005-0000-0000-0000D9010000}"/>
    <cellStyle name="Standard 6 2 10 2 7 2 2" xfId="467" xr:uid="{00000000-0005-0000-0000-0000DA010000}"/>
    <cellStyle name="Standard 6 2 10 2 7 2 2 2" xfId="12428" xr:uid="{46B5EC52-5BE5-4E12-BF87-8D47AA0A8E3B}"/>
    <cellStyle name="Standard 6 2 10 2 7 2 3" xfId="12427" xr:uid="{582925FA-93A8-42FD-ADD3-1CFCA77D83EA}"/>
    <cellStyle name="Standard 6 2 10 2 7 3" xfId="468" xr:uid="{00000000-0005-0000-0000-0000DB010000}"/>
    <cellStyle name="Standard 6 2 10 2 7 3 2" xfId="12429" xr:uid="{DFB57C25-0FEB-42E5-AB96-6DA693DE17C2}"/>
    <cellStyle name="Standard 6 2 10 2 7 4" xfId="12426" xr:uid="{EB128B90-6FCF-455C-B267-0101674C8573}"/>
    <cellStyle name="Standard 6 2 10 2 8" xfId="469" xr:uid="{00000000-0005-0000-0000-0000DC010000}"/>
    <cellStyle name="Standard 6 2 10 2 8 2" xfId="470" xr:uid="{00000000-0005-0000-0000-0000DD010000}"/>
    <cellStyle name="Standard 6 2 10 2 8 2 2" xfId="12431" xr:uid="{CBAD0216-B7D7-42B3-ADB7-426BF04E53D2}"/>
    <cellStyle name="Standard 6 2 10 2 8 3" xfId="12430" xr:uid="{DDC86865-C840-428E-AA01-F0EFAB0DA98E}"/>
    <cellStyle name="Standard 6 2 10 2 9" xfId="471" xr:uid="{00000000-0005-0000-0000-0000DE010000}"/>
    <cellStyle name="Standard 6 2 10 2 9 2" xfId="12432" xr:uid="{CE8E5A94-DC7A-4F93-991A-FD25C50068C4}"/>
    <cellStyle name="Standard 6 2 10 3" xfId="472" xr:uid="{00000000-0005-0000-0000-0000DF010000}"/>
    <cellStyle name="Standard 6 2 10 3 2" xfId="473" xr:uid="{00000000-0005-0000-0000-0000E0010000}"/>
    <cellStyle name="Standard 6 2 10 3 2 2" xfId="474" xr:uid="{00000000-0005-0000-0000-0000E1010000}"/>
    <cellStyle name="Standard 6 2 10 3 2 2 2" xfId="12435" xr:uid="{3CDFA6CE-57A2-4420-BBC4-70AF39C8DC60}"/>
    <cellStyle name="Standard 6 2 10 3 2 3" xfId="12434" xr:uid="{4A9FFA4C-B0F6-42EC-A687-9D3A6D25AE11}"/>
    <cellStyle name="Standard 6 2 10 3 3" xfId="475" xr:uid="{00000000-0005-0000-0000-0000E2010000}"/>
    <cellStyle name="Standard 6 2 10 3 3 2" xfId="12436" xr:uid="{A3358505-9E78-4C9C-841F-0ADFB5DF4D6E}"/>
    <cellStyle name="Standard 6 2 10 3 4" xfId="12433" xr:uid="{E8475B60-C171-4D02-B987-15FC6C27045F}"/>
    <cellStyle name="Standard 6 2 10 4" xfId="476" xr:uid="{00000000-0005-0000-0000-0000E3010000}"/>
    <cellStyle name="Standard 6 2 10 4 2" xfId="477" xr:uid="{00000000-0005-0000-0000-0000E4010000}"/>
    <cellStyle name="Standard 6 2 10 4 2 2" xfId="478" xr:uid="{00000000-0005-0000-0000-0000E5010000}"/>
    <cellStyle name="Standard 6 2 10 4 2 2 2" xfId="12439" xr:uid="{BCD88275-CC1A-4EBC-8B24-187294E6DC68}"/>
    <cellStyle name="Standard 6 2 10 4 2 3" xfId="12438" xr:uid="{ED3B11BC-4893-4869-93F6-DE94DC7428CB}"/>
    <cellStyle name="Standard 6 2 10 4 3" xfId="479" xr:uid="{00000000-0005-0000-0000-0000E6010000}"/>
    <cellStyle name="Standard 6 2 10 4 3 2" xfId="12440" xr:uid="{764F4C55-3203-455D-B4A1-979C226161D7}"/>
    <cellStyle name="Standard 6 2 10 4 4" xfId="12437" xr:uid="{28C98A1D-DB02-4985-BCFB-ADB4E871FB74}"/>
    <cellStyle name="Standard 6 2 10 5" xfId="480" xr:uid="{00000000-0005-0000-0000-0000E7010000}"/>
    <cellStyle name="Standard 6 2 10 5 2" xfId="481" xr:uid="{00000000-0005-0000-0000-0000E8010000}"/>
    <cellStyle name="Standard 6 2 10 5 2 2" xfId="482" xr:uid="{00000000-0005-0000-0000-0000E9010000}"/>
    <cellStyle name="Standard 6 2 10 5 2 2 2" xfId="12443" xr:uid="{6095DD43-E0DA-4B9E-B383-5D3BF1C46E0C}"/>
    <cellStyle name="Standard 6 2 10 5 2 3" xfId="12442" xr:uid="{66F8EE95-AA61-48FC-BEBB-02791EBD5A5D}"/>
    <cellStyle name="Standard 6 2 10 5 3" xfId="483" xr:uid="{00000000-0005-0000-0000-0000EA010000}"/>
    <cellStyle name="Standard 6 2 10 5 3 2" xfId="12444" xr:uid="{19427127-0187-44E4-8ACA-B308AD069F19}"/>
    <cellStyle name="Standard 6 2 10 5 4" xfId="12441" xr:uid="{7960768B-6C75-453F-83ED-64D62B7DD75F}"/>
    <cellStyle name="Standard 6 2 10 6" xfId="484" xr:uid="{00000000-0005-0000-0000-0000EB010000}"/>
    <cellStyle name="Standard 6 2 10 6 2" xfId="485" xr:uid="{00000000-0005-0000-0000-0000EC010000}"/>
    <cellStyle name="Standard 6 2 10 6 2 2" xfId="486" xr:uid="{00000000-0005-0000-0000-0000ED010000}"/>
    <cellStyle name="Standard 6 2 10 6 2 2 2" xfId="12447" xr:uid="{F470FD7F-F756-484F-AA33-20047DC3E5B8}"/>
    <cellStyle name="Standard 6 2 10 6 2 3" xfId="12446" xr:uid="{A40ABA96-FF5B-43EA-9774-BE1A4B3CF5EA}"/>
    <cellStyle name="Standard 6 2 10 6 3" xfId="487" xr:uid="{00000000-0005-0000-0000-0000EE010000}"/>
    <cellStyle name="Standard 6 2 10 6 3 2" xfId="12448" xr:uid="{2FF87208-26A9-4A4C-863C-0F75A6BEDB2E}"/>
    <cellStyle name="Standard 6 2 10 6 4" xfId="12445" xr:uid="{DF6B3553-49BE-4118-BDDA-7CF48CA311E2}"/>
    <cellStyle name="Standard 6 2 10 7" xfId="488" xr:uid="{00000000-0005-0000-0000-0000EF010000}"/>
    <cellStyle name="Standard 6 2 10 7 2" xfId="489" xr:uid="{00000000-0005-0000-0000-0000F0010000}"/>
    <cellStyle name="Standard 6 2 10 7 2 2" xfId="490" xr:uid="{00000000-0005-0000-0000-0000F1010000}"/>
    <cellStyle name="Standard 6 2 10 7 2 2 2" xfId="12451" xr:uid="{E69D293C-83EC-418E-80FD-22824FD87376}"/>
    <cellStyle name="Standard 6 2 10 7 2 3" xfId="12450" xr:uid="{CB50221E-C0E2-4E49-8735-F5AEED4E2ACA}"/>
    <cellStyle name="Standard 6 2 10 7 3" xfId="491" xr:uid="{00000000-0005-0000-0000-0000F2010000}"/>
    <cellStyle name="Standard 6 2 10 7 3 2" xfId="12452" xr:uid="{8CADB6B5-9695-4839-96B9-2322A5FE6DEF}"/>
    <cellStyle name="Standard 6 2 10 7 4" xfId="12449" xr:uid="{6DE8BBFD-759E-4747-A9C0-CE3131C8C70C}"/>
    <cellStyle name="Standard 6 2 10 8" xfId="492" xr:uid="{00000000-0005-0000-0000-0000F3010000}"/>
    <cellStyle name="Standard 6 2 10 8 2" xfId="493" xr:uid="{00000000-0005-0000-0000-0000F4010000}"/>
    <cellStyle name="Standard 6 2 10 8 2 2" xfId="494" xr:uid="{00000000-0005-0000-0000-0000F5010000}"/>
    <cellStyle name="Standard 6 2 10 8 2 2 2" xfId="12455" xr:uid="{3993B862-F934-404E-84CD-25D03CD1068B}"/>
    <cellStyle name="Standard 6 2 10 8 2 3" xfId="12454" xr:uid="{175A7013-54AA-4BAC-8506-F727CA9B8D0A}"/>
    <cellStyle name="Standard 6 2 10 8 3" xfId="495" xr:uid="{00000000-0005-0000-0000-0000F6010000}"/>
    <cellStyle name="Standard 6 2 10 8 3 2" xfId="12456" xr:uid="{ED74FACA-A2D1-4168-8622-F34C3B112B6D}"/>
    <cellStyle name="Standard 6 2 10 8 4" xfId="12453" xr:uid="{FA232B04-0FCB-4009-AA3C-AB74A60FDBED}"/>
    <cellStyle name="Standard 6 2 10 9" xfId="496" xr:uid="{00000000-0005-0000-0000-0000F7010000}"/>
    <cellStyle name="Standard 6 2 10 9 2" xfId="497" xr:uid="{00000000-0005-0000-0000-0000F8010000}"/>
    <cellStyle name="Standard 6 2 10 9 2 2" xfId="12458" xr:uid="{4C62A1EC-EB26-41AB-9CC7-2ED8985D1E37}"/>
    <cellStyle name="Standard 6 2 10 9 3" xfId="12457" xr:uid="{653CC695-B27C-41E2-9D2C-BD7E2E6FEEE8}"/>
    <cellStyle name="Standard 6 2 11" xfId="498" xr:uid="{00000000-0005-0000-0000-0000F9010000}"/>
    <cellStyle name="Standard 6 2 11 10" xfId="499" xr:uid="{00000000-0005-0000-0000-0000FA010000}"/>
    <cellStyle name="Standard 6 2 11 10 2" xfId="12460" xr:uid="{C9E4798B-08AD-49E7-87A6-80CBD50C63A4}"/>
    <cellStyle name="Standard 6 2 11 11" xfId="12459" xr:uid="{1F9C985E-5089-4699-A490-331317FA9447}"/>
    <cellStyle name="Standard 6 2 11 2" xfId="500" xr:uid="{00000000-0005-0000-0000-0000FB010000}"/>
    <cellStyle name="Standard 6 2 11 2 10" xfId="12461" xr:uid="{7A6C08B5-A70E-4B5C-9915-E902962FDE12}"/>
    <cellStyle name="Standard 6 2 11 2 2" xfId="501" xr:uid="{00000000-0005-0000-0000-0000FC010000}"/>
    <cellStyle name="Standard 6 2 11 2 2 2" xfId="502" xr:uid="{00000000-0005-0000-0000-0000FD010000}"/>
    <cellStyle name="Standard 6 2 11 2 2 2 2" xfId="503" xr:uid="{00000000-0005-0000-0000-0000FE010000}"/>
    <cellStyle name="Standard 6 2 11 2 2 2 2 2" xfId="12464" xr:uid="{63586D68-18B1-49C7-8DF8-2925A486A052}"/>
    <cellStyle name="Standard 6 2 11 2 2 2 3" xfId="12463" xr:uid="{68AE739A-F271-4AFA-8DD6-FFBC927DC3F6}"/>
    <cellStyle name="Standard 6 2 11 2 2 3" xfId="504" xr:uid="{00000000-0005-0000-0000-0000FF010000}"/>
    <cellStyle name="Standard 6 2 11 2 2 3 2" xfId="12465" xr:uid="{A0D3460F-36D4-4AA7-8708-7824BA4525CA}"/>
    <cellStyle name="Standard 6 2 11 2 2 4" xfId="12462" xr:uid="{9D5BE6BD-E454-4C66-9A1E-7D165FBA2861}"/>
    <cellStyle name="Standard 6 2 11 2 3" xfId="505" xr:uid="{00000000-0005-0000-0000-000000020000}"/>
    <cellStyle name="Standard 6 2 11 2 3 2" xfId="506" xr:uid="{00000000-0005-0000-0000-000001020000}"/>
    <cellStyle name="Standard 6 2 11 2 3 2 2" xfId="507" xr:uid="{00000000-0005-0000-0000-000002020000}"/>
    <cellStyle name="Standard 6 2 11 2 3 2 2 2" xfId="12468" xr:uid="{44595996-585C-48FD-91F4-37C0491B78DD}"/>
    <cellStyle name="Standard 6 2 11 2 3 2 3" xfId="12467" xr:uid="{584C6491-7249-4D6A-B8A6-98A59E74FCB5}"/>
    <cellStyle name="Standard 6 2 11 2 3 3" xfId="508" xr:uid="{00000000-0005-0000-0000-000003020000}"/>
    <cellStyle name="Standard 6 2 11 2 3 3 2" xfId="12469" xr:uid="{66706747-0D24-4B00-A939-9C74A1939BFB}"/>
    <cellStyle name="Standard 6 2 11 2 3 4" xfId="12466" xr:uid="{D4539F3D-C8C0-420F-A76E-61E6C78C1FBA}"/>
    <cellStyle name="Standard 6 2 11 2 4" xfId="509" xr:uid="{00000000-0005-0000-0000-000004020000}"/>
    <cellStyle name="Standard 6 2 11 2 4 2" xfId="510" xr:uid="{00000000-0005-0000-0000-000005020000}"/>
    <cellStyle name="Standard 6 2 11 2 4 2 2" xfId="511" xr:uid="{00000000-0005-0000-0000-000006020000}"/>
    <cellStyle name="Standard 6 2 11 2 4 2 2 2" xfId="12472" xr:uid="{6C22BE82-72C6-42CD-97A0-338BF3F561D1}"/>
    <cellStyle name="Standard 6 2 11 2 4 2 3" xfId="12471" xr:uid="{F3FC78D0-C2BC-4EE2-B824-D23998C93FFD}"/>
    <cellStyle name="Standard 6 2 11 2 4 3" xfId="512" xr:uid="{00000000-0005-0000-0000-000007020000}"/>
    <cellStyle name="Standard 6 2 11 2 4 3 2" xfId="12473" xr:uid="{23E8A3A3-6043-421E-8996-F7D638E216A5}"/>
    <cellStyle name="Standard 6 2 11 2 4 4" xfId="12470" xr:uid="{7008D31C-C9D0-4987-B00D-A572735E8676}"/>
    <cellStyle name="Standard 6 2 11 2 5" xfId="513" xr:uid="{00000000-0005-0000-0000-000008020000}"/>
    <cellStyle name="Standard 6 2 11 2 5 2" xfId="514" xr:uid="{00000000-0005-0000-0000-000009020000}"/>
    <cellStyle name="Standard 6 2 11 2 5 2 2" xfId="515" xr:uid="{00000000-0005-0000-0000-00000A020000}"/>
    <cellStyle name="Standard 6 2 11 2 5 2 2 2" xfId="12476" xr:uid="{ECC108E4-EF04-4432-8AEF-E46A4581E1B3}"/>
    <cellStyle name="Standard 6 2 11 2 5 2 3" xfId="12475" xr:uid="{79EE67E9-9BBB-4ED6-A449-C3650D0176CB}"/>
    <cellStyle name="Standard 6 2 11 2 5 3" xfId="516" xr:uid="{00000000-0005-0000-0000-00000B020000}"/>
    <cellStyle name="Standard 6 2 11 2 5 3 2" xfId="12477" xr:uid="{A8383910-CC68-4C7D-A2B8-EDB1D51361A9}"/>
    <cellStyle name="Standard 6 2 11 2 5 4" xfId="12474" xr:uid="{A8B0DF8F-AC12-42EB-9F1B-F70C874109C0}"/>
    <cellStyle name="Standard 6 2 11 2 6" xfId="517" xr:uid="{00000000-0005-0000-0000-00000C020000}"/>
    <cellStyle name="Standard 6 2 11 2 6 2" xfId="518" xr:uid="{00000000-0005-0000-0000-00000D020000}"/>
    <cellStyle name="Standard 6 2 11 2 6 2 2" xfId="519" xr:uid="{00000000-0005-0000-0000-00000E020000}"/>
    <cellStyle name="Standard 6 2 11 2 6 2 2 2" xfId="12480" xr:uid="{30E77E14-0715-49F7-A7B5-31B757571EF5}"/>
    <cellStyle name="Standard 6 2 11 2 6 2 3" xfId="12479" xr:uid="{B7A6DFCC-4938-4B5A-89F0-482E5C754A55}"/>
    <cellStyle name="Standard 6 2 11 2 6 3" xfId="520" xr:uid="{00000000-0005-0000-0000-00000F020000}"/>
    <cellStyle name="Standard 6 2 11 2 6 3 2" xfId="12481" xr:uid="{1CD8198A-0679-4DE1-B402-CC51D5E2871A}"/>
    <cellStyle name="Standard 6 2 11 2 6 4" xfId="12478" xr:uid="{1E938D55-7080-459E-B6B8-E89D68F06559}"/>
    <cellStyle name="Standard 6 2 11 2 7" xfId="521" xr:uid="{00000000-0005-0000-0000-000010020000}"/>
    <cellStyle name="Standard 6 2 11 2 7 2" xfId="522" xr:uid="{00000000-0005-0000-0000-000011020000}"/>
    <cellStyle name="Standard 6 2 11 2 7 2 2" xfId="523" xr:uid="{00000000-0005-0000-0000-000012020000}"/>
    <cellStyle name="Standard 6 2 11 2 7 2 2 2" xfId="12484" xr:uid="{127FA9A5-0477-44EF-AE30-FFF9C08543EF}"/>
    <cellStyle name="Standard 6 2 11 2 7 2 3" xfId="12483" xr:uid="{AE306398-E464-4553-BC43-FEE20EFD03A9}"/>
    <cellStyle name="Standard 6 2 11 2 7 3" xfId="524" xr:uid="{00000000-0005-0000-0000-000013020000}"/>
    <cellStyle name="Standard 6 2 11 2 7 3 2" xfId="12485" xr:uid="{BBF2A9A9-E4A9-4539-9C94-0666A77A752D}"/>
    <cellStyle name="Standard 6 2 11 2 7 4" xfId="12482" xr:uid="{2F05ACC1-5BB0-4BA3-B0F2-7AFA56869615}"/>
    <cellStyle name="Standard 6 2 11 2 8" xfId="525" xr:uid="{00000000-0005-0000-0000-000014020000}"/>
    <cellStyle name="Standard 6 2 11 2 8 2" xfId="526" xr:uid="{00000000-0005-0000-0000-000015020000}"/>
    <cellStyle name="Standard 6 2 11 2 8 2 2" xfId="12487" xr:uid="{14C7662D-8E8C-45DB-8ABE-25CB303151F5}"/>
    <cellStyle name="Standard 6 2 11 2 8 3" xfId="12486" xr:uid="{2AB4B439-AC8E-46F6-A378-423EB50F1C96}"/>
    <cellStyle name="Standard 6 2 11 2 9" xfId="527" xr:uid="{00000000-0005-0000-0000-000016020000}"/>
    <cellStyle name="Standard 6 2 11 2 9 2" xfId="12488" xr:uid="{71A75A7B-5FE7-4D55-82FB-5E45FB604289}"/>
    <cellStyle name="Standard 6 2 11 3" xfId="528" xr:uid="{00000000-0005-0000-0000-000017020000}"/>
    <cellStyle name="Standard 6 2 11 3 2" xfId="529" xr:uid="{00000000-0005-0000-0000-000018020000}"/>
    <cellStyle name="Standard 6 2 11 3 2 2" xfId="530" xr:uid="{00000000-0005-0000-0000-000019020000}"/>
    <cellStyle name="Standard 6 2 11 3 2 2 2" xfId="12491" xr:uid="{D6D2C1BD-9ADC-49F4-B54A-8AB9AB6234BE}"/>
    <cellStyle name="Standard 6 2 11 3 2 3" xfId="12490" xr:uid="{BE5BF347-FC29-4E91-856D-9CEFE7046F51}"/>
    <cellStyle name="Standard 6 2 11 3 3" xfId="531" xr:uid="{00000000-0005-0000-0000-00001A020000}"/>
    <cellStyle name="Standard 6 2 11 3 3 2" xfId="12492" xr:uid="{E93B2254-7398-450D-87DC-C8E8C4C59B09}"/>
    <cellStyle name="Standard 6 2 11 3 4" xfId="12489" xr:uid="{3A800D92-FD6D-4518-BD6D-5A4EBB7EAAD2}"/>
    <cellStyle name="Standard 6 2 11 4" xfId="532" xr:uid="{00000000-0005-0000-0000-00001B020000}"/>
    <cellStyle name="Standard 6 2 11 4 2" xfId="533" xr:uid="{00000000-0005-0000-0000-00001C020000}"/>
    <cellStyle name="Standard 6 2 11 4 2 2" xfId="534" xr:uid="{00000000-0005-0000-0000-00001D020000}"/>
    <cellStyle name="Standard 6 2 11 4 2 2 2" xfId="12495" xr:uid="{AD02C138-B28D-429D-9FFB-274EFF56D8BF}"/>
    <cellStyle name="Standard 6 2 11 4 2 3" xfId="12494" xr:uid="{6455B104-6712-4996-B5F8-B7C0F5DA8F99}"/>
    <cellStyle name="Standard 6 2 11 4 3" xfId="535" xr:uid="{00000000-0005-0000-0000-00001E020000}"/>
    <cellStyle name="Standard 6 2 11 4 3 2" xfId="12496" xr:uid="{844C0BC4-141F-47B8-B0DA-73D0BB3E2A85}"/>
    <cellStyle name="Standard 6 2 11 4 4" xfId="12493" xr:uid="{36B7A1A6-4ECD-45B9-A0D1-812BD43F6CE4}"/>
    <cellStyle name="Standard 6 2 11 5" xfId="536" xr:uid="{00000000-0005-0000-0000-00001F020000}"/>
    <cellStyle name="Standard 6 2 11 5 2" xfId="537" xr:uid="{00000000-0005-0000-0000-000020020000}"/>
    <cellStyle name="Standard 6 2 11 5 2 2" xfId="538" xr:uid="{00000000-0005-0000-0000-000021020000}"/>
    <cellStyle name="Standard 6 2 11 5 2 2 2" xfId="12499" xr:uid="{CDF4AD75-19E7-4FE7-9D4F-05A7F462317A}"/>
    <cellStyle name="Standard 6 2 11 5 2 3" xfId="12498" xr:uid="{D472B191-B333-40E0-A742-028A65EF4665}"/>
    <cellStyle name="Standard 6 2 11 5 3" xfId="539" xr:uid="{00000000-0005-0000-0000-000022020000}"/>
    <cellStyle name="Standard 6 2 11 5 3 2" xfId="12500" xr:uid="{84B3E461-4606-44EB-A52A-E8184AF7DDB6}"/>
    <cellStyle name="Standard 6 2 11 5 4" xfId="12497" xr:uid="{209A1988-F5ED-48CB-A44C-442547846862}"/>
    <cellStyle name="Standard 6 2 11 6" xfId="540" xr:uid="{00000000-0005-0000-0000-000023020000}"/>
    <cellStyle name="Standard 6 2 11 6 2" xfId="541" xr:uid="{00000000-0005-0000-0000-000024020000}"/>
    <cellStyle name="Standard 6 2 11 6 2 2" xfId="542" xr:uid="{00000000-0005-0000-0000-000025020000}"/>
    <cellStyle name="Standard 6 2 11 6 2 2 2" xfId="12503" xr:uid="{3F389551-B1DC-4BC0-B5DF-7FDCE42481C9}"/>
    <cellStyle name="Standard 6 2 11 6 2 3" xfId="12502" xr:uid="{10ECE8EA-A752-459A-B93A-21DD6925306C}"/>
    <cellStyle name="Standard 6 2 11 6 3" xfId="543" xr:uid="{00000000-0005-0000-0000-000026020000}"/>
    <cellStyle name="Standard 6 2 11 6 3 2" xfId="12504" xr:uid="{6B3B3E50-78C8-48B4-950A-B7F3F06ED65E}"/>
    <cellStyle name="Standard 6 2 11 6 4" xfId="12501" xr:uid="{E2922B1C-FF51-435D-A04B-59EB29F23B71}"/>
    <cellStyle name="Standard 6 2 11 7" xfId="544" xr:uid="{00000000-0005-0000-0000-000027020000}"/>
    <cellStyle name="Standard 6 2 11 7 2" xfId="545" xr:uid="{00000000-0005-0000-0000-000028020000}"/>
    <cellStyle name="Standard 6 2 11 7 2 2" xfId="546" xr:uid="{00000000-0005-0000-0000-000029020000}"/>
    <cellStyle name="Standard 6 2 11 7 2 2 2" xfId="12507" xr:uid="{50B60179-8053-499A-9133-6B94147240F0}"/>
    <cellStyle name="Standard 6 2 11 7 2 3" xfId="12506" xr:uid="{DE303E95-7CBB-4230-BE71-373BE9697CDD}"/>
    <cellStyle name="Standard 6 2 11 7 3" xfId="547" xr:uid="{00000000-0005-0000-0000-00002A020000}"/>
    <cellStyle name="Standard 6 2 11 7 3 2" xfId="12508" xr:uid="{FF8D8D7F-3A3E-4AD1-A2D9-AF311EB38B58}"/>
    <cellStyle name="Standard 6 2 11 7 4" xfId="12505" xr:uid="{B792D84B-3935-4C24-8218-DC962F135FE9}"/>
    <cellStyle name="Standard 6 2 11 8" xfId="548" xr:uid="{00000000-0005-0000-0000-00002B020000}"/>
    <cellStyle name="Standard 6 2 11 8 2" xfId="549" xr:uid="{00000000-0005-0000-0000-00002C020000}"/>
    <cellStyle name="Standard 6 2 11 8 2 2" xfId="550" xr:uid="{00000000-0005-0000-0000-00002D020000}"/>
    <cellStyle name="Standard 6 2 11 8 2 2 2" xfId="12511" xr:uid="{479602A2-CCBF-4D55-9158-A4AD310AE105}"/>
    <cellStyle name="Standard 6 2 11 8 2 3" xfId="12510" xr:uid="{6B3DE531-E97B-4E5F-AD97-7C31A166037D}"/>
    <cellStyle name="Standard 6 2 11 8 3" xfId="551" xr:uid="{00000000-0005-0000-0000-00002E020000}"/>
    <cellStyle name="Standard 6 2 11 8 3 2" xfId="12512" xr:uid="{0FB5832B-1DFD-4B24-9F93-1AD234F5CEBB}"/>
    <cellStyle name="Standard 6 2 11 8 4" xfId="12509" xr:uid="{5BD2ADC3-E58F-4C35-A321-F9074D094DE9}"/>
    <cellStyle name="Standard 6 2 11 9" xfId="552" xr:uid="{00000000-0005-0000-0000-00002F020000}"/>
    <cellStyle name="Standard 6 2 11 9 2" xfId="553" xr:uid="{00000000-0005-0000-0000-000030020000}"/>
    <cellStyle name="Standard 6 2 11 9 2 2" xfId="12514" xr:uid="{EC3EA519-C7DC-4136-96D5-453A891C4A1B}"/>
    <cellStyle name="Standard 6 2 11 9 3" xfId="12513" xr:uid="{89FE42B6-6174-4609-B07B-9CA6760C6C63}"/>
    <cellStyle name="Standard 6 2 12" xfId="554" xr:uid="{00000000-0005-0000-0000-000031020000}"/>
    <cellStyle name="Standard 6 2 12 10" xfId="12515" xr:uid="{75B7B3BA-028F-4711-9F0C-683DD6A23891}"/>
    <cellStyle name="Standard 6 2 12 2" xfId="555" xr:uid="{00000000-0005-0000-0000-000032020000}"/>
    <cellStyle name="Standard 6 2 12 2 2" xfId="556" xr:uid="{00000000-0005-0000-0000-000033020000}"/>
    <cellStyle name="Standard 6 2 12 2 2 2" xfId="557" xr:uid="{00000000-0005-0000-0000-000034020000}"/>
    <cellStyle name="Standard 6 2 12 2 2 2 2" xfId="12518" xr:uid="{F80AA29C-5D04-4C6A-B42A-676F0ADEBDA5}"/>
    <cellStyle name="Standard 6 2 12 2 2 3" xfId="12517" xr:uid="{F1B051AD-BF69-4194-A29E-28B79B689E6F}"/>
    <cellStyle name="Standard 6 2 12 2 3" xfId="558" xr:uid="{00000000-0005-0000-0000-000035020000}"/>
    <cellStyle name="Standard 6 2 12 2 3 2" xfId="12519" xr:uid="{94231C2B-A6B3-414E-BBF1-6FC9484A6FE3}"/>
    <cellStyle name="Standard 6 2 12 2 4" xfId="12516" xr:uid="{5243A66F-3F3F-41EE-AC71-0DF85D992A8E}"/>
    <cellStyle name="Standard 6 2 12 3" xfId="559" xr:uid="{00000000-0005-0000-0000-000036020000}"/>
    <cellStyle name="Standard 6 2 12 3 2" xfId="560" xr:uid="{00000000-0005-0000-0000-000037020000}"/>
    <cellStyle name="Standard 6 2 12 3 2 2" xfId="561" xr:uid="{00000000-0005-0000-0000-000038020000}"/>
    <cellStyle name="Standard 6 2 12 3 2 2 2" xfId="12522" xr:uid="{73DCEF46-A9F1-45BC-B1AA-F7C6077018E7}"/>
    <cellStyle name="Standard 6 2 12 3 2 3" xfId="12521" xr:uid="{1FE864A8-9AD1-4A0A-A728-EEA0C886DD6E}"/>
    <cellStyle name="Standard 6 2 12 3 3" xfId="562" xr:uid="{00000000-0005-0000-0000-000039020000}"/>
    <cellStyle name="Standard 6 2 12 3 3 2" xfId="12523" xr:uid="{5F7DCAF0-65AC-4E9F-8AEA-D7E7A37D8978}"/>
    <cellStyle name="Standard 6 2 12 3 4" xfId="12520" xr:uid="{1778BDA4-D9B6-4D7E-B221-D387380D0A50}"/>
    <cellStyle name="Standard 6 2 12 4" xfId="563" xr:uid="{00000000-0005-0000-0000-00003A020000}"/>
    <cellStyle name="Standard 6 2 12 4 2" xfId="564" xr:uid="{00000000-0005-0000-0000-00003B020000}"/>
    <cellStyle name="Standard 6 2 12 4 2 2" xfId="565" xr:uid="{00000000-0005-0000-0000-00003C020000}"/>
    <cellStyle name="Standard 6 2 12 4 2 2 2" xfId="12526" xr:uid="{37E7CD13-8A74-4734-B194-3C8DA48478FB}"/>
    <cellStyle name="Standard 6 2 12 4 2 3" xfId="12525" xr:uid="{50721407-3351-42CA-88DE-372626078DCA}"/>
    <cellStyle name="Standard 6 2 12 4 3" xfId="566" xr:uid="{00000000-0005-0000-0000-00003D020000}"/>
    <cellStyle name="Standard 6 2 12 4 3 2" xfId="12527" xr:uid="{675222B9-856A-47C3-A15A-AA628FBED9D0}"/>
    <cellStyle name="Standard 6 2 12 4 4" xfId="12524" xr:uid="{B91DAA1B-6981-4E2F-8840-006155BD1620}"/>
    <cellStyle name="Standard 6 2 12 5" xfId="567" xr:uid="{00000000-0005-0000-0000-00003E020000}"/>
    <cellStyle name="Standard 6 2 12 5 2" xfId="568" xr:uid="{00000000-0005-0000-0000-00003F020000}"/>
    <cellStyle name="Standard 6 2 12 5 2 2" xfId="569" xr:uid="{00000000-0005-0000-0000-000040020000}"/>
    <cellStyle name="Standard 6 2 12 5 2 2 2" xfId="12530" xr:uid="{D12FD0C2-AD4D-4093-B8E1-FE08C0049783}"/>
    <cellStyle name="Standard 6 2 12 5 2 3" xfId="12529" xr:uid="{49A7AE45-A5F8-4EF5-8A36-743EBA76DE30}"/>
    <cellStyle name="Standard 6 2 12 5 3" xfId="570" xr:uid="{00000000-0005-0000-0000-000041020000}"/>
    <cellStyle name="Standard 6 2 12 5 3 2" xfId="12531" xr:uid="{5324B78D-B4E1-4E04-8AAB-B3A36C82DD93}"/>
    <cellStyle name="Standard 6 2 12 5 4" xfId="12528" xr:uid="{3BA795C1-DBA5-40E9-9CC9-4948682DA7E8}"/>
    <cellStyle name="Standard 6 2 12 6" xfId="571" xr:uid="{00000000-0005-0000-0000-000042020000}"/>
    <cellStyle name="Standard 6 2 12 6 2" xfId="572" xr:uid="{00000000-0005-0000-0000-000043020000}"/>
    <cellStyle name="Standard 6 2 12 6 2 2" xfId="573" xr:uid="{00000000-0005-0000-0000-000044020000}"/>
    <cellStyle name="Standard 6 2 12 6 2 2 2" xfId="12534" xr:uid="{BC4E0A1C-4781-4618-AFF9-7C44F85C4097}"/>
    <cellStyle name="Standard 6 2 12 6 2 3" xfId="12533" xr:uid="{9FCAF13C-96D6-434B-A449-2BD6FB2ECF59}"/>
    <cellStyle name="Standard 6 2 12 6 3" xfId="574" xr:uid="{00000000-0005-0000-0000-000045020000}"/>
    <cellStyle name="Standard 6 2 12 6 3 2" xfId="12535" xr:uid="{2E980610-D958-427A-B583-8DA0CC93960B}"/>
    <cellStyle name="Standard 6 2 12 6 4" xfId="12532" xr:uid="{0FE5E4D2-88ED-4F72-AE2E-BF984F245111}"/>
    <cellStyle name="Standard 6 2 12 7" xfId="575" xr:uid="{00000000-0005-0000-0000-000046020000}"/>
    <cellStyle name="Standard 6 2 12 7 2" xfId="576" xr:uid="{00000000-0005-0000-0000-000047020000}"/>
    <cellStyle name="Standard 6 2 12 7 2 2" xfId="577" xr:uid="{00000000-0005-0000-0000-000048020000}"/>
    <cellStyle name="Standard 6 2 12 7 2 2 2" xfId="12538" xr:uid="{D557C717-2B00-42A3-A08C-A6926C69C9F3}"/>
    <cellStyle name="Standard 6 2 12 7 2 3" xfId="12537" xr:uid="{06A6A9FF-57C6-4469-BE3F-95D4679C17F1}"/>
    <cellStyle name="Standard 6 2 12 7 3" xfId="578" xr:uid="{00000000-0005-0000-0000-000049020000}"/>
    <cellStyle name="Standard 6 2 12 7 3 2" xfId="12539" xr:uid="{C0F38E8A-82DD-4B8F-84BF-8229861E338E}"/>
    <cellStyle name="Standard 6 2 12 7 4" xfId="12536" xr:uid="{7C8939A7-3D49-4C7F-B82D-AF6E53C80D8A}"/>
    <cellStyle name="Standard 6 2 12 8" xfId="579" xr:uid="{00000000-0005-0000-0000-00004A020000}"/>
    <cellStyle name="Standard 6 2 12 8 2" xfId="580" xr:uid="{00000000-0005-0000-0000-00004B020000}"/>
    <cellStyle name="Standard 6 2 12 8 2 2" xfId="12541" xr:uid="{D969F35C-F99B-4336-817F-18CEEAA11F7B}"/>
    <cellStyle name="Standard 6 2 12 8 3" xfId="12540" xr:uid="{9A794091-8C1E-4064-BDA1-735B8E74E3F4}"/>
    <cellStyle name="Standard 6 2 12 9" xfId="581" xr:uid="{00000000-0005-0000-0000-00004C020000}"/>
    <cellStyle name="Standard 6 2 12 9 2" xfId="12542" xr:uid="{A064BAE8-4C82-4E89-9EC1-B7F0D19EBC8C}"/>
    <cellStyle name="Standard 6 2 13" xfId="582" xr:uid="{00000000-0005-0000-0000-00004D020000}"/>
    <cellStyle name="Standard 6 2 13 2" xfId="583" xr:uid="{00000000-0005-0000-0000-00004E020000}"/>
    <cellStyle name="Standard 6 2 13 2 2" xfId="584" xr:uid="{00000000-0005-0000-0000-00004F020000}"/>
    <cellStyle name="Standard 6 2 13 2 2 2" xfId="585" xr:uid="{00000000-0005-0000-0000-000050020000}"/>
    <cellStyle name="Standard 6 2 13 2 2 2 2" xfId="12546" xr:uid="{B1E8AB1A-1EA9-4549-BDEC-A40E12D26DDB}"/>
    <cellStyle name="Standard 6 2 13 2 2 3" xfId="12545" xr:uid="{EFCD341A-32E7-4BD9-9B65-BB1BBCF31C66}"/>
    <cellStyle name="Standard 6 2 13 2 3" xfId="586" xr:uid="{00000000-0005-0000-0000-000051020000}"/>
    <cellStyle name="Standard 6 2 13 2 3 2" xfId="12547" xr:uid="{758B5CC0-329B-46EA-A998-81742922F001}"/>
    <cellStyle name="Standard 6 2 13 2 4" xfId="12544" xr:uid="{AE93C286-F7FB-4A3E-8FF2-AA0BBEC16DD7}"/>
    <cellStyle name="Standard 6 2 13 3" xfId="587" xr:uid="{00000000-0005-0000-0000-000052020000}"/>
    <cellStyle name="Standard 6 2 13 3 2" xfId="588" xr:uid="{00000000-0005-0000-0000-000053020000}"/>
    <cellStyle name="Standard 6 2 13 3 2 2" xfId="589" xr:uid="{00000000-0005-0000-0000-000054020000}"/>
    <cellStyle name="Standard 6 2 13 3 2 2 2" xfId="12550" xr:uid="{53B2BC5D-B1E7-4EF6-A591-82EB82A795D0}"/>
    <cellStyle name="Standard 6 2 13 3 2 3" xfId="12549" xr:uid="{29D90A27-9810-41BA-A700-3341E106D084}"/>
    <cellStyle name="Standard 6 2 13 3 3" xfId="590" xr:uid="{00000000-0005-0000-0000-000055020000}"/>
    <cellStyle name="Standard 6 2 13 3 3 2" xfId="12551" xr:uid="{927C6763-9B5F-40F7-B990-B798E78ECEB3}"/>
    <cellStyle name="Standard 6 2 13 3 4" xfId="12548" xr:uid="{CDB49B41-8818-4828-A955-015A16D53505}"/>
    <cellStyle name="Standard 6 2 13 4" xfId="591" xr:uid="{00000000-0005-0000-0000-000056020000}"/>
    <cellStyle name="Standard 6 2 13 4 2" xfId="592" xr:uid="{00000000-0005-0000-0000-000057020000}"/>
    <cellStyle name="Standard 6 2 13 4 2 2" xfId="593" xr:uid="{00000000-0005-0000-0000-000058020000}"/>
    <cellStyle name="Standard 6 2 13 4 2 2 2" xfId="12554" xr:uid="{F1F5C4DD-997B-455F-A2C9-843FD42C2530}"/>
    <cellStyle name="Standard 6 2 13 4 2 3" xfId="12553" xr:uid="{5581D8F6-0B87-4B7C-A95D-7DFE0E608CD9}"/>
    <cellStyle name="Standard 6 2 13 4 3" xfId="594" xr:uid="{00000000-0005-0000-0000-000059020000}"/>
    <cellStyle name="Standard 6 2 13 4 3 2" xfId="12555" xr:uid="{28CB968E-C00B-4CFC-8756-824F95AB852A}"/>
    <cellStyle name="Standard 6 2 13 4 4" xfId="12552" xr:uid="{9DFBA486-5C8F-4E15-ADFA-0D6CDFD908DD}"/>
    <cellStyle name="Standard 6 2 13 5" xfId="595" xr:uid="{00000000-0005-0000-0000-00005A020000}"/>
    <cellStyle name="Standard 6 2 13 5 2" xfId="596" xr:uid="{00000000-0005-0000-0000-00005B020000}"/>
    <cellStyle name="Standard 6 2 13 5 2 2" xfId="597" xr:uid="{00000000-0005-0000-0000-00005C020000}"/>
    <cellStyle name="Standard 6 2 13 5 2 2 2" xfId="12558" xr:uid="{81F5123A-83E6-46BD-B751-AC3F1837AACA}"/>
    <cellStyle name="Standard 6 2 13 5 2 3" xfId="12557" xr:uid="{A2E871A5-F21B-4F80-B32D-0D8B2CF3EE4C}"/>
    <cellStyle name="Standard 6 2 13 5 3" xfId="598" xr:uid="{00000000-0005-0000-0000-00005D020000}"/>
    <cellStyle name="Standard 6 2 13 5 3 2" xfId="12559" xr:uid="{3AD06BFF-47CE-445A-8DAE-A02337F83679}"/>
    <cellStyle name="Standard 6 2 13 5 4" xfId="12556" xr:uid="{38C405B3-7AD5-4C9D-8605-E310A61A2AEA}"/>
    <cellStyle name="Standard 6 2 13 6" xfId="599" xr:uid="{00000000-0005-0000-0000-00005E020000}"/>
    <cellStyle name="Standard 6 2 13 6 2" xfId="600" xr:uid="{00000000-0005-0000-0000-00005F020000}"/>
    <cellStyle name="Standard 6 2 13 6 2 2" xfId="601" xr:uid="{00000000-0005-0000-0000-000060020000}"/>
    <cellStyle name="Standard 6 2 13 6 2 2 2" xfId="12562" xr:uid="{2840A6CE-D17B-40AA-8308-820ABFEC3F7A}"/>
    <cellStyle name="Standard 6 2 13 6 2 3" xfId="12561" xr:uid="{89756526-4AC9-4B67-8AD4-E4D21E42F821}"/>
    <cellStyle name="Standard 6 2 13 6 3" xfId="602" xr:uid="{00000000-0005-0000-0000-000061020000}"/>
    <cellStyle name="Standard 6 2 13 6 3 2" xfId="12563" xr:uid="{47D74293-2173-4E15-9336-F129BDA192C8}"/>
    <cellStyle name="Standard 6 2 13 6 4" xfId="12560" xr:uid="{A1303283-797A-4240-897F-4648746228B6}"/>
    <cellStyle name="Standard 6 2 13 7" xfId="603" xr:uid="{00000000-0005-0000-0000-000062020000}"/>
    <cellStyle name="Standard 6 2 13 7 2" xfId="604" xr:uid="{00000000-0005-0000-0000-000063020000}"/>
    <cellStyle name="Standard 6 2 13 7 2 2" xfId="12565" xr:uid="{69A51AC5-985F-42D5-8B95-EFD993DE3671}"/>
    <cellStyle name="Standard 6 2 13 7 3" xfId="12564" xr:uid="{4301E3C8-5F82-4A0F-86BE-3CDA143273C7}"/>
    <cellStyle name="Standard 6 2 13 8" xfId="605" xr:uid="{00000000-0005-0000-0000-000064020000}"/>
    <cellStyle name="Standard 6 2 13 8 2" xfId="12566" xr:uid="{6D130557-7754-4BE1-8D41-CA1709FFA5E1}"/>
    <cellStyle name="Standard 6 2 13 9" xfId="12543" xr:uid="{358F4E45-C1A5-49C1-8F0B-E68173C65ACD}"/>
    <cellStyle name="Standard 6 2 14" xfId="606" xr:uid="{00000000-0005-0000-0000-000065020000}"/>
    <cellStyle name="Standard 6 2 14 2" xfId="607" xr:uid="{00000000-0005-0000-0000-000066020000}"/>
    <cellStyle name="Standard 6 2 14 2 2" xfId="608" xr:uid="{00000000-0005-0000-0000-000067020000}"/>
    <cellStyle name="Standard 6 2 14 2 2 2" xfId="12569" xr:uid="{D1680546-EB99-46BD-90EB-160C8AD9F29E}"/>
    <cellStyle name="Standard 6 2 14 2 3" xfId="12568" xr:uid="{786FD14B-34EA-478D-81A7-3D41999E9D5C}"/>
    <cellStyle name="Standard 6 2 14 3" xfId="609" xr:uid="{00000000-0005-0000-0000-000068020000}"/>
    <cellStyle name="Standard 6 2 14 3 2" xfId="12570" xr:uid="{B28741DF-891F-4E7D-B551-B20D3E9589D7}"/>
    <cellStyle name="Standard 6 2 14 4" xfId="12567" xr:uid="{5CD81286-8CB0-4B83-B9D1-4FB0F8FE038F}"/>
    <cellStyle name="Standard 6 2 15" xfId="610" xr:uid="{00000000-0005-0000-0000-000069020000}"/>
    <cellStyle name="Standard 6 2 15 2" xfId="611" xr:uid="{00000000-0005-0000-0000-00006A020000}"/>
    <cellStyle name="Standard 6 2 15 2 2" xfId="612" xr:uid="{00000000-0005-0000-0000-00006B020000}"/>
    <cellStyle name="Standard 6 2 15 2 2 2" xfId="12573" xr:uid="{6A955547-B940-4FFD-A133-EA381C753F1A}"/>
    <cellStyle name="Standard 6 2 15 2 3" xfId="12572" xr:uid="{5C85C905-C10B-49A7-BD84-323054ABDA09}"/>
    <cellStyle name="Standard 6 2 15 3" xfId="613" xr:uid="{00000000-0005-0000-0000-00006C020000}"/>
    <cellStyle name="Standard 6 2 15 3 2" xfId="12574" xr:uid="{DD7B063F-C2B4-4CDB-B8AD-543062C517A9}"/>
    <cellStyle name="Standard 6 2 15 4" xfId="12571" xr:uid="{5E0FD780-7D28-4EBD-83BD-724B2136BCBF}"/>
    <cellStyle name="Standard 6 2 16" xfId="614" xr:uid="{00000000-0005-0000-0000-00006D020000}"/>
    <cellStyle name="Standard 6 2 16 2" xfId="615" xr:uid="{00000000-0005-0000-0000-00006E020000}"/>
    <cellStyle name="Standard 6 2 16 2 2" xfId="616" xr:uid="{00000000-0005-0000-0000-00006F020000}"/>
    <cellStyle name="Standard 6 2 16 2 2 2" xfId="12577" xr:uid="{249535E2-FF01-4C4C-A8C6-606D0F4D628F}"/>
    <cellStyle name="Standard 6 2 16 2 3" xfId="12576" xr:uid="{B32366BA-513C-472E-A1CD-C9A048285614}"/>
    <cellStyle name="Standard 6 2 16 3" xfId="617" xr:uid="{00000000-0005-0000-0000-000070020000}"/>
    <cellStyle name="Standard 6 2 16 3 2" xfId="12578" xr:uid="{202D1701-7974-4453-B0F4-BC844091C00C}"/>
    <cellStyle name="Standard 6 2 16 4" xfId="12575" xr:uid="{BE7A44E4-8FDF-4FCC-91F4-5ED3208E5910}"/>
    <cellStyle name="Standard 6 2 17" xfId="618" xr:uid="{00000000-0005-0000-0000-000071020000}"/>
    <cellStyle name="Standard 6 2 17 2" xfId="619" xr:uid="{00000000-0005-0000-0000-000072020000}"/>
    <cellStyle name="Standard 6 2 17 2 2" xfId="620" xr:uid="{00000000-0005-0000-0000-000073020000}"/>
    <cellStyle name="Standard 6 2 17 2 2 2" xfId="12581" xr:uid="{584F8CBE-CF8B-4DE8-8C9F-66EDFD7138B6}"/>
    <cellStyle name="Standard 6 2 17 2 3" xfId="12580" xr:uid="{1F8861DC-CDAE-4A60-A469-D4F505A8B4EC}"/>
    <cellStyle name="Standard 6 2 17 3" xfId="621" xr:uid="{00000000-0005-0000-0000-000074020000}"/>
    <cellStyle name="Standard 6 2 17 3 2" xfId="12582" xr:uid="{8B10BBD8-106A-41FD-83E7-7F2D01EA537D}"/>
    <cellStyle name="Standard 6 2 17 4" xfId="12579" xr:uid="{99D4CA04-109F-445F-B111-7663E6F9AB6F}"/>
    <cellStyle name="Standard 6 2 18" xfId="622" xr:uid="{00000000-0005-0000-0000-000075020000}"/>
    <cellStyle name="Standard 6 2 18 2" xfId="623" xr:uid="{00000000-0005-0000-0000-000076020000}"/>
    <cellStyle name="Standard 6 2 18 2 2" xfId="624" xr:uid="{00000000-0005-0000-0000-000077020000}"/>
    <cellStyle name="Standard 6 2 18 2 2 2" xfId="12585" xr:uid="{FF90470F-D9EB-43B4-ABBE-36FE9A3F73CD}"/>
    <cellStyle name="Standard 6 2 18 2 3" xfId="12584" xr:uid="{24918086-D93F-49FA-925E-8D6C9462A2E5}"/>
    <cellStyle name="Standard 6 2 18 3" xfId="625" xr:uid="{00000000-0005-0000-0000-000078020000}"/>
    <cellStyle name="Standard 6 2 18 3 2" xfId="12586" xr:uid="{8FB36762-FEDC-478E-AA11-49D0544B1626}"/>
    <cellStyle name="Standard 6 2 18 4" xfId="12583" xr:uid="{34F1209F-AED8-4AF3-9EDC-F1259AEDF772}"/>
    <cellStyle name="Standard 6 2 19" xfId="626" xr:uid="{00000000-0005-0000-0000-000079020000}"/>
    <cellStyle name="Standard 6 2 19 2" xfId="627" xr:uid="{00000000-0005-0000-0000-00007A020000}"/>
    <cellStyle name="Standard 6 2 19 2 2" xfId="628" xr:uid="{00000000-0005-0000-0000-00007B020000}"/>
    <cellStyle name="Standard 6 2 19 2 2 2" xfId="12589" xr:uid="{ADD510AC-1EE0-4D55-9257-E70B46F30365}"/>
    <cellStyle name="Standard 6 2 19 2 3" xfId="12588" xr:uid="{6838AACC-2571-4558-8711-CAEB0C1C2A18}"/>
    <cellStyle name="Standard 6 2 19 3" xfId="629" xr:uid="{00000000-0005-0000-0000-00007C020000}"/>
    <cellStyle name="Standard 6 2 19 3 2" xfId="12590" xr:uid="{CF027184-35F6-4E48-B34C-852749F2D8A6}"/>
    <cellStyle name="Standard 6 2 19 4" xfId="12587" xr:uid="{FEA462D0-D1DF-44D4-A6C7-5FDC5A685AF0}"/>
    <cellStyle name="Standard 6 2 2" xfId="630" xr:uid="{00000000-0005-0000-0000-00007D020000}"/>
    <cellStyle name="Standard 6 2 2 10" xfId="631" xr:uid="{00000000-0005-0000-0000-00007E020000}"/>
    <cellStyle name="Standard 6 2 2 10 10" xfId="632" xr:uid="{00000000-0005-0000-0000-00007F020000}"/>
    <cellStyle name="Standard 6 2 2 10 10 2" xfId="12593" xr:uid="{DFCB9D35-2484-4EC8-BAEF-71A6423C729F}"/>
    <cellStyle name="Standard 6 2 2 10 11" xfId="12592" xr:uid="{50B2A0D7-0C80-4854-846B-E62E3E2A8F4D}"/>
    <cellStyle name="Standard 6 2 2 10 2" xfId="633" xr:uid="{00000000-0005-0000-0000-000080020000}"/>
    <cellStyle name="Standard 6 2 2 10 2 10" xfId="12594" xr:uid="{995595FF-D2B8-44BC-B019-43D2F5ADEBAC}"/>
    <cellStyle name="Standard 6 2 2 10 2 2" xfId="634" xr:uid="{00000000-0005-0000-0000-000081020000}"/>
    <cellStyle name="Standard 6 2 2 10 2 2 2" xfId="635" xr:uid="{00000000-0005-0000-0000-000082020000}"/>
    <cellStyle name="Standard 6 2 2 10 2 2 2 2" xfId="636" xr:uid="{00000000-0005-0000-0000-000083020000}"/>
    <cellStyle name="Standard 6 2 2 10 2 2 2 2 2" xfId="12597" xr:uid="{37274D3B-58B8-4955-BD7F-B1337EEA9F9A}"/>
    <cellStyle name="Standard 6 2 2 10 2 2 2 3" xfId="12596" xr:uid="{8A53825D-DC13-416B-92BB-3CAB2B5C1CCE}"/>
    <cellStyle name="Standard 6 2 2 10 2 2 3" xfId="637" xr:uid="{00000000-0005-0000-0000-000084020000}"/>
    <cellStyle name="Standard 6 2 2 10 2 2 3 2" xfId="12598" xr:uid="{EADEE560-4FC8-4AAA-BBA2-A21E51F7ED48}"/>
    <cellStyle name="Standard 6 2 2 10 2 2 4" xfId="12595" xr:uid="{66481EB1-4C49-4BB1-8CA9-7BF1C4944383}"/>
    <cellStyle name="Standard 6 2 2 10 2 3" xfId="638" xr:uid="{00000000-0005-0000-0000-000085020000}"/>
    <cellStyle name="Standard 6 2 2 10 2 3 2" xfId="639" xr:uid="{00000000-0005-0000-0000-000086020000}"/>
    <cellStyle name="Standard 6 2 2 10 2 3 2 2" xfId="640" xr:uid="{00000000-0005-0000-0000-000087020000}"/>
    <cellStyle name="Standard 6 2 2 10 2 3 2 2 2" xfId="12601" xr:uid="{0351AFDF-36BC-4FEC-9A17-2A1D4B8807DC}"/>
    <cellStyle name="Standard 6 2 2 10 2 3 2 3" xfId="12600" xr:uid="{39D33BA4-DF5C-4A4C-AD76-75BBB7F66BD7}"/>
    <cellStyle name="Standard 6 2 2 10 2 3 3" xfId="641" xr:uid="{00000000-0005-0000-0000-000088020000}"/>
    <cellStyle name="Standard 6 2 2 10 2 3 3 2" xfId="12602" xr:uid="{1FC9D052-9F78-4AA4-9110-EBB47C69386E}"/>
    <cellStyle name="Standard 6 2 2 10 2 3 4" xfId="12599" xr:uid="{8FD3B55F-7CB5-4974-BA7A-85273442D957}"/>
    <cellStyle name="Standard 6 2 2 10 2 4" xfId="642" xr:uid="{00000000-0005-0000-0000-000089020000}"/>
    <cellStyle name="Standard 6 2 2 10 2 4 2" xfId="643" xr:uid="{00000000-0005-0000-0000-00008A020000}"/>
    <cellStyle name="Standard 6 2 2 10 2 4 2 2" xfId="644" xr:uid="{00000000-0005-0000-0000-00008B020000}"/>
    <cellStyle name="Standard 6 2 2 10 2 4 2 2 2" xfId="12605" xr:uid="{185D0D69-3C42-4A92-B26F-16D1F8EF5BB4}"/>
    <cellStyle name="Standard 6 2 2 10 2 4 2 3" xfId="12604" xr:uid="{3B40B391-899C-4384-83B8-F15C18F8B7A1}"/>
    <cellStyle name="Standard 6 2 2 10 2 4 3" xfId="645" xr:uid="{00000000-0005-0000-0000-00008C020000}"/>
    <cellStyle name="Standard 6 2 2 10 2 4 3 2" xfId="12606" xr:uid="{FD85DED3-0DF5-4249-AA75-53B60F4DFB0D}"/>
    <cellStyle name="Standard 6 2 2 10 2 4 4" xfId="12603" xr:uid="{32992AA5-4276-4A8B-A90E-028244FBABBB}"/>
    <cellStyle name="Standard 6 2 2 10 2 5" xfId="646" xr:uid="{00000000-0005-0000-0000-00008D020000}"/>
    <cellStyle name="Standard 6 2 2 10 2 5 2" xfId="647" xr:uid="{00000000-0005-0000-0000-00008E020000}"/>
    <cellStyle name="Standard 6 2 2 10 2 5 2 2" xfId="648" xr:uid="{00000000-0005-0000-0000-00008F020000}"/>
    <cellStyle name="Standard 6 2 2 10 2 5 2 2 2" xfId="12609" xr:uid="{A2CF6DAB-9F8A-4969-B311-0B82B1742B46}"/>
    <cellStyle name="Standard 6 2 2 10 2 5 2 3" xfId="12608" xr:uid="{4045710A-968B-47C3-9698-173ECA189B85}"/>
    <cellStyle name="Standard 6 2 2 10 2 5 3" xfId="649" xr:uid="{00000000-0005-0000-0000-000090020000}"/>
    <cellStyle name="Standard 6 2 2 10 2 5 3 2" xfId="12610" xr:uid="{05E26248-E022-4A6A-9557-7FBF01D34944}"/>
    <cellStyle name="Standard 6 2 2 10 2 5 4" xfId="12607" xr:uid="{A5BD49C6-558F-4803-A000-6D8D4A6518D0}"/>
    <cellStyle name="Standard 6 2 2 10 2 6" xfId="650" xr:uid="{00000000-0005-0000-0000-000091020000}"/>
    <cellStyle name="Standard 6 2 2 10 2 6 2" xfId="651" xr:uid="{00000000-0005-0000-0000-000092020000}"/>
    <cellStyle name="Standard 6 2 2 10 2 6 2 2" xfId="652" xr:uid="{00000000-0005-0000-0000-000093020000}"/>
    <cellStyle name="Standard 6 2 2 10 2 6 2 2 2" xfId="12613" xr:uid="{D95503B7-92CC-4BA3-A90E-A2C70D230787}"/>
    <cellStyle name="Standard 6 2 2 10 2 6 2 3" xfId="12612" xr:uid="{31EAFC6C-7513-44D2-A1D3-8D7E6D43B716}"/>
    <cellStyle name="Standard 6 2 2 10 2 6 3" xfId="653" xr:uid="{00000000-0005-0000-0000-000094020000}"/>
    <cellStyle name="Standard 6 2 2 10 2 6 3 2" xfId="12614" xr:uid="{72CEC151-A484-4D72-9274-4311C467D3E9}"/>
    <cellStyle name="Standard 6 2 2 10 2 6 4" xfId="12611" xr:uid="{C4E934D9-648C-4128-9DB9-BB0140B3C48F}"/>
    <cellStyle name="Standard 6 2 2 10 2 7" xfId="654" xr:uid="{00000000-0005-0000-0000-000095020000}"/>
    <cellStyle name="Standard 6 2 2 10 2 7 2" xfId="655" xr:uid="{00000000-0005-0000-0000-000096020000}"/>
    <cellStyle name="Standard 6 2 2 10 2 7 2 2" xfId="656" xr:uid="{00000000-0005-0000-0000-000097020000}"/>
    <cellStyle name="Standard 6 2 2 10 2 7 2 2 2" xfId="12617" xr:uid="{B7609E62-FDB1-4AB5-BDAD-902D051EBBF9}"/>
    <cellStyle name="Standard 6 2 2 10 2 7 2 3" xfId="12616" xr:uid="{344AB9C8-5D93-4D81-A212-34D8754B8FC2}"/>
    <cellStyle name="Standard 6 2 2 10 2 7 3" xfId="657" xr:uid="{00000000-0005-0000-0000-000098020000}"/>
    <cellStyle name="Standard 6 2 2 10 2 7 3 2" xfId="12618" xr:uid="{4CB0902C-2ED0-4E7E-93F4-3161567B468A}"/>
    <cellStyle name="Standard 6 2 2 10 2 7 4" xfId="12615" xr:uid="{79177DBD-2FA7-417D-85B4-D7D38B99A82E}"/>
    <cellStyle name="Standard 6 2 2 10 2 8" xfId="658" xr:uid="{00000000-0005-0000-0000-000099020000}"/>
    <cellStyle name="Standard 6 2 2 10 2 8 2" xfId="659" xr:uid="{00000000-0005-0000-0000-00009A020000}"/>
    <cellStyle name="Standard 6 2 2 10 2 8 2 2" xfId="12620" xr:uid="{1DB5CB25-1A9B-4039-A1D0-807458456BA4}"/>
    <cellStyle name="Standard 6 2 2 10 2 8 3" xfId="12619" xr:uid="{6EEF640B-70B1-454C-AC4D-004046AD8409}"/>
    <cellStyle name="Standard 6 2 2 10 2 9" xfId="660" xr:uid="{00000000-0005-0000-0000-00009B020000}"/>
    <cellStyle name="Standard 6 2 2 10 2 9 2" xfId="12621" xr:uid="{FD460C07-E151-4A30-9F82-41CFC12B82F2}"/>
    <cellStyle name="Standard 6 2 2 10 3" xfId="661" xr:uid="{00000000-0005-0000-0000-00009C020000}"/>
    <cellStyle name="Standard 6 2 2 10 3 2" xfId="662" xr:uid="{00000000-0005-0000-0000-00009D020000}"/>
    <cellStyle name="Standard 6 2 2 10 3 2 2" xfId="663" xr:uid="{00000000-0005-0000-0000-00009E020000}"/>
    <cellStyle name="Standard 6 2 2 10 3 2 2 2" xfId="12624" xr:uid="{60788E42-F044-4419-918F-B681A50DBA06}"/>
    <cellStyle name="Standard 6 2 2 10 3 2 3" xfId="12623" xr:uid="{20192A06-C11B-401D-BC85-10E6588B0E46}"/>
    <cellStyle name="Standard 6 2 2 10 3 3" xfId="664" xr:uid="{00000000-0005-0000-0000-00009F020000}"/>
    <cellStyle name="Standard 6 2 2 10 3 3 2" xfId="12625" xr:uid="{C0F4AFA2-EB26-4B86-BBEB-EDC8A04D109A}"/>
    <cellStyle name="Standard 6 2 2 10 3 4" xfId="12622" xr:uid="{45830835-12EC-4624-9FC7-9C7863123BC7}"/>
    <cellStyle name="Standard 6 2 2 10 4" xfId="665" xr:uid="{00000000-0005-0000-0000-0000A0020000}"/>
    <cellStyle name="Standard 6 2 2 10 4 2" xfId="666" xr:uid="{00000000-0005-0000-0000-0000A1020000}"/>
    <cellStyle name="Standard 6 2 2 10 4 2 2" xfId="667" xr:uid="{00000000-0005-0000-0000-0000A2020000}"/>
    <cellStyle name="Standard 6 2 2 10 4 2 2 2" xfId="12628" xr:uid="{BD68D4AB-462B-46CE-9A9A-854680999696}"/>
    <cellStyle name="Standard 6 2 2 10 4 2 3" xfId="12627" xr:uid="{1D8F4847-CC45-4DC1-85DC-F8B815056ED1}"/>
    <cellStyle name="Standard 6 2 2 10 4 3" xfId="668" xr:uid="{00000000-0005-0000-0000-0000A3020000}"/>
    <cellStyle name="Standard 6 2 2 10 4 3 2" xfId="12629" xr:uid="{76147E29-D4D2-4AE2-9B1B-3C9BDFE4B220}"/>
    <cellStyle name="Standard 6 2 2 10 4 4" xfId="12626" xr:uid="{09D640EC-F935-439B-A005-E5F1C30AC593}"/>
    <cellStyle name="Standard 6 2 2 10 5" xfId="669" xr:uid="{00000000-0005-0000-0000-0000A4020000}"/>
    <cellStyle name="Standard 6 2 2 10 5 2" xfId="670" xr:uid="{00000000-0005-0000-0000-0000A5020000}"/>
    <cellStyle name="Standard 6 2 2 10 5 2 2" xfId="671" xr:uid="{00000000-0005-0000-0000-0000A6020000}"/>
    <cellStyle name="Standard 6 2 2 10 5 2 2 2" xfId="12632" xr:uid="{C5044A59-13DB-4A84-9AE6-C368609E38B4}"/>
    <cellStyle name="Standard 6 2 2 10 5 2 3" xfId="12631" xr:uid="{B5DCE407-B22F-4D69-83F1-2BDC675AAB84}"/>
    <cellStyle name="Standard 6 2 2 10 5 3" xfId="672" xr:uid="{00000000-0005-0000-0000-0000A7020000}"/>
    <cellStyle name="Standard 6 2 2 10 5 3 2" xfId="12633" xr:uid="{68E7FD5B-B414-41D3-8710-6B16D0868978}"/>
    <cellStyle name="Standard 6 2 2 10 5 4" xfId="12630" xr:uid="{01927A3B-F470-4D3C-AD60-844C6F1F7377}"/>
    <cellStyle name="Standard 6 2 2 10 6" xfId="673" xr:uid="{00000000-0005-0000-0000-0000A8020000}"/>
    <cellStyle name="Standard 6 2 2 10 6 2" xfId="674" xr:uid="{00000000-0005-0000-0000-0000A9020000}"/>
    <cellStyle name="Standard 6 2 2 10 6 2 2" xfId="675" xr:uid="{00000000-0005-0000-0000-0000AA020000}"/>
    <cellStyle name="Standard 6 2 2 10 6 2 2 2" xfId="12636" xr:uid="{3505F7D8-25C4-4EFC-9376-DAE5D2D8DA69}"/>
    <cellStyle name="Standard 6 2 2 10 6 2 3" xfId="12635" xr:uid="{1206966A-58DB-423B-B2FD-F11789F84B75}"/>
    <cellStyle name="Standard 6 2 2 10 6 3" xfId="676" xr:uid="{00000000-0005-0000-0000-0000AB020000}"/>
    <cellStyle name="Standard 6 2 2 10 6 3 2" xfId="12637" xr:uid="{A5977B1D-FFAC-471E-9137-BF80AC36F49E}"/>
    <cellStyle name="Standard 6 2 2 10 6 4" xfId="12634" xr:uid="{139A02A2-850D-47B7-86E8-949E91A85CBD}"/>
    <cellStyle name="Standard 6 2 2 10 7" xfId="677" xr:uid="{00000000-0005-0000-0000-0000AC020000}"/>
    <cellStyle name="Standard 6 2 2 10 7 2" xfId="678" xr:uid="{00000000-0005-0000-0000-0000AD020000}"/>
    <cellStyle name="Standard 6 2 2 10 7 2 2" xfId="679" xr:uid="{00000000-0005-0000-0000-0000AE020000}"/>
    <cellStyle name="Standard 6 2 2 10 7 2 2 2" xfId="12640" xr:uid="{9778DE23-7DDF-4A27-BCC6-D172059CD2EE}"/>
    <cellStyle name="Standard 6 2 2 10 7 2 3" xfId="12639" xr:uid="{8AEDF434-FFDC-4D0F-ABEC-9822331E9B7B}"/>
    <cellStyle name="Standard 6 2 2 10 7 3" xfId="680" xr:uid="{00000000-0005-0000-0000-0000AF020000}"/>
    <cellStyle name="Standard 6 2 2 10 7 3 2" xfId="12641" xr:uid="{7C710A71-5290-4247-B7A7-3C942D7583A6}"/>
    <cellStyle name="Standard 6 2 2 10 7 4" xfId="12638" xr:uid="{C9969533-EB3C-4177-B7E3-53C112EEAAB3}"/>
    <cellStyle name="Standard 6 2 2 10 8" xfId="681" xr:uid="{00000000-0005-0000-0000-0000B0020000}"/>
    <cellStyle name="Standard 6 2 2 10 8 2" xfId="682" xr:uid="{00000000-0005-0000-0000-0000B1020000}"/>
    <cellStyle name="Standard 6 2 2 10 8 2 2" xfId="683" xr:uid="{00000000-0005-0000-0000-0000B2020000}"/>
    <cellStyle name="Standard 6 2 2 10 8 2 2 2" xfId="12644" xr:uid="{8DB1F795-D74E-4964-8EB0-8CA99E9942DD}"/>
    <cellStyle name="Standard 6 2 2 10 8 2 3" xfId="12643" xr:uid="{61044729-8E0E-4E63-997D-C63B7CCF3AC4}"/>
    <cellStyle name="Standard 6 2 2 10 8 3" xfId="684" xr:uid="{00000000-0005-0000-0000-0000B3020000}"/>
    <cellStyle name="Standard 6 2 2 10 8 3 2" xfId="12645" xr:uid="{0A1E2E89-5325-4C53-930B-EAB659DE8CC9}"/>
    <cellStyle name="Standard 6 2 2 10 8 4" xfId="12642" xr:uid="{7EFA432E-62A4-4868-87EF-899D9ECCFE6C}"/>
    <cellStyle name="Standard 6 2 2 10 9" xfId="685" xr:uid="{00000000-0005-0000-0000-0000B4020000}"/>
    <cellStyle name="Standard 6 2 2 10 9 2" xfId="686" xr:uid="{00000000-0005-0000-0000-0000B5020000}"/>
    <cellStyle name="Standard 6 2 2 10 9 2 2" xfId="12647" xr:uid="{433E7024-5668-4FE5-8BB2-C7C39F49281D}"/>
    <cellStyle name="Standard 6 2 2 10 9 3" xfId="12646" xr:uid="{1D94AC2F-8811-42EF-8176-A3A14750E8B5}"/>
    <cellStyle name="Standard 6 2 2 11" xfId="687" xr:uid="{00000000-0005-0000-0000-0000B6020000}"/>
    <cellStyle name="Standard 6 2 2 11 10" xfId="12648" xr:uid="{5945E212-CBA1-49F1-92B7-BA959E6E41D1}"/>
    <cellStyle name="Standard 6 2 2 11 2" xfId="688" xr:uid="{00000000-0005-0000-0000-0000B7020000}"/>
    <cellStyle name="Standard 6 2 2 11 2 2" xfId="689" xr:uid="{00000000-0005-0000-0000-0000B8020000}"/>
    <cellStyle name="Standard 6 2 2 11 2 2 2" xfId="690" xr:uid="{00000000-0005-0000-0000-0000B9020000}"/>
    <cellStyle name="Standard 6 2 2 11 2 2 2 2" xfId="12651" xr:uid="{8E6805A8-6C4D-4151-B5A4-10D8619925EE}"/>
    <cellStyle name="Standard 6 2 2 11 2 2 3" xfId="12650" xr:uid="{297089F6-70A8-4516-ADB3-28AF36C4E7CA}"/>
    <cellStyle name="Standard 6 2 2 11 2 3" xfId="691" xr:uid="{00000000-0005-0000-0000-0000BA020000}"/>
    <cellStyle name="Standard 6 2 2 11 2 3 2" xfId="12652" xr:uid="{6AF8CB41-3946-406B-8B72-D8529FDFAE54}"/>
    <cellStyle name="Standard 6 2 2 11 2 4" xfId="12649" xr:uid="{8E3FD874-1E70-40D2-9EF0-0432629289A7}"/>
    <cellStyle name="Standard 6 2 2 11 3" xfId="692" xr:uid="{00000000-0005-0000-0000-0000BB020000}"/>
    <cellStyle name="Standard 6 2 2 11 3 2" xfId="693" xr:uid="{00000000-0005-0000-0000-0000BC020000}"/>
    <cellStyle name="Standard 6 2 2 11 3 2 2" xfId="694" xr:uid="{00000000-0005-0000-0000-0000BD020000}"/>
    <cellStyle name="Standard 6 2 2 11 3 2 2 2" xfId="12655" xr:uid="{48C6DFF7-9EB9-4DBA-A3A4-1935F1A91976}"/>
    <cellStyle name="Standard 6 2 2 11 3 2 3" xfId="12654" xr:uid="{10037820-8D32-44DD-83C3-4EB373CB0548}"/>
    <cellStyle name="Standard 6 2 2 11 3 3" xfId="695" xr:uid="{00000000-0005-0000-0000-0000BE020000}"/>
    <cellStyle name="Standard 6 2 2 11 3 3 2" xfId="12656" xr:uid="{C313CD0E-8609-4753-A949-A9F1DA9C56F5}"/>
    <cellStyle name="Standard 6 2 2 11 3 4" xfId="12653" xr:uid="{5E2CE589-5369-4483-974B-3C3FB6398576}"/>
    <cellStyle name="Standard 6 2 2 11 4" xfId="696" xr:uid="{00000000-0005-0000-0000-0000BF020000}"/>
    <cellStyle name="Standard 6 2 2 11 4 2" xfId="697" xr:uid="{00000000-0005-0000-0000-0000C0020000}"/>
    <cellStyle name="Standard 6 2 2 11 4 2 2" xfId="698" xr:uid="{00000000-0005-0000-0000-0000C1020000}"/>
    <cellStyle name="Standard 6 2 2 11 4 2 2 2" xfId="12659" xr:uid="{D745003B-F420-4028-A987-A71855C7ACAF}"/>
    <cellStyle name="Standard 6 2 2 11 4 2 3" xfId="12658" xr:uid="{BEA2A808-F191-4ED5-B6B1-5E82E1072F94}"/>
    <cellStyle name="Standard 6 2 2 11 4 3" xfId="699" xr:uid="{00000000-0005-0000-0000-0000C2020000}"/>
    <cellStyle name="Standard 6 2 2 11 4 3 2" xfId="12660" xr:uid="{8F340F97-3D12-493E-BEE9-CAF950C83EFC}"/>
    <cellStyle name="Standard 6 2 2 11 4 4" xfId="12657" xr:uid="{F671697B-3E2D-4903-95BE-5CC90E071AC8}"/>
    <cellStyle name="Standard 6 2 2 11 5" xfId="700" xr:uid="{00000000-0005-0000-0000-0000C3020000}"/>
    <cellStyle name="Standard 6 2 2 11 5 2" xfId="701" xr:uid="{00000000-0005-0000-0000-0000C4020000}"/>
    <cellStyle name="Standard 6 2 2 11 5 2 2" xfId="702" xr:uid="{00000000-0005-0000-0000-0000C5020000}"/>
    <cellStyle name="Standard 6 2 2 11 5 2 2 2" xfId="12663" xr:uid="{DA133153-E755-4204-8ECF-03E08C8DEB95}"/>
    <cellStyle name="Standard 6 2 2 11 5 2 3" xfId="12662" xr:uid="{50ED337A-EEA2-437B-B33B-E89CE0DC8A0D}"/>
    <cellStyle name="Standard 6 2 2 11 5 3" xfId="703" xr:uid="{00000000-0005-0000-0000-0000C6020000}"/>
    <cellStyle name="Standard 6 2 2 11 5 3 2" xfId="12664" xr:uid="{80666905-84CC-4BDB-83E9-A000303E1723}"/>
    <cellStyle name="Standard 6 2 2 11 5 4" xfId="12661" xr:uid="{BDC780A8-A69F-43D8-AAAE-2D422E19B19B}"/>
    <cellStyle name="Standard 6 2 2 11 6" xfId="704" xr:uid="{00000000-0005-0000-0000-0000C7020000}"/>
    <cellStyle name="Standard 6 2 2 11 6 2" xfId="705" xr:uid="{00000000-0005-0000-0000-0000C8020000}"/>
    <cellStyle name="Standard 6 2 2 11 6 2 2" xfId="706" xr:uid="{00000000-0005-0000-0000-0000C9020000}"/>
    <cellStyle name="Standard 6 2 2 11 6 2 2 2" xfId="12667" xr:uid="{889EDC6C-3F15-48C8-B803-FC9B46CE095D}"/>
    <cellStyle name="Standard 6 2 2 11 6 2 3" xfId="12666" xr:uid="{A1B6DBC1-E013-4299-AE74-04E7A99BB851}"/>
    <cellStyle name="Standard 6 2 2 11 6 3" xfId="707" xr:uid="{00000000-0005-0000-0000-0000CA020000}"/>
    <cellStyle name="Standard 6 2 2 11 6 3 2" xfId="12668" xr:uid="{D85B2030-DB17-4516-89DB-221DB1AC928C}"/>
    <cellStyle name="Standard 6 2 2 11 6 4" xfId="12665" xr:uid="{56619D23-A045-4507-A6FF-99050C580552}"/>
    <cellStyle name="Standard 6 2 2 11 7" xfId="708" xr:uid="{00000000-0005-0000-0000-0000CB020000}"/>
    <cellStyle name="Standard 6 2 2 11 7 2" xfId="709" xr:uid="{00000000-0005-0000-0000-0000CC020000}"/>
    <cellStyle name="Standard 6 2 2 11 7 2 2" xfId="710" xr:uid="{00000000-0005-0000-0000-0000CD020000}"/>
    <cellStyle name="Standard 6 2 2 11 7 2 2 2" xfId="12671" xr:uid="{73CF9ACB-A986-4952-AD7A-ECAB7B7F8E84}"/>
    <cellStyle name="Standard 6 2 2 11 7 2 3" xfId="12670" xr:uid="{FBB1B51D-9629-43A8-839F-D38D5F6792A3}"/>
    <cellStyle name="Standard 6 2 2 11 7 3" xfId="711" xr:uid="{00000000-0005-0000-0000-0000CE020000}"/>
    <cellStyle name="Standard 6 2 2 11 7 3 2" xfId="12672" xr:uid="{44446E68-4D09-4028-B78B-7B312467C360}"/>
    <cellStyle name="Standard 6 2 2 11 7 4" xfId="12669" xr:uid="{C35D2977-C9CF-4824-A1E2-488FCFCF5847}"/>
    <cellStyle name="Standard 6 2 2 11 8" xfId="712" xr:uid="{00000000-0005-0000-0000-0000CF020000}"/>
    <cellStyle name="Standard 6 2 2 11 8 2" xfId="713" xr:uid="{00000000-0005-0000-0000-0000D0020000}"/>
    <cellStyle name="Standard 6 2 2 11 8 2 2" xfId="12674" xr:uid="{1B51D110-734F-4997-AD2E-24625143CBB7}"/>
    <cellStyle name="Standard 6 2 2 11 8 3" xfId="12673" xr:uid="{F7CCC66D-CA4F-4AC4-AE7D-E49F630256F6}"/>
    <cellStyle name="Standard 6 2 2 11 9" xfId="714" xr:uid="{00000000-0005-0000-0000-0000D1020000}"/>
    <cellStyle name="Standard 6 2 2 11 9 2" xfId="12675" xr:uid="{20E5FBF9-DCF2-4E73-967E-A71D20A5458D}"/>
    <cellStyle name="Standard 6 2 2 12" xfId="715" xr:uid="{00000000-0005-0000-0000-0000D2020000}"/>
    <cellStyle name="Standard 6 2 2 12 2" xfId="716" xr:uid="{00000000-0005-0000-0000-0000D3020000}"/>
    <cellStyle name="Standard 6 2 2 12 2 2" xfId="717" xr:uid="{00000000-0005-0000-0000-0000D4020000}"/>
    <cellStyle name="Standard 6 2 2 12 2 2 2" xfId="718" xr:uid="{00000000-0005-0000-0000-0000D5020000}"/>
    <cellStyle name="Standard 6 2 2 12 2 2 2 2" xfId="12679" xr:uid="{0317E971-A463-41CC-8F03-45A3CAE9D101}"/>
    <cellStyle name="Standard 6 2 2 12 2 2 3" xfId="12678" xr:uid="{6C386EA4-1B6E-44D1-BF26-BE65E9286027}"/>
    <cellStyle name="Standard 6 2 2 12 2 3" xfId="719" xr:uid="{00000000-0005-0000-0000-0000D6020000}"/>
    <cellStyle name="Standard 6 2 2 12 2 3 2" xfId="12680" xr:uid="{FC7F7FAD-971F-4549-BBB6-295BBD7B80AB}"/>
    <cellStyle name="Standard 6 2 2 12 2 4" xfId="12677" xr:uid="{B2512722-7097-4422-943C-FE9356C653F5}"/>
    <cellStyle name="Standard 6 2 2 12 3" xfId="720" xr:uid="{00000000-0005-0000-0000-0000D7020000}"/>
    <cellStyle name="Standard 6 2 2 12 3 2" xfId="721" xr:uid="{00000000-0005-0000-0000-0000D8020000}"/>
    <cellStyle name="Standard 6 2 2 12 3 2 2" xfId="722" xr:uid="{00000000-0005-0000-0000-0000D9020000}"/>
    <cellStyle name="Standard 6 2 2 12 3 2 2 2" xfId="12683" xr:uid="{BA56760C-20B8-431D-BB8F-832AACD4D96E}"/>
    <cellStyle name="Standard 6 2 2 12 3 2 3" xfId="12682" xr:uid="{E1BFC10A-8A8F-48AE-8D80-A48FEFACF059}"/>
    <cellStyle name="Standard 6 2 2 12 3 3" xfId="723" xr:uid="{00000000-0005-0000-0000-0000DA020000}"/>
    <cellStyle name="Standard 6 2 2 12 3 3 2" xfId="12684" xr:uid="{993E5A13-1C65-4AAC-8B08-0F4853DB8A1F}"/>
    <cellStyle name="Standard 6 2 2 12 3 4" xfId="12681" xr:uid="{45B675FA-F097-4FFA-B9F3-06D9E1F72100}"/>
    <cellStyle name="Standard 6 2 2 12 4" xfId="724" xr:uid="{00000000-0005-0000-0000-0000DB020000}"/>
    <cellStyle name="Standard 6 2 2 12 4 2" xfId="725" xr:uid="{00000000-0005-0000-0000-0000DC020000}"/>
    <cellStyle name="Standard 6 2 2 12 4 2 2" xfId="726" xr:uid="{00000000-0005-0000-0000-0000DD020000}"/>
    <cellStyle name="Standard 6 2 2 12 4 2 2 2" xfId="12687" xr:uid="{6A77A178-FDF3-471F-B856-9C0F953359F3}"/>
    <cellStyle name="Standard 6 2 2 12 4 2 3" xfId="12686" xr:uid="{DE75C24E-AC2E-473C-98C4-8D534B7E663E}"/>
    <cellStyle name="Standard 6 2 2 12 4 3" xfId="727" xr:uid="{00000000-0005-0000-0000-0000DE020000}"/>
    <cellStyle name="Standard 6 2 2 12 4 3 2" xfId="12688" xr:uid="{187A8404-64B3-4332-84AE-DC1C88D44FEA}"/>
    <cellStyle name="Standard 6 2 2 12 4 4" xfId="12685" xr:uid="{BC8FB329-E3BD-4A7C-AD1D-E852CAB015BF}"/>
    <cellStyle name="Standard 6 2 2 12 5" xfId="728" xr:uid="{00000000-0005-0000-0000-0000DF020000}"/>
    <cellStyle name="Standard 6 2 2 12 5 2" xfId="729" xr:uid="{00000000-0005-0000-0000-0000E0020000}"/>
    <cellStyle name="Standard 6 2 2 12 5 2 2" xfId="730" xr:uid="{00000000-0005-0000-0000-0000E1020000}"/>
    <cellStyle name="Standard 6 2 2 12 5 2 2 2" xfId="12691" xr:uid="{9EB50DB4-36C3-4DC6-B23E-D4E286DB9456}"/>
    <cellStyle name="Standard 6 2 2 12 5 2 3" xfId="12690" xr:uid="{0516F4B8-60AA-42EF-AE23-670CA5BEE36F}"/>
    <cellStyle name="Standard 6 2 2 12 5 3" xfId="731" xr:uid="{00000000-0005-0000-0000-0000E2020000}"/>
    <cellStyle name="Standard 6 2 2 12 5 3 2" xfId="12692" xr:uid="{98E72747-3EFB-4E23-8C71-65431856A773}"/>
    <cellStyle name="Standard 6 2 2 12 5 4" xfId="12689" xr:uid="{C5BEB147-7813-4322-92BC-224546A95330}"/>
    <cellStyle name="Standard 6 2 2 12 6" xfId="732" xr:uid="{00000000-0005-0000-0000-0000E3020000}"/>
    <cellStyle name="Standard 6 2 2 12 6 2" xfId="733" xr:uid="{00000000-0005-0000-0000-0000E4020000}"/>
    <cellStyle name="Standard 6 2 2 12 6 2 2" xfId="734" xr:uid="{00000000-0005-0000-0000-0000E5020000}"/>
    <cellStyle name="Standard 6 2 2 12 6 2 2 2" xfId="12695" xr:uid="{9D009996-3476-4274-A3EE-46FB90701256}"/>
    <cellStyle name="Standard 6 2 2 12 6 2 3" xfId="12694" xr:uid="{5F002D6B-65D2-4B50-B4A5-6FD24BD3EEB5}"/>
    <cellStyle name="Standard 6 2 2 12 6 3" xfId="735" xr:uid="{00000000-0005-0000-0000-0000E6020000}"/>
    <cellStyle name="Standard 6 2 2 12 6 3 2" xfId="12696" xr:uid="{17F4E337-CF16-4836-8D6C-DF43015DBA17}"/>
    <cellStyle name="Standard 6 2 2 12 6 4" xfId="12693" xr:uid="{AC4C69B8-E24A-4E4A-9C5D-A1E25DE26910}"/>
    <cellStyle name="Standard 6 2 2 12 7" xfId="736" xr:uid="{00000000-0005-0000-0000-0000E7020000}"/>
    <cellStyle name="Standard 6 2 2 12 7 2" xfId="737" xr:uid="{00000000-0005-0000-0000-0000E8020000}"/>
    <cellStyle name="Standard 6 2 2 12 7 2 2" xfId="12698" xr:uid="{C431E916-0CD4-40D3-9FCC-30CB178CADB9}"/>
    <cellStyle name="Standard 6 2 2 12 7 3" xfId="12697" xr:uid="{1C8E2079-6A45-4047-82EC-80304D7D0919}"/>
    <cellStyle name="Standard 6 2 2 12 8" xfId="738" xr:uid="{00000000-0005-0000-0000-0000E9020000}"/>
    <cellStyle name="Standard 6 2 2 12 8 2" xfId="12699" xr:uid="{E8F4FDA9-906F-4843-BDA3-FF0A3D1E7751}"/>
    <cellStyle name="Standard 6 2 2 12 9" xfId="12676" xr:uid="{A970BC03-4015-4016-884C-3BED1ABBC73D}"/>
    <cellStyle name="Standard 6 2 2 13" xfId="739" xr:uid="{00000000-0005-0000-0000-0000EA020000}"/>
    <cellStyle name="Standard 6 2 2 13 2" xfId="740" xr:uid="{00000000-0005-0000-0000-0000EB020000}"/>
    <cellStyle name="Standard 6 2 2 13 2 2" xfId="741" xr:uid="{00000000-0005-0000-0000-0000EC020000}"/>
    <cellStyle name="Standard 6 2 2 13 2 2 2" xfId="12702" xr:uid="{746F9DB4-BCCD-4DC5-94E3-BC62C4376A20}"/>
    <cellStyle name="Standard 6 2 2 13 2 3" xfId="12701" xr:uid="{668BC176-AD17-40F5-AE6F-69CD98C443C4}"/>
    <cellStyle name="Standard 6 2 2 13 3" xfId="742" xr:uid="{00000000-0005-0000-0000-0000ED020000}"/>
    <cellStyle name="Standard 6 2 2 13 3 2" xfId="12703" xr:uid="{D12BED72-160D-4889-AAF3-16B02C54E522}"/>
    <cellStyle name="Standard 6 2 2 13 4" xfId="12700" xr:uid="{B3DF01F7-679F-4DCF-A5F6-7AE98516A7BD}"/>
    <cellStyle name="Standard 6 2 2 14" xfId="743" xr:uid="{00000000-0005-0000-0000-0000EE020000}"/>
    <cellStyle name="Standard 6 2 2 14 2" xfId="744" xr:uid="{00000000-0005-0000-0000-0000EF020000}"/>
    <cellStyle name="Standard 6 2 2 14 2 2" xfId="745" xr:uid="{00000000-0005-0000-0000-0000F0020000}"/>
    <cellStyle name="Standard 6 2 2 14 2 2 2" xfId="12706" xr:uid="{9EFFEB55-3A76-4B1C-BB4E-BFCE15B3B976}"/>
    <cellStyle name="Standard 6 2 2 14 2 3" xfId="12705" xr:uid="{F6B16CD7-B0F0-47CC-8645-A6BD37290177}"/>
    <cellStyle name="Standard 6 2 2 14 3" xfId="746" xr:uid="{00000000-0005-0000-0000-0000F1020000}"/>
    <cellStyle name="Standard 6 2 2 14 3 2" xfId="12707" xr:uid="{FF60161A-0FE4-43F9-ADCF-A3AE86754A8B}"/>
    <cellStyle name="Standard 6 2 2 14 4" xfId="12704" xr:uid="{944EC9EA-AEE1-448E-BCA7-EF8C37753BE7}"/>
    <cellStyle name="Standard 6 2 2 15" xfId="747" xr:uid="{00000000-0005-0000-0000-0000F2020000}"/>
    <cellStyle name="Standard 6 2 2 15 2" xfId="748" xr:uid="{00000000-0005-0000-0000-0000F3020000}"/>
    <cellStyle name="Standard 6 2 2 15 2 2" xfId="749" xr:uid="{00000000-0005-0000-0000-0000F4020000}"/>
    <cellStyle name="Standard 6 2 2 15 2 2 2" xfId="12710" xr:uid="{19C51972-7FF0-4CEE-8493-047AF6A1E090}"/>
    <cellStyle name="Standard 6 2 2 15 2 3" xfId="12709" xr:uid="{52BB8A3A-D8D6-433D-8D13-C263AA0638AD}"/>
    <cellStyle name="Standard 6 2 2 15 3" xfId="750" xr:uid="{00000000-0005-0000-0000-0000F5020000}"/>
    <cellStyle name="Standard 6 2 2 15 3 2" xfId="12711" xr:uid="{6631B898-C6A4-42AC-9ACE-45594237184D}"/>
    <cellStyle name="Standard 6 2 2 15 4" xfId="12708" xr:uid="{55134A02-070A-44E1-9256-B6094E11CBC0}"/>
    <cellStyle name="Standard 6 2 2 16" xfId="751" xr:uid="{00000000-0005-0000-0000-0000F6020000}"/>
    <cellStyle name="Standard 6 2 2 16 2" xfId="752" xr:uid="{00000000-0005-0000-0000-0000F7020000}"/>
    <cellStyle name="Standard 6 2 2 16 2 2" xfId="753" xr:uid="{00000000-0005-0000-0000-0000F8020000}"/>
    <cellStyle name="Standard 6 2 2 16 2 2 2" xfId="12714" xr:uid="{EA571ACF-CF9F-40AD-9FE7-DAC3A0D68157}"/>
    <cellStyle name="Standard 6 2 2 16 2 3" xfId="12713" xr:uid="{32E12AE2-F63B-4070-8128-12E2D9E48DB0}"/>
    <cellStyle name="Standard 6 2 2 16 3" xfId="754" xr:uid="{00000000-0005-0000-0000-0000F9020000}"/>
    <cellStyle name="Standard 6 2 2 16 3 2" xfId="12715" xr:uid="{8D6ED8AB-7306-43C7-9907-9D534716E0AD}"/>
    <cellStyle name="Standard 6 2 2 16 4" xfId="12712" xr:uid="{FEFE6439-3B25-48A4-B9E4-AE5838D3459E}"/>
    <cellStyle name="Standard 6 2 2 17" xfId="755" xr:uid="{00000000-0005-0000-0000-0000FA020000}"/>
    <cellStyle name="Standard 6 2 2 17 2" xfId="756" xr:uid="{00000000-0005-0000-0000-0000FB020000}"/>
    <cellStyle name="Standard 6 2 2 17 2 2" xfId="757" xr:uid="{00000000-0005-0000-0000-0000FC020000}"/>
    <cellStyle name="Standard 6 2 2 17 2 2 2" xfId="12718" xr:uid="{D3DF12BA-C6BB-42E3-B3AC-0F141286DA02}"/>
    <cellStyle name="Standard 6 2 2 17 2 3" xfId="12717" xr:uid="{63770A06-75B4-42B7-B998-C6C496EE5DF1}"/>
    <cellStyle name="Standard 6 2 2 17 3" xfId="758" xr:uid="{00000000-0005-0000-0000-0000FD020000}"/>
    <cellStyle name="Standard 6 2 2 17 3 2" xfId="12719" xr:uid="{C2845147-E15A-4337-A07E-EBAEF7D3AECB}"/>
    <cellStyle name="Standard 6 2 2 17 4" xfId="12716" xr:uid="{641C5694-D0AF-4439-822E-CEB68ECFC4ED}"/>
    <cellStyle name="Standard 6 2 2 18" xfId="759" xr:uid="{00000000-0005-0000-0000-0000FE020000}"/>
    <cellStyle name="Standard 6 2 2 18 2" xfId="760" xr:uid="{00000000-0005-0000-0000-0000FF020000}"/>
    <cellStyle name="Standard 6 2 2 18 2 2" xfId="761" xr:uid="{00000000-0005-0000-0000-000000030000}"/>
    <cellStyle name="Standard 6 2 2 18 2 2 2" xfId="12722" xr:uid="{4B4BDD60-CBE3-4E8B-A159-3064C26230E6}"/>
    <cellStyle name="Standard 6 2 2 18 2 3" xfId="12721" xr:uid="{60FBBFE0-C43C-4762-940F-3D5D65973DFA}"/>
    <cellStyle name="Standard 6 2 2 18 3" xfId="762" xr:uid="{00000000-0005-0000-0000-000001030000}"/>
    <cellStyle name="Standard 6 2 2 18 3 2" xfId="12723" xr:uid="{039E5F15-94FA-4A4E-A195-9CA24AD3429C}"/>
    <cellStyle name="Standard 6 2 2 18 4" xfId="12720" xr:uid="{F62F3427-9218-4B0E-9634-74FCD4225D21}"/>
    <cellStyle name="Standard 6 2 2 19" xfId="763" xr:uid="{00000000-0005-0000-0000-000002030000}"/>
    <cellStyle name="Standard 6 2 2 19 2" xfId="764" xr:uid="{00000000-0005-0000-0000-000003030000}"/>
    <cellStyle name="Standard 6 2 2 19 2 2" xfId="765" xr:uid="{00000000-0005-0000-0000-000004030000}"/>
    <cellStyle name="Standard 6 2 2 19 2 2 2" xfId="12726" xr:uid="{E4273216-0AFD-43C0-A2AE-BE7FB6C9E557}"/>
    <cellStyle name="Standard 6 2 2 19 2 3" xfId="12725" xr:uid="{FBD0411D-164B-4C7E-9B31-5A2FD12F518F}"/>
    <cellStyle name="Standard 6 2 2 19 3" xfId="766" xr:uid="{00000000-0005-0000-0000-000005030000}"/>
    <cellStyle name="Standard 6 2 2 19 3 2" xfId="12727" xr:uid="{B74C0D10-7A55-4BD5-88DC-79612A2D1FD4}"/>
    <cellStyle name="Standard 6 2 2 19 4" xfId="12724" xr:uid="{6517FF3F-8AAF-4371-8CC3-1E4576C823D6}"/>
    <cellStyle name="Standard 6 2 2 2" xfId="767" xr:uid="{00000000-0005-0000-0000-000006030000}"/>
    <cellStyle name="Standard 6 2 2 2 10" xfId="768" xr:uid="{00000000-0005-0000-0000-000007030000}"/>
    <cellStyle name="Standard 6 2 2 2 10 10" xfId="12729" xr:uid="{36D0AD6A-8E2E-41F2-B5A4-95A05115C341}"/>
    <cellStyle name="Standard 6 2 2 2 10 2" xfId="769" xr:uid="{00000000-0005-0000-0000-000008030000}"/>
    <cellStyle name="Standard 6 2 2 2 10 2 2" xfId="770" xr:uid="{00000000-0005-0000-0000-000009030000}"/>
    <cellStyle name="Standard 6 2 2 2 10 2 2 2" xfId="771" xr:uid="{00000000-0005-0000-0000-00000A030000}"/>
    <cellStyle name="Standard 6 2 2 2 10 2 2 2 2" xfId="12732" xr:uid="{01D84C55-33F5-48B2-9DF9-F75BA845FEE6}"/>
    <cellStyle name="Standard 6 2 2 2 10 2 2 3" xfId="12731" xr:uid="{A899D87E-7054-42BD-9A13-A0F75F4EB35A}"/>
    <cellStyle name="Standard 6 2 2 2 10 2 3" xfId="772" xr:uid="{00000000-0005-0000-0000-00000B030000}"/>
    <cellStyle name="Standard 6 2 2 2 10 2 3 2" xfId="12733" xr:uid="{8EBADE48-38F3-451D-8489-59289AE84115}"/>
    <cellStyle name="Standard 6 2 2 2 10 2 4" xfId="12730" xr:uid="{9708BCB9-47F0-4F18-92D2-F14BB13ABE96}"/>
    <cellStyle name="Standard 6 2 2 2 10 3" xfId="773" xr:uid="{00000000-0005-0000-0000-00000C030000}"/>
    <cellStyle name="Standard 6 2 2 2 10 3 2" xfId="774" xr:uid="{00000000-0005-0000-0000-00000D030000}"/>
    <cellStyle name="Standard 6 2 2 2 10 3 2 2" xfId="775" xr:uid="{00000000-0005-0000-0000-00000E030000}"/>
    <cellStyle name="Standard 6 2 2 2 10 3 2 2 2" xfId="12736" xr:uid="{7E1920D6-6D93-484C-94F8-B2D6BEEF4F71}"/>
    <cellStyle name="Standard 6 2 2 2 10 3 2 3" xfId="12735" xr:uid="{56217B2A-533C-4193-91F9-7F6381F76029}"/>
    <cellStyle name="Standard 6 2 2 2 10 3 3" xfId="776" xr:uid="{00000000-0005-0000-0000-00000F030000}"/>
    <cellStyle name="Standard 6 2 2 2 10 3 3 2" xfId="12737" xr:uid="{E7DC81F5-FEB6-4DDA-A8D6-6C04948EBCCB}"/>
    <cellStyle name="Standard 6 2 2 2 10 3 4" xfId="12734" xr:uid="{27EC2167-2230-4C00-8F6E-BCEA0B64A9F5}"/>
    <cellStyle name="Standard 6 2 2 2 10 4" xfId="777" xr:uid="{00000000-0005-0000-0000-000010030000}"/>
    <cellStyle name="Standard 6 2 2 2 10 4 2" xfId="778" xr:uid="{00000000-0005-0000-0000-000011030000}"/>
    <cellStyle name="Standard 6 2 2 2 10 4 2 2" xfId="779" xr:uid="{00000000-0005-0000-0000-000012030000}"/>
    <cellStyle name="Standard 6 2 2 2 10 4 2 2 2" xfId="12740" xr:uid="{F20DEDA0-515B-4F2F-933E-B9BCDFAF7B19}"/>
    <cellStyle name="Standard 6 2 2 2 10 4 2 3" xfId="12739" xr:uid="{7F735D55-C67F-4EC8-956F-2536982CFCF3}"/>
    <cellStyle name="Standard 6 2 2 2 10 4 3" xfId="780" xr:uid="{00000000-0005-0000-0000-000013030000}"/>
    <cellStyle name="Standard 6 2 2 2 10 4 3 2" xfId="12741" xr:uid="{F07F0356-716F-41E4-ACC0-8AF078BA2DD0}"/>
    <cellStyle name="Standard 6 2 2 2 10 4 4" xfId="12738" xr:uid="{F8B97E4C-6F2E-487E-B25F-5FE36575261B}"/>
    <cellStyle name="Standard 6 2 2 2 10 5" xfId="781" xr:uid="{00000000-0005-0000-0000-000014030000}"/>
    <cellStyle name="Standard 6 2 2 2 10 5 2" xfId="782" xr:uid="{00000000-0005-0000-0000-000015030000}"/>
    <cellStyle name="Standard 6 2 2 2 10 5 2 2" xfId="783" xr:uid="{00000000-0005-0000-0000-000016030000}"/>
    <cellStyle name="Standard 6 2 2 2 10 5 2 2 2" xfId="12744" xr:uid="{0B1E1EE9-50A8-4E4A-BA45-DE485EE6F0F3}"/>
    <cellStyle name="Standard 6 2 2 2 10 5 2 3" xfId="12743" xr:uid="{CF21094A-6D67-4759-B9BD-79376D0C6F6C}"/>
    <cellStyle name="Standard 6 2 2 2 10 5 3" xfId="784" xr:uid="{00000000-0005-0000-0000-000017030000}"/>
    <cellStyle name="Standard 6 2 2 2 10 5 3 2" xfId="12745" xr:uid="{EE21B1E4-D40D-4C8F-B69D-53B2F1216C0E}"/>
    <cellStyle name="Standard 6 2 2 2 10 5 4" xfId="12742" xr:uid="{2CD0F28B-08EE-4450-8105-372863102613}"/>
    <cellStyle name="Standard 6 2 2 2 10 6" xfId="785" xr:uid="{00000000-0005-0000-0000-000018030000}"/>
    <cellStyle name="Standard 6 2 2 2 10 6 2" xfId="786" xr:uid="{00000000-0005-0000-0000-000019030000}"/>
    <cellStyle name="Standard 6 2 2 2 10 6 2 2" xfId="787" xr:uid="{00000000-0005-0000-0000-00001A030000}"/>
    <cellStyle name="Standard 6 2 2 2 10 6 2 2 2" xfId="12748" xr:uid="{C4CCF6DC-277A-446D-9925-D439A73A1BCD}"/>
    <cellStyle name="Standard 6 2 2 2 10 6 2 3" xfId="12747" xr:uid="{6E6476E2-B7C8-481B-82A9-30679DD3EDE2}"/>
    <cellStyle name="Standard 6 2 2 2 10 6 3" xfId="788" xr:uid="{00000000-0005-0000-0000-00001B030000}"/>
    <cellStyle name="Standard 6 2 2 2 10 6 3 2" xfId="12749" xr:uid="{4115B7EB-C3BD-46FE-8339-AD25982BA18D}"/>
    <cellStyle name="Standard 6 2 2 2 10 6 4" xfId="12746" xr:uid="{DC5A6A40-BDF7-43AA-BAB6-90807181EB50}"/>
    <cellStyle name="Standard 6 2 2 2 10 7" xfId="789" xr:uid="{00000000-0005-0000-0000-00001C030000}"/>
    <cellStyle name="Standard 6 2 2 2 10 7 2" xfId="790" xr:uid="{00000000-0005-0000-0000-00001D030000}"/>
    <cellStyle name="Standard 6 2 2 2 10 7 2 2" xfId="791" xr:uid="{00000000-0005-0000-0000-00001E030000}"/>
    <cellStyle name="Standard 6 2 2 2 10 7 2 2 2" xfId="12752" xr:uid="{B02E9E1A-19C7-4B9C-8B1B-36FDA7788934}"/>
    <cellStyle name="Standard 6 2 2 2 10 7 2 3" xfId="12751" xr:uid="{D7DF5CB0-F906-401C-99EE-27EFE0D91802}"/>
    <cellStyle name="Standard 6 2 2 2 10 7 3" xfId="792" xr:uid="{00000000-0005-0000-0000-00001F030000}"/>
    <cellStyle name="Standard 6 2 2 2 10 7 3 2" xfId="12753" xr:uid="{B2532D97-D157-4DC9-B2FF-F680DCA8E57A}"/>
    <cellStyle name="Standard 6 2 2 2 10 7 4" xfId="12750" xr:uid="{621E9E02-8FA5-4514-9363-9E537FD5A935}"/>
    <cellStyle name="Standard 6 2 2 2 10 8" xfId="793" xr:uid="{00000000-0005-0000-0000-000020030000}"/>
    <cellStyle name="Standard 6 2 2 2 10 8 2" xfId="794" xr:uid="{00000000-0005-0000-0000-000021030000}"/>
    <cellStyle name="Standard 6 2 2 2 10 8 2 2" xfId="12755" xr:uid="{A9F6F911-586C-4020-9AE3-39DB5D931734}"/>
    <cellStyle name="Standard 6 2 2 2 10 8 3" xfId="12754" xr:uid="{BF3902AD-D7D4-4DB1-A26F-6655F51AA013}"/>
    <cellStyle name="Standard 6 2 2 2 10 9" xfId="795" xr:uid="{00000000-0005-0000-0000-000022030000}"/>
    <cellStyle name="Standard 6 2 2 2 10 9 2" xfId="12756" xr:uid="{7BE0F35E-8896-42B9-A453-9382EB184A7E}"/>
    <cellStyle name="Standard 6 2 2 2 11" xfId="796" xr:uid="{00000000-0005-0000-0000-000023030000}"/>
    <cellStyle name="Standard 6 2 2 2 11 2" xfId="797" xr:uid="{00000000-0005-0000-0000-000024030000}"/>
    <cellStyle name="Standard 6 2 2 2 11 2 2" xfId="798" xr:uid="{00000000-0005-0000-0000-000025030000}"/>
    <cellStyle name="Standard 6 2 2 2 11 2 2 2" xfId="799" xr:uid="{00000000-0005-0000-0000-000026030000}"/>
    <cellStyle name="Standard 6 2 2 2 11 2 2 2 2" xfId="12760" xr:uid="{52746587-2998-4C1C-A5B9-1E2FD54AFCC4}"/>
    <cellStyle name="Standard 6 2 2 2 11 2 2 3" xfId="12759" xr:uid="{BD76304E-CEC5-4B1E-AD04-86D7022A149B}"/>
    <cellStyle name="Standard 6 2 2 2 11 2 3" xfId="800" xr:uid="{00000000-0005-0000-0000-000027030000}"/>
    <cellStyle name="Standard 6 2 2 2 11 2 3 2" xfId="12761" xr:uid="{736629D3-8CC4-4847-B24E-6E855BEB6B10}"/>
    <cellStyle name="Standard 6 2 2 2 11 2 4" xfId="12758" xr:uid="{6ACE0308-3FB7-4245-99FA-44ECD8BB768E}"/>
    <cellStyle name="Standard 6 2 2 2 11 3" xfId="801" xr:uid="{00000000-0005-0000-0000-000028030000}"/>
    <cellStyle name="Standard 6 2 2 2 11 3 2" xfId="802" xr:uid="{00000000-0005-0000-0000-000029030000}"/>
    <cellStyle name="Standard 6 2 2 2 11 3 2 2" xfId="803" xr:uid="{00000000-0005-0000-0000-00002A030000}"/>
    <cellStyle name="Standard 6 2 2 2 11 3 2 2 2" xfId="12764" xr:uid="{67C7F779-8D7B-48E5-BE51-B9CA20B84556}"/>
    <cellStyle name="Standard 6 2 2 2 11 3 2 3" xfId="12763" xr:uid="{02099318-8DEC-415F-8640-F1E51FBB8B83}"/>
    <cellStyle name="Standard 6 2 2 2 11 3 3" xfId="804" xr:uid="{00000000-0005-0000-0000-00002B030000}"/>
    <cellStyle name="Standard 6 2 2 2 11 3 3 2" xfId="12765" xr:uid="{F3A3DDEE-6471-4124-93E6-999FB810FF40}"/>
    <cellStyle name="Standard 6 2 2 2 11 3 4" xfId="12762" xr:uid="{DCF0FC5F-0704-4E6E-ADEB-6064DFE73DD8}"/>
    <cellStyle name="Standard 6 2 2 2 11 4" xfId="805" xr:uid="{00000000-0005-0000-0000-00002C030000}"/>
    <cellStyle name="Standard 6 2 2 2 11 4 2" xfId="806" xr:uid="{00000000-0005-0000-0000-00002D030000}"/>
    <cellStyle name="Standard 6 2 2 2 11 4 2 2" xfId="807" xr:uid="{00000000-0005-0000-0000-00002E030000}"/>
    <cellStyle name="Standard 6 2 2 2 11 4 2 2 2" xfId="12768" xr:uid="{877965F0-D14A-4A8F-849E-730F5C03F044}"/>
    <cellStyle name="Standard 6 2 2 2 11 4 2 3" xfId="12767" xr:uid="{806981C7-0CCF-48ED-BD74-64A9EEE1809D}"/>
    <cellStyle name="Standard 6 2 2 2 11 4 3" xfId="808" xr:uid="{00000000-0005-0000-0000-00002F030000}"/>
    <cellStyle name="Standard 6 2 2 2 11 4 3 2" xfId="12769" xr:uid="{7CABAB76-47AF-406B-A364-28AAFB60DB4E}"/>
    <cellStyle name="Standard 6 2 2 2 11 4 4" xfId="12766" xr:uid="{E36A36DA-A85B-436F-86A1-F0002BE4E1F5}"/>
    <cellStyle name="Standard 6 2 2 2 11 5" xfId="809" xr:uid="{00000000-0005-0000-0000-000030030000}"/>
    <cellStyle name="Standard 6 2 2 2 11 5 2" xfId="810" xr:uid="{00000000-0005-0000-0000-000031030000}"/>
    <cellStyle name="Standard 6 2 2 2 11 5 2 2" xfId="811" xr:uid="{00000000-0005-0000-0000-000032030000}"/>
    <cellStyle name="Standard 6 2 2 2 11 5 2 2 2" xfId="12772" xr:uid="{680CA3B9-8B59-454A-8E25-16093E749556}"/>
    <cellStyle name="Standard 6 2 2 2 11 5 2 3" xfId="12771" xr:uid="{8D2BB8FA-0742-46A4-B3F9-6859C69F504C}"/>
    <cellStyle name="Standard 6 2 2 2 11 5 3" xfId="812" xr:uid="{00000000-0005-0000-0000-000033030000}"/>
    <cellStyle name="Standard 6 2 2 2 11 5 3 2" xfId="12773" xr:uid="{5BB022E6-48AB-4237-BD4A-9DE7DCADC701}"/>
    <cellStyle name="Standard 6 2 2 2 11 5 4" xfId="12770" xr:uid="{703FA175-363F-4BB4-BF87-AE8536F61A96}"/>
    <cellStyle name="Standard 6 2 2 2 11 6" xfId="813" xr:uid="{00000000-0005-0000-0000-000034030000}"/>
    <cellStyle name="Standard 6 2 2 2 11 6 2" xfId="814" xr:uid="{00000000-0005-0000-0000-000035030000}"/>
    <cellStyle name="Standard 6 2 2 2 11 6 2 2" xfId="815" xr:uid="{00000000-0005-0000-0000-000036030000}"/>
    <cellStyle name="Standard 6 2 2 2 11 6 2 2 2" xfId="12776" xr:uid="{A5980C90-18AE-4359-BD44-92573C8935E6}"/>
    <cellStyle name="Standard 6 2 2 2 11 6 2 3" xfId="12775" xr:uid="{6DB9A266-B211-4E04-8978-6AAE864C1522}"/>
    <cellStyle name="Standard 6 2 2 2 11 6 3" xfId="816" xr:uid="{00000000-0005-0000-0000-000037030000}"/>
    <cellStyle name="Standard 6 2 2 2 11 6 3 2" xfId="12777" xr:uid="{D7B6B6D6-9647-4E75-BC7A-7149AC4B402F}"/>
    <cellStyle name="Standard 6 2 2 2 11 6 4" xfId="12774" xr:uid="{69563D28-192C-49DE-8A84-11925F839C00}"/>
    <cellStyle name="Standard 6 2 2 2 11 7" xfId="817" xr:uid="{00000000-0005-0000-0000-000038030000}"/>
    <cellStyle name="Standard 6 2 2 2 11 7 2" xfId="818" xr:uid="{00000000-0005-0000-0000-000039030000}"/>
    <cellStyle name="Standard 6 2 2 2 11 7 2 2" xfId="12779" xr:uid="{1950A466-57DD-48F5-87FF-A042CCD0E513}"/>
    <cellStyle name="Standard 6 2 2 2 11 7 3" xfId="12778" xr:uid="{C1C164CD-72E9-423E-997A-10AF823EAC20}"/>
    <cellStyle name="Standard 6 2 2 2 11 8" xfId="819" xr:uid="{00000000-0005-0000-0000-00003A030000}"/>
    <cellStyle name="Standard 6 2 2 2 11 8 2" xfId="12780" xr:uid="{2D137083-2069-4475-9CEB-E12EC80A3DDC}"/>
    <cellStyle name="Standard 6 2 2 2 11 9" xfId="12757" xr:uid="{23FA67BF-37C3-457C-A4B7-4481CD483591}"/>
    <cellStyle name="Standard 6 2 2 2 12" xfId="820" xr:uid="{00000000-0005-0000-0000-00003B030000}"/>
    <cellStyle name="Standard 6 2 2 2 12 2" xfId="821" xr:uid="{00000000-0005-0000-0000-00003C030000}"/>
    <cellStyle name="Standard 6 2 2 2 12 2 2" xfId="822" xr:uid="{00000000-0005-0000-0000-00003D030000}"/>
    <cellStyle name="Standard 6 2 2 2 12 2 2 2" xfId="12783" xr:uid="{8126A0C2-5086-4651-9A18-F75EA9C3BBE4}"/>
    <cellStyle name="Standard 6 2 2 2 12 2 3" xfId="12782" xr:uid="{9067198B-ECA2-44C9-8054-85E11EBCEACF}"/>
    <cellStyle name="Standard 6 2 2 2 12 3" xfId="823" xr:uid="{00000000-0005-0000-0000-00003E030000}"/>
    <cellStyle name="Standard 6 2 2 2 12 3 2" xfId="12784" xr:uid="{C72F4A11-3ECD-4142-891D-13D89222A4AC}"/>
    <cellStyle name="Standard 6 2 2 2 12 4" xfId="12781" xr:uid="{A800FBC9-45E5-43EC-A7EC-A634BAC0EE1F}"/>
    <cellStyle name="Standard 6 2 2 2 13" xfId="824" xr:uid="{00000000-0005-0000-0000-00003F030000}"/>
    <cellStyle name="Standard 6 2 2 2 13 2" xfId="825" xr:uid="{00000000-0005-0000-0000-000040030000}"/>
    <cellStyle name="Standard 6 2 2 2 13 2 2" xfId="826" xr:uid="{00000000-0005-0000-0000-000041030000}"/>
    <cellStyle name="Standard 6 2 2 2 13 2 2 2" xfId="12787" xr:uid="{B6EDA115-4917-4CFC-BDCA-3E6FDCD3AED0}"/>
    <cellStyle name="Standard 6 2 2 2 13 2 3" xfId="12786" xr:uid="{A5B77278-EDC1-4524-83D9-EEA30B5987A5}"/>
    <cellStyle name="Standard 6 2 2 2 13 3" xfId="827" xr:uid="{00000000-0005-0000-0000-000042030000}"/>
    <cellStyle name="Standard 6 2 2 2 13 3 2" xfId="12788" xr:uid="{520C33DB-B841-4A6F-954C-706C8D01B32D}"/>
    <cellStyle name="Standard 6 2 2 2 13 4" xfId="12785" xr:uid="{C643CE9F-840C-40FD-BC01-82EC0B70521C}"/>
    <cellStyle name="Standard 6 2 2 2 14" xfId="828" xr:uid="{00000000-0005-0000-0000-000043030000}"/>
    <cellStyle name="Standard 6 2 2 2 14 2" xfId="829" xr:uid="{00000000-0005-0000-0000-000044030000}"/>
    <cellStyle name="Standard 6 2 2 2 14 2 2" xfId="830" xr:uid="{00000000-0005-0000-0000-000045030000}"/>
    <cellStyle name="Standard 6 2 2 2 14 2 2 2" xfId="12791" xr:uid="{DAE52FED-B381-4144-9395-DE46FB78C2F0}"/>
    <cellStyle name="Standard 6 2 2 2 14 2 3" xfId="12790" xr:uid="{BD9FAC5D-56C1-4D7F-B180-2A66A4129925}"/>
    <cellStyle name="Standard 6 2 2 2 14 3" xfId="831" xr:uid="{00000000-0005-0000-0000-000046030000}"/>
    <cellStyle name="Standard 6 2 2 2 14 3 2" xfId="12792" xr:uid="{2052785A-F8C7-4BB1-A064-7C8B1B3E8C09}"/>
    <cellStyle name="Standard 6 2 2 2 14 4" xfId="12789" xr:uid="{A87DC2B3-F277-46AE-A145-AAB58E03E818}"/>
    <cellStyle name="Standard 6 2 2 2 15" xfId="832" xr:uid="{00000000-0005-0000-0000-000047030000}"/>
    <cellStyle name="Standard 6 2 2 2 15 2" xfId="833" xr:uid="{00000000-0005-0000-0000-000048030000}"/>
    <cellStyle name="Standard 6 2 2 2 15 2 2" xfId="834" xr:uid="{00000000-0005-0000-0000-000049030000}"/>
    <cellStyle name="Standard 6 2 2 2 15 2 2 2" xfId="12795" xr:uid="{A1556B28-0863-4E33-98C0-EE9835F11FA3}"/>
    <cellStyle name="Standard 6 2 2 2 15 2 3" xfId="12794" xr:uid="{F99ED238-56C1-4C57-B916-AA60D5D5E007}"/>
    <cellStyle name="Standard 6 2 2 2 15 3" xfId="835" xr:uid="{00000000-0005-0000-0000-00004A030000}"/>
    <cellStyle name="Standard 6 2 2 2 15 3 2" xfId="12796" xr:uid="{DABA1EC2-61CD-4847-A59E-FADA61952BCE}"/>
    <cellStyle name="Standard 6 2 2 2 15 4" xfId="12793" xr:uid="{DE5BFDE5-3230-4C5A-B028-B4E6E49CB95E}"/>
    <cellStyle name="Standard 6 2 2 2 16" xfId="836" xr:uid="{00000000-0005-0000-0000-00004B030000}"/>
    <cellStyle name="Standard 6 2 2 2 16 2" xfId="837" xr:uid="{00000000-0005-0000-0000-00004C030000}"/>
    <cellStyle name="Standard 6 2 2 2 16 2 2" xfId="838" xr:uid="{00000000-0005-0000-0000-00004D030000}"/>
    <cellStyle name="Standard 6 2 2 2 16 2 2 2" xfId="12799" xr:uid="{07512F3B-FEF9-4D45-8156-924A673B1B38}"/>
    <cellStyle name="Standard 6 2 2 2 16 2 3" xfId="12798" xr:uid="{45E08C01-0F2F-4CF7-844A-670BEF0002B8}"/>
    <cellStyle name="Standard 6 2 2 2 16 3" xfId="839" xr:uid="{00000000-0005-0000-0000-00004E030000}"/>
    <cellStyle name="Standard 6 2 2 2 16 3 2" xfId="12800" xr:uid="{D389A66A-ACAB-4539-BEE2-7F9ED8B36F91}"/>
    <cellStyle name="Standard 6 2 2 2 16 4" xfId="12797" xr:uid="{30433A96-2D5B-4DD8-B21F-8148A6D041B4}"/>
    <cellStyle name="Standard 6 2 2 2 17" xfId="840" xr:uid="{00000000-0005-0000-0000-00004F030000}"/>
    <cellStyle name="Standard 6 2 2 2 17 2" xfId="841" xr:uid="{00000000-0005-0000-0000-000050030000}"/>
    <cellStyle name="Standard 6 2 2 2 17 2 2" xfId="842" xr:uid="{00000000-0005-0000-0000-000051030000}"/>
    <cellStyle name="Standard 6 2 2 2 17 2 2 2" xfId="12803" xr:uid="{438C4262-E3F5-4EB7-AD38-3D5D4755AF03}"/>
    <cellStyle name="Standard 6 2 2 2 17 2 3" xfId="12802" xr:uid="{04512611-8165-4CA8-A3DE-28623139240B}"/>
    <cellStyle name="Standard 6 2 2 2 17 3" xfId="843" xr:uid="{00000000-0005-0000-0000-000052030000}"/>
    <cellStyle name="Standard 6 2 2 2 17 3 2" xfId="12804" xr:uid="{DD86E827-160C-4D22-8770-7AA4D0D4C1C6}"/>
    <cellStyle name="Standard 6 2 2 2 17 4" xfId="12801" xr:uid="{A63F8FA8-F9DC-490C-968D-AE7FEC0CEBF6}"/>
    <cellStyle name="Standard 6 2 2 2 18" xfId="844" xr:uid="{00000000-0005-0000-0000-000053030000}"/>
    <cellStyle name="Standard 6 2 2 2 18 2" xfId="845" xr:uid="{00000000-0005-0000-0000-000054030000}"/>
    <cellStyle name="Standard 6 2 2 2 18 2 2" xfId="846" xr:uid="{00000000-0005-0000-0000-000055030000}"/>
    <cellStyle name="Standard 6 2 2 2 18 2 2 2" xfId="12807" xr:uid="{A6D704B8-9D63-44F3-8543-EAC619BED163}"/>
    <cellStyle name="Standard 6 2 2 2 18 2 3" xfId="12806" xr:uid="{4CD7FA95-E10F-4AC9-A62C-8C43DEAAAF5A}"/>
    <cellStyle name="Standard 6 2 2 2 18 3" xfId="847" xr:uid="{00000000-0005-0000-0000-000056030000}"/>
    <cellStyle name="Standard 6 2 2 2 18 3 2" xfId="12808" xr:uid="{12D11CBF-C61C-4E8C-8757-8CC84E3FA741}"/>
    <cellStyle name="Standard 6 2 2 2 18 4" xfId="12805" xr:uid="{DA0C2D64-4884-4E9E-8AD2-2D0C699A0AD8}"/>
    <cellStyle name="Standard 6 2 2 2 19" xfId="848" xr:uid="{00000000-0005-0000-0000-000057030000}"/>
    <cellStyle name="Standard 6 2 2 2 19 2" xfId="849" xr:uid="{00000000-0005-0000-0000-000058030000}"/>
    <cellStyle name="Standard 6 2 2 2 19 2 2" xfId="850" xr:uid="{00000000-0005-0000-0000-000059030000}"/>
    <cellStyle name="Standard 6 2 2 2 19 2 2 2" xfId="12811" xr:uid="{A51E59DF-F118-4AB2-AF00-F2388686C9A8}"/>
    <cellStyle name="Standard 6 2 2 2 19 2 3" xfId="12810" xr:uid="{710CC2E8-6674-46A2-99EC-6430AC96DB7F}"/>
    <cellStyle name="Standard 6 2 2 2 19 3" xfId="851" xr:uid="{00000000-0005-0000-0000-00005A030000}"/>
    <cellStyle name="Standard 6 2 2 2 19 3 2" xfId="12812" xr:uid="{92A02361-F385-47DA-B832-5C96E4EC686F}"/>
    <cellStyle name="Standard 6 2 2 2 19 4" xfId="12809" xr:uid="{84B70EBD-DC24-478D-A877-2A170CEBF489}"/>
    <cellStyle name="Standard 6 2 2 2 2" xfId="852" xr:uid="{00000000-0005-0000-0000-00005B030000}"/>
    <cellStyle name="Standard 6 2 2 2 2 10" xfId="853" xr:uid="{00000000-0005-0000-0000-00005C030000}"/>
    <cellStyle name="Standard 6 2 2 2 2 10 2" xfId="854" xr:uid="{00000000-0005-0000-0000-00005D030000}"/>
    <cellStyle name="Standard 6 2 2 2 2 10 2 2" xfId="855" xr:uid="{00000000-0005-0000-0000-00005E030000}"/>
    <cellStyle name="Standard 6 2 2 2 2 10 2 2 2" xfId="12816" xr:uid="{CD3150E0-75D1-41CB-A2A6-0163F936F6EB}"/>
    <cellStyle name="Standard 6 2 2 2 2 10 2 3" xfId="12815" xr:uid="{B01DAB10-9BE6-4698-900D-CA1699D11EE0}"/>
    <cellStyle name="Standard 6 2 2 2 2 10 3" xfId="856" xr:uid="{00000000-0005-0000-0000-00005F030000}"/>
    <cellStyle name="Standard 6 2 2 2 2 10 3 2" xfId="12817" xr:uid="{649D2375-FA32-4F3C-9C09-14D4FE99DEA3}"/>
    <cellStyle name="Standard 6 2 2 2 2 10 4" xfId="12814" xr:uid="{BCBCB73C-4C81-42BF-8E4E-7CA338DFF7E9}"/>
    <cellStyle name="Standard 6 2 2 2 2 11" xfId="857" xr:uid="{00000000-0005-0000-0000-000060030000}"/>
    <cellStyle name="Standard 6 2 2 2 2 11 2" xfId="858" xr:uid="{00000000-0005-0000-0000-000061030000}"/>
    <cellStyle name="Standard 6 2 2 2 2 11 2 2" xfId="859" xr:uid="{00000000-0005-0000-0000-000062030000}"/>
    <cellStyle name="Standard 6 2 2 2 2 11 2 2 2" xfId="12820" xr:uid="{8CF65232-2962-4F5E-AD23-F4BDAC626F68}"/>
    <cellStyle name="Standard 6 2 2 2 2 11 2 3" xfId="12819" xr:uid="{2CF1646D-32A3-4E5F-8840-651BB792C68D}"/>
    <cellStyle name="Standard 6 2 2 2 2 11 3" xfId="860" xr:uid="{00000000-0005-0000-0000-000063030000}"/>
    <cellStyle name="Standard 6 2 2 2 2 11 3 2" xfId="12821" xr:uid="{E90023D8-58B3-43EA-AF43-01DAD1978B8F}"/>
    <cellStyle name="Standard 6 2 2 2 2 11 4" xfId="12818" xr:uid="{7C418FED-8C29-4302-B126-238A7E8FEA77}"/>
    <cellStyle name="Standard 6 2 2 2 2 12" xfId="861" xr:uid="{00000000-0005-0000-0000-000064030000}"/>
    <cellStyle name="Standard 6 2 2 2 2 12 2" xfId="862" xr:uid="{00000000-0005-0000-0000-000065030000}"/>
    <cellStyle name="Standard 6 2 2 2 2 12 2 2" xfId="863" xr:uid="{00000000-0005-0000-0000-000066030000}"/>
    <cellStyle name="Standard 6 2 2 2 2 12 2 2 2" xfId="12824" xr:uid="{9FDA9D20-CC1A-4022-A23B-AF52F83D0468}"/>
    <cellStyle name="Standard 6 2 2 2 2 12 2 3" xfId="12823" xr:uid="{8EAC0E95-1DD5-443B-8459-75E0686ADBA2}"/>
    <cellStyle name="Standard 6 2 2 2 2 12 3" xfId="864" xr:uid="{00000000-0005-0000-0000-000067030000}"/>
    <cellStyle name="Standard 6 2 2 2 2 12 3 2" xfId="12825" xr:uid="{A782519D-DE05-4718-8477-546322665291}"/>
    <cellStyle name="Standard 6 2 2 2 2 12 4" xfId="12822" xr:uid="{FF42E86C-B5E7-4B28-B2BD-3715F48C70C5}"/>
    <cellStyle name="Standard 6 2 2 2 2 13" xfId="865" xr:uid="{00000000-0005-0000-0000-000068030000}"/>
    <cellStyle name="Standard 6 2 2 2 2 13 2" xfId="866" xr:uid="{00000000-0005-0000-0000-000069030000}"/>
    <cellStyle name="Standard 6 2 2 2 2 13 2 2" xfId="867" xr:uid="{00000000-0005-0000-0000-00006A030000}"/>
    <cellStyle name="Standard 6 2 2 2 2 13 2 2 2" xfId="12828" xr:uid="{4C4A583C-007A-40C1-A2C2-E2FAA3012B76}"/>
    <cellStyle name="Standard 6 2 2 2 2 13 2 3" xfId="12827" xr:uid="{82445290-C5A5-4F87-AA35-B26B2966F2F0}"/>
    <cellStyle name="Standard 6 2 2 2 2 13 3" xfId="868" xr:uid="{00000000-0005-0000-0000-00006B030000}"/>
    <cellStyle name="Standard 6 2 2 2 2 13 3 2" xfId="12829" xr:uid="{61B4FE1B-DBBB-4918-87AF-2811D4B0BEDE}"/>
    <cellStyle name="Standard 6 2 2 2 2 13 4" xfId="12826" xr:uid="{79873681-DA55-428E-B485-A2D192C10660}"/>
    <cellStyle name="Standard 6 2 2 2 2 14" xfId="869" xr:uid="{00000000-0005-0000-0000-00006C030000}"/>
    <cellStyle name="Standard 6 2 2 2 2 14 2" xfId="870" xr:uid="{00000000-0005-0000-0000-00006D030000}"/>
    <cellStyle name="Standard 6 2 2 2 2 14 2 2" xfId="871" xr:uid="{00000000-0005-0000-0000-00006E030000}"/>
    <cellStyle name="Standard 6 2 2 2 2 14 2 2 2" xfId="12832" xr:uid="{ABEEE413-959F-4756-95F6-A86CEDDD4F4F}"/>
    <cellStyle name="Standard 6 2 2 2 2 14 2 3" xfId="12831" xr:uid="{74E64FF8-E8D2-4D48-B097-24D5AF52E8F6}"/>
    <cellStyle name="Standard 6 2 2 2 2 14 3" xfId="872" xr:uid="{00000000-0005-0000-0000-00006F030000}"/>
    <cellStyle name="Standard 6 2 2 2 2 14 3 2" xfId="12833" xr:uid="{680DC221-A234-4238-BE2F-0994761FDD77}"/>
    <cellStyle name="Standard 6 2 2 2 2 14 4" xfId="12830" xr:uid="{331F0177-3661-4FE2-90C9-AF18D9FC5ADB}"/>
    <cellStyle name="Standard 6 2 2 2 2 15" xfId="873" xr:uid="{00000000-0005-0000-0000-000070030000}"/>
    <cellStyle name="Standard 6 2 2 2 2 15 2" xfId="874" xr:uid="{00000000-0005-0000-0000-000071030000}"/>
    <cellStyle name="Standard 6 2 2 2 2 15 2 2" xfId="875" xr:uid="{00000000-0005-0000-0000-000072030000}"/>
    <cellStyle name="Standard 6 2 2 2 2 15 2 2 2" xfId="12836" xr:uid="{17E69C0C-2D09-4CE1-A237-07074790A78D}"/>
    <cellStyle name="Standard 6 2 2 2 2 15 2 3" xfId="12835" xr:uid="{059EE62E-595E-431A-B947-C898632EC4DC}"/>
    <cellStyle name="Standard 6 2 2 2 2 15 3" xfId="876" xr:uid="{00000000-0005-0000-0000-000073030000}"/>
    <cellStyle name="Standard 6 2 2 2 2 15 3 2" xfId="12837" xr:uid="{671EA567-9103-47EC-BE64-F91AEA6948B4}"/>
    <cellStyle name="Standard 6 2 2 2 2 15 4" xfId="12834" xr:uid="{B268B229-08CC-439E-B38B-C38BE3A26FFB}"/>
    <cellStyle name="Standard 6 2 2 2 2 16" xfId="877" xr:uid="{00000000-0005-0000-0000-000074030000}"/>
    <cellStyle name="Standard 6 2 2 2 2 16 2" xfId="878" xr:uid="{00000000-0005-0000-0000-000075030000}"/>
    <cellStyle name="Standard 6 2 2 2 2 16 2 2" xfId="879" xr:uid="{00000000-0005-0000-0000-000076030000}"/>
    <cellStyle name="Standard 6 2 2 2 2 16 2 2 2" xfId="12840" xr:uid="{C4A6E4DB-0BF6-4DB3-B591-EF11389F039A}"/>
    <cellStyle name="Standard 6 2 2 2 2 16 2 3" xfId="12839" xr:uid="{1315E49F-88F2-4BD5-8ADD-6E0C1C3883AA}"/>
    <cellStyle name="Standard 6 2 2 2 2 16 3" xfId="880" xr:uid="{00000000-0005-0000-0000-000077030000}"/>
    <cellStyle name="Standard 6 2 2 2 2 16 3 2" xfId="12841" xr:uid="{8481C85E-C038-4FBD-8F29-7CECFFCB24A9}"/>
    <cellStyle name="Standard 6 2 2 2 2 16 4" xfId="12838" xr:uid="{24483357-2CB6-487B-8F59-D57D1AA3EC40}"/>
    <cellStyle name="Standard 6 2 2 2 2 17" xfId="881" xr:uid="{00000000-0005-0000-0000-000078030000}"/>
    <cellStyle name="Standard 6 2 2 2 2 17 2" xfId="882" xr:uid="{00000000-0005-0000-0000-000079030000}"/>
    <cellStyle name="Standard 6 2 2 2 2 17 2 2" xfId="883" xr:uid="{00000000-0005-0000-0000-00007A030000}"/>
    <cellStyle name="Standard 6 2 2 2 2 17 2 2 2" xfId="12844" xr:uid="{3A5B036F-757C-458D-91E5-00FE59499026}"/>
    <cellStyle name="Standard 6 2 2 2 2 17 2 3" xfId="12843" xr:uid="{CCCEA900-7F70-48B9-A45B-570998C37BC7}"/>
    <cellStyle name="Standard 6 2 2 2 2 17 3" xfId="884" xr:uid="{00000000-0005-0000-0000-00007B030000}"/>
    <cellStyle name="Standard 6 2 2 2 2 17 3 2" xfId="12845" xr:uid="{428FC618-47F8-4913-91B8-59E1AFDD6515}"/>
    <cellStyle name="Standard 6 2 2 2 2 17 4" xfId="12842" xr:uid="{7F7D151C-8A47-4BC0-8CFB-CA096AEFFC55}"/>
    <cellStyle name="Standard 6 2 2 2 2 18" xfId="885" xr:uid="{00000000-0005-0000-0000-00007C030000}"/>
    <cellStyle name="Standard 6 2 2 2 2 18 2" xfId="886" xr:uid="{00000000-0005-0000-0000-00007D030000}"/>
    <cellStyle name="Standard 6 2 2 2 2 18 2 2" xfId="887" xr:uid="{00000000-0005-0000-0000-00007E030000}"/>
    <cellStyle name="Standard 6 2 2 2 2 18 2 2 2" xfId="12848" xr:uid="{B0C06D1A-1A91-4423-9E90-C299987DFD26}"/>
    <cellStyle name="Standard 6 2 2 2 2 18 2 3" xfId="12847" xr:uid="{69A069AE-D313-4A84-8532-ED510DA7BF06}"/>
    <cellStyle name="Standard 6 2 2 2 2 18 3" xfId="888" xr:uid="{00000000-0005-0000-0000-00007F030000}"/>
    <cellStyle name="Standard 6 2 2 2 2 18 3 2" xfId="12849" xr:uid="{00BCD253-D2BF-497F-9C67-A3A2025A1B86}"/>
    <cellStyle name="Standard 6 2 2 2 2 18 4" xfId="12846" xr:uid="{66D33635-9758-433E-BBD3-A38E8177F9A0}"/>
    <cellStyle name="Standard 6 2 2 2 2 19" xfId="889" xr:uid="{00000000-0005-0000-0000-000080030000}"/>
    <cellStyle name="Standard 6 2 2 2 2 19 2" xfId="890" xr:uid="{00000000-0005-0000-0000-000081030000}"/>
    <cellStyle name="Standard 6 2 2 2 2 19 2 2" xfId="891" xr:uid="{00000000-0005-0000-0000-000082030000}"/>
    <cellStyle name="Standard 6 2 2 2 2 19 2 2 2" xfId="12852" xr:uid="{C8FADE68-613F-402F-901E-347153966AC6}"/>
    <cellStyle name="Standard 6 2 2 2 2 19 2 3" xfId="12851" xr:uid="{66C544E9-7C67-40C7-BCE4-B7276D168CC4}"/>
    <cellStyle name="Standard 6 2 2 2 2 19 3" xfId="892" xr:uid="{00000000-0005-0000-0000-000083030000}"/>
    <cellStyle name="Standard 6 2 2 2 2 19 3 2" xfId="12853" xr:uid="{FBA79D5A-A6B1-4ED7-86DC-CF05FF29CC8D}"/>
    <cellStyle name="Standard 6 2 2 2 2 19 4" xfId="12850" xr:uid="{E97CC547-88CF-4388-B46C-E8D78D81E5FE}"/>
    <cellStyle name="Standard 6 2 2 2 2 2" xfId="893" xr:uid="{00000000-0005-0000-0000-000084030000}"/>
    <cellStyle name="Standard 6 2 2 2 2 2 10" xfId="894" xr:uid="{00000000-0005-0000-0000-000085030000}"/>
    <cellStyle name="Standard 6 2 2 2 2 2 10 2" xfId="895" xr:uid="{00000000-0005-0000-0000-000086030000}"/>
    <cellStyle name="Standard 6 2 2 2 2 2 10 2 2" xfId="12856" xr:uid="{241CDB45-C46D-4AED-873A-4521204E3216}"/>
    <cellStyle name="Standard 6 2 2 2 2 2 10 3" xfId="12855" xr:uid="{2EF177CA-6B75-42D7-8D08-1D9F74144037}"/>
    <cellStyle name="Standard 6 2 2 2 2 2 11" xfId="896" xr:uid="{00000000-0005-0000-0000-000087030000}"/>
    <cellStyle name="Standard 6 2 2 2 2 2 11 2" xfId="12857" xr:uid="{F059974F-B989-418B-8C3B-2FF5B325270F}"/>
    <cellStyle name="Standard 6 2 2 2 2 2 12" xfId="12854" xr:uid="{6C8F5E29-59BF-4A22-899C-6160C0917241}"/>
    <cellStyle name="Standard 6 2 2 2 2 2 2" xfId="897" xr:uid="{00000000-0005-0000-0000-000088030000}"/>
    <cellStyle name="Standard 6 2 2 2 2 2 2 10" xfId="898" xr:uid="{00000000-0005-0000-0000-000089030000}"/>
    <cellStyle name="Standard 6 2 2 2 2 2 2 10 2" xfId="12859" xr:uid="{84313D9A-D2D6-4FE3-AAF5-4C779072F84C}"/>
    <cellStyle name="Standard 6 2 2 2 2 2 2 11" xfId="12858" xr:uid="{B091AB07-3E58-4BF8-BFA2-385B04A293CA}"/>
    <cellStyle name="Standard 6 2 2 2 2 2 2 2" xfId="899" xr:uid="{00000000-0005-0000-0000-00008A030000}"/>
    <cellStyle name="Standard 6 2 2 2 2 2 2 2 10" xfId="12860" xr:uid="{532F2A51-5C22-45A6-99A7-8D9AFC645534}"/>
    <cellStyle name="Standard 6 2 2 2 2 2 2 2 2" xfId="900" xr:uid="{00000000-0005-0000-0000-00008B030000}"/>
    <cellStyle name="Standard 6 2 2 2 2 2 2 2 2 2" xfId="901" xr:uid="{00000000-0005-0000-0000-00008C030000}"/>
    <cellStyle name="Standard 6 2 2 2 2 2 2 2 2 2 2" xfId="902" xr:uid="{00000000-0005-0000-0000-00008D030000}"/>
    <cellStyle name="Standard 6 2 2 2 2 2 2 2 2 2 2 2" xfId="12863" xr:uid="{6C112F28-6836-4CD5-9F20-CD9FD0B41A23}"/>
    <cellStyle name="Standard 6 2 2 2 2 2 2 2 2 2 3" xfId="12862" xr:uid="{26E6FEDC-B636-4997-822C-4E5337318F69}"/>
    <cellStyle name="Standard 6 2 2 2 2 2 2 2 2 3" xfId="903" xr:uid="{00000000-0005-0000-0000-00008E030000}"/>
    <cellStyle name="Standard 6 2 2 2 2 2 2 2 2 3 2" xfId="12864" xr:uid="{61347210-2D25-46E6-BB16-09176FBA04FC}"/>
    <cellStyle name="Standard 6 2 2 2 2 2 2 2 2 4" xfId="12861" xr:uid="{1379B9C9-33BF-4957-9E7A-6B21CC27043E}"/>
    <cellStyle name="Standard 6 2 2 2 2 2 2 2 3" xfId="904" xr:uid="{00000000-0005-0000-0000-00008F030000}"/>
    <cellStyle name="Standard 6 2 2 2 2 2 2 2 3 2" xfId="905" xr:uid="{00000000-0005-0000-0000-000090030000}"/>
    <cellStyle name="Standard 6 2 2 2 2 2 2 2 3 2 2" xfId="906" xr:uid="{00000000-0005-0000-0000-000091030000}"/>
    <cellStyle name="Standard 6 2 2 2 2 2 2 2 3 2 2 2" xfId="12867" xr:uid="{843CAD19-F4AB-42B5-822A-D271F965FA7C}"/>
    <cellStyle name="Standard 6 2 2 2 2 2 2 2 3 2 3" xfId="12866" xr:uid="{ADA84C1B-63AC-463D-98BA-6D6120F48CFE}"/>
    <cellStyle name="Standard 6 2 2 2 2 2 2 2 3 3" xfId="907" xr:uid="{00000000-0005-0000-0000-000092030000}"/>
    <cellStyle name="Standard 6 2 2 2 2 2 2 2 3 3 2" xfId="12868" xr:uid="{4F35B815-DE7A-4D65-B731-E72CE59E377E}"/>
    <cellStyle name="Standard 6 2 2 2 2 2 2 2 3 4" xfId="12865" xr:uid="{4F03E072-DE54-48D1-A523-77C7AE8C3758}"/>
    <cellStyle name="Standard 6 2 2 2 2 2 2 2 4" xfId="908" xr:uid="{00000000-0005-0000-0000-000093030000}"/>
    <cellStyle name="Standard 6 2 2 2 2 2 2 2 4 2" xfId="909" xr:uid="{00000000-0005-0000-0000-000094030000}"/>
    <cellStyle name="Standard 6 2 2 2 2 2 2 2 4 2 2" xfId="910" xr:uid="{00000000-0005-0000-0000-000095030000}"/>
    <cellStyle name="Standard 6 2 2 2 2 2 2 2 4 2 2 2" xfId="12871" xr:uid="{BED42068-0436-4A8D-8447-F663FE4183BF}"/>
    <cellStyle name="Standard 6 2 2 2 2 2 2 2 4 2 3" xfId="12870" xr:uid="{4CE21985-F614-41D1-AEDE-0824585D91EE}"/>
    <cellStyle name="Standard 6 2 2 2 2 2 2 2 4 3" xfId="911" xr:uid="{00000000-0005-0000-0000-000096030000}"/>
    <cellStyle name="Standard 6 2 2 2 2 2 2 2 4 3 2" xfId="12872" xr:uid="{98D1CBC1-D25F-4887-A776-934CA5D270CC}"/>
    <cellStyle name="Standard 6 2 2 2 2 2 2 2 4 4" xfId="12869" xr:uid="{CC391D14-F5BC-4B51-A454-DF6F1BC61922}"/>
    <cellStyle name="Standard 6 2 2 2 2 2 2 2 5" xfId="912" xr:uid="{00000000-0005-0000-0000-000097030000}"/>
    <cellStyle name="Standard 6 2 2 2 2 2 2 2 5 2" xfId="913" xr:uid="{00000000-0005-0000-0000-000098030000}"/>
    <cellStyle name="Standard 6 2 2 2 2 2 2 2 5 2 2" xfId="914" xr:uid="{00000000-0005-0000-0000-000099030000}"/>
    <cellStyle name="Standard 6 2 2 2 2 2 2 2 5 2 2 2" xfId="12875" xr:uid="{6E9265EF-A098-4A22-8DC8-8C324B339037}"/>
    <cellStyle name="Standard 6 2 2 2 2 2 2 2 5 2 3" xfId="12874" xr:uid="{8EFB8154-F9E5-4811-85FC-DFB43B9DC5CE}"/>
    <cellStyle name="Standard 6 2 2 2 2 2 2 2 5 3" xfId="915" xr:uid="{00000000-0005-0000-0000-00009A030000}"/>
    <cellStyle name="Standard 6 2 2 2 2 2 2 2 5 3 2" xfId="12876" xr:uid="{A1D4F2F2-881E-49F6-A887-A9F82B6912BD}"/>
    <cellStyle name="Standard 6 2 2 2 2 2 2 2 5 4" xfId="12873" xr:uid="{2C012C28-D9C8-4564-82B8-149A4FF00D93}"/>
    <cellStyle name="Standard 6 2 2 2 2 2 2 2 6" xfId="916" xr:uid="{00000000-0005-0000-0000-00009B030000}"/>
    <cellStyle name="Standard 6 2 2 2 2 2 2 2 6 2" xfId="917" xr:uid="{00000000-0005-0000-0000-00009C030000}"/>
    <cellStyle name="Standard 6 2 2 2 2 2 2 2 6 2 2" xfId="918" xr:uid="{00000000-0005-0000-0000-00009D030000}"/>
    <cellStyle name="Standard 6 2 2 2 2 2 2 2 6 2 2 2" xfId="12879" xr:uid="{42EFEB4A-ADDA-4ABF-B7E5-6A4CA7E9A35F}"/>
    <cellStyle name="Standard 6 2 2 2 2 2 2 2 6 2 3" xfId="12878" xr:uid="{21ABCB8F-4CAF-4DD3-AB55-EE79CE044EBC}"/>
    <cellStyle name="Standard 6 2 2 2 2 2 2 2 6 3" xfId="919" xr:uid="{00000000-0005-0000-0000-00009E030000}"/>
    <cellStyle name="Standard 6 2 2 2 2 2 2 2 6 3 2" xfId="12880" xr:uid="{B78AEEA0-DC41-4DFB-9277-40F277616FF0}"/>
    <cellStyle name="Standard 6 2 2 2 2 2 2 2 6 4" xfId="12877" xr:uid="{E710466A-01DB-4BD8-8FC3-A792C621BB92}"/>
    <cellStyle name="Standard 6 2 2 2 2 2 2 2 7" xfId="920" xr:uid="{00000000-0005-0000-0000-00009F030000}"/>
    <cellStyle name="Standard 6 2 2 2 2 2 2 2 7 2" xfId="921" xr:uid="{00000000-0005-0000-0000-0000A0030000}"/>
    <cellStyle name="Standard 6 2 2 2 2 2 2 2 7 2 2" xfId="922" xr:uid="{00000000-0005-0000-0000-0000A1030000}"/>
    <cellStyle name="Standard 6 2 2 2 2 2 2 2 7 2 2 2" xfId="12883" xr:uid="{05CFAFB3-C54D-4CC4-B11B-3BBD72537C9A}"/>
    <cellStyle name="Standard 6 2 2 2 2 2 2 2 7 2 3" xfId="12882" xr:uid="{EE61ED4A-94C6-4D1E-B75F-B0D0A0B0E679}"/>
    <cellStyle name="Standard 6 2 2 2 2 2 2 2 7 3" xfId="923" xr:uid="{00000000-0005-0000-0000-0000A2030000}"/>
    <cellStyle name="Standard 6 2 2 2 2 2 2 2 7 3 2" xfId="12884" xr:uid="{8B1B7781-B190-4D64-A989-20CC8F000BB8}"/>
    <cellStyle name="Standard 6 2 2 2 2 2 2 2 7 4" xfId="12881" xr:uid="{884DA265-6F21-4AD3-9C5E-CA1AF8958FDC}"/>
    <cellStyle name="Standard 6 2 2 2 2 2 2 2 8" xfId="924" xr:uid="{00000000-0005-0000-0000-0000A3030000}"/>
    <cellStyle name="Standard 6 2 2 2 2 2 2 2 8 2" xfId="925" xr:uid="{00000000-0005-0000-0000-0000A4030000}"/>
    <cellStyle name="Standard 6 2 2 2 2 2 2 2 8 2 2" xfId="12886" xr:uid="{4152A38C-411E-4B4D-995A-25E19F48461D}"/>
    <cellStyle name="Standard 6 2 2 2 2 2 2 2 8 3" xfId="12885" xr:uid="{E97B52BA-875A-4855-B910-A80C29B07D5A}"/>
    <cellStyle name="Standard 6 2 2 2 2 2 2 2 9" xfId="926" xr:uid="{00000000-0005-0000-0000-0000A5030000}"/>
    <cellStyle name="Standard 6 2 2 2 2 2 2 2 9 2" xfId="12887" xr:uid="{A5CCBB52-589C-4AF2-BB14-25D5B7ACF04D}"/>
    <cellStyle name="Standard 6 2 2 2 2 2 2 3" xfId="927" xr:uid="{00000000-0005-0000-0000-0000A6030000}"/>
    <cellStyle name="Standard 6 2 2 2 2 2 2 3 2" xfId="928" xr:uid="{00000000-0005-0000-0000-0000A7030000}"/>
    <cellStyle name="Standard 6 2 2 2 2 2 2 3 2 2" xfId="929" xr:uid="{00000000-0005-0000-0000-0000A8030000}"/>
    <cellStyle name="Standard 6 2 2 2 2 2 2 3 2 2 2" xfId="12890" xr:uid="{623A7BA8-8990-4EF8-AC0E-3DEE7F17EEF4}"/>
    <cellStyle name="Standard 6 2 2 2 2 2 2 3 2 3" xfId="12889" xr:uid="{D7DB0724-0C1C-472D-8FF2-C02C076B651A}"/>
    <cellStyle name="Standard 6 2 2 2 2 2 2 3 3" xfId="930" xr:uid="{00000000-0005-0000-0000-0000A9030000}"/>
    <cellStyle name="Standard 6 2 2 2 2 2 2 3 3 2" xfId="12891" xr:uid="{A2AE950D-B54B-47AB-99C1-379A8FD0CA6B}"/>
    <cellStyle name="Standard 6 2 2 2 2 2 2 3 4" xfId="12888" xr:uid="{0A2BCA1B-2D9E-4801-A1C2-C59E9B44085B}"/>
    <cellStyle name="Standard 6 2 2 2 2 2 2 4" xfId="931" xr:uid="{00000000-0005-0000-0000-0000AA030000}"/>
    <cellStyle name="Standard 6 2 2 2 2 2 2 4 2" xfId="932" xr:uid="{00000000-0005-0000-0000-0000AB030000}"/>
    <cellStyle name="Standard 6 2 2 2 2 2 2 4 2 2" xfId="933" xr:uid="{00000000-0005-0000-0000-0000AC030000}"/>
    <cellStyle name="Standard 6 2 2 2 2 2 2 4 2 2 2" xfId="12894" xr:uid="{1FB79460-AF03-4116-BFD5-AFEEB70A4665}"/>
    <cellStyle name="Standard 6 2 2 2 2 2 2 4 2 3" xfId="12893" xr:uid="{C071BCE6-0C06-4597-8F27-9F3B8D249851}"/>
    <cellStyle name="Standard 6 2 2 2 2 2 2 4 3" xfId="934" xr:uid="{00000000-0005-0000-0000-0000AD030000}"/>
    <cellStyle name="Standard 6 2 2 2 2 2 2 4 3 2" xfId="12895" xr:uid="{DAAC715F-92DB-44D7-9173-19E8F9C13883}"/>
    <cellStyle name="Standard 6 2 2 2 2 2 2 4 4" xfId="12892" xr:uid="{A4A459A6-2CE5-4597-AAA3-1D6A5212C8FC}"/>
    <cellStyle name="Standard 6 2 2 2 2 2 2 5" xfId="935" xr:uid="{00000000-0005-0000-0000-0000AE030000}"/>
    <cellStyle name="Standard 6 2 2 2 2 2 2 5 2" xfId="936" xr:uid="{00000000-0005-0000-0000-0000AF030000}"/>
    <cellStyle name="Standard 6 2 2 2 2 2 2 5 2 2" xfId="937" xr:uid="{00000000-0005-0000-0000-0000B0030000}"/>
    <cellStyle name="Standard 6 2 2 2 2 2 2 5 2 2 2" xfId="12898" xr:uid="{107CDA74-8363-4047-83A8-B8CD0E4E8857}"/>
    <cellStyle name="Standard 6 2 2 2 2 2 2 5 2 3" xfId="12897" xr:uid="{042A0986-C8D7-413E-A6BA-DECBAB0BD93F}"/>
    <cellStyle name="Standard 6 2 2 2 2 2 2 5 3" xfId="938" xr:uid="{00000000-0005-0000-0000-0000B1030000}"/>
    <cellStyle name="Standard 6 2 2 2 2 2 2 5 3 2" xfId="12899" xr:uid="{93B76D7F-158C-4CED-9B69-1DA01CAFD249}"/>
    <cellStyle name="Standard 6 2 2 2 2 2 2 5 4" xfId="12896" xr:uid="{A8E1E0F2-04FD-4A4A-B084-926474FB9AFE}"/>
    <cellStyle name="Standard 6 2 2 2 2 2 2 6" xfId="939" xr:uid="{00000000-0005-0000-0000-0000B2030000}"/>
    <cellStyle name="Standard 6 2 2 2 2 2 2 6 2" xfId="940" xr:uid="{00000000-0005-0000-0000-0000B3030000}"/>
    <cellStyle name="Standard 6 2 2 2 2 2 2 6 2 2" xfId="941" xr:uid="{00000000-0005-0000-0000-0000B4030000}"/>
    <cellStyle name="Standard 6 2 2 2 2 2 2 6 2 2 2" xfId="12902" xr:uid="{43E4859A-479E-47DF-AF62-40E99C0F224B}"/>
    <cellStyle name="Standard 6 2 2 2 2 2 2 6 2 3" xfId="12901" xr:uid="{24987E23-2AEB-4240-8818-8C46C70742E5}"/>
    <cellStyle name="Standard 6 2 2 2 2 2 2 6 3" xfId="942" xr:uid="{00000000-0005-0000-0000-0000B5030000}"/>
    <cellStyle name="Standard 6 2 2 2 2 2 2 6 3 2" xfId="12903" xr:uid="{4BD01C24-67F0-4284-86AE-2CF4EDD1AC3C}"/>
    <cellStyle name="Standard 6 2 2 2 2 2 2 6 4" xfId="12900" xr:uid="{043BDA9F-76F0-48A5-B107-3B17F5F56DF3}"/>
    <cellStyle name="Standard 6 2 2 2 2 2 2 7" xfId="943" xr:uid="{00000000-0005-0000-0000-0000B6030000}"/>
    <cellStyle name="Standard 6 2 2 2 2 2 2 7 2" xfId="944" xr:uid="{00000000-0005-0000-0000-0000B7030000}"/>
    <cellStyle name="Standard 6 2 2 2 2 2 2 7 2 2" xfId="945" xr:uid="{00000000-0005-0000-0000-0000B8030000}"/>
    <cellStyle name="Standard 6 2 2 2 2 2 2 7 2 2 2" xfId="12906" xr:uid="{1433A1B0-4E84-4AD6-BACC-A8DF5EA34D0A}"/>
    <cellStyle name="Standard 6 2 2 2 2 2 2 7 2 3" xfId="12905" xr:uid="{B9DD375F-33DB-4469-B381-523C0A1F3DE4}"/>
    <cellStyle name="Standard 6 2 2 2 2 2 2 7 3" xfId="946" xr:uid="{00000000-0005-0000-0000-0000B9030000}"/>
    <cellStyle name="Standard 6 2 2 2 2 2 2 7 3 2" xfId="12907" xr:uid="{54A91F1D-B625-4A38-9A8B-C6454D3F372A}"/>
    <cellStyle name="Standard 6 2 2 2 2 2 2 7 4" xfId="12904" xr:uid="{9BA18F6E-1F2E-40D8-9974-35D43969174A}"/>
    <cellStyle name="Standard 6 2 2 2 2 2 2 8" xfId="947" xr:uid="{00000000-0005-0000-0000-0000BA030000}"/>
    <cellStyle name="Standard 6 2 2 2 2 2 2 8 2" xfId="948" xr:uid="{00000000-0005-0000-0000-0000BB030000}"/>
    <cellStyle name="Standard 6 2 2 2 2 2 2 8 2 2" xfId="949" xr:uid="{00000000-0005-0000-0000-0000BC030000}"/>
    <cellStyle name="Standard 6 2 2 2 2 2 2 8 2 2 2" xfId="12910" xr:uid="{855ACC0A-2535-4020-81D9-DB35D6134275}"/>
    <cellStyle name="Standard 6 2 2 2 2 2 2 8 2 3" xfId="12909" xr:uid="{ECCCAF87-FDC8-4160-823F-0BBFBE626688}"/>
    <cellStyle name="Standard 6 2 2 2 2 2 2 8 3" xfId="950" xr:uid="{00000000-0005-0000-0000-0000BD030000}"/>
    <cellStyle name="Standard 6 2 2 2 2 2 2 8 3 2" xfId="12911" xr:uid="{3C183297-CDF2-4AD5-8703-779A68FE24DA}"/>
    <cellStyle name="Standard 6 2 2 2 2 2 2 8 4" xfId="12908" xr:uid="{EC68C239-EACB-487B-9311-4BC155DF9285}"/>
    <cellStyle name="Standard 6 2 2 2 2 2 2 9" xfId="951" xr:uid="{00000000-0005-0000-0000-0000BE030000}"/>
    <cellStyle name="Standard 6 2 2 2 2 2 2 9 2" xfId="952" xr:uid="{00000000-0005-0000-0000-0000BF030000}"/>
    <cellStyle name="Standard 6 2 2 2 2 2 2 9 2 2" xfId="12913" xr:uid="{DD28B58C-A21C-411E-9906-EEC64D953DD2}"/>
    <cellStyle name="Standard 6 2 2 2 2 2 2 9 3" xfId="12912" xr:uid="{4C2B76B1-D5F9-4E57-AE39-354F0F0F516D}"/>
    <cellStyle name="Standard 6 2 2 2 2 2 3" xfId="953" xr:uid="{00000000-0005-0000-0000-0000C0030000}"/>
    <cellStyle name="Standard 6 2 2 2 2 2 3 10" xfId="12914" xr:uid="{277D7783-BA79-4546-9D60-4874FEB23E72}"/>
    <cellStyle name="Standard 6 2 2 2 2 2 3 2" xfId="954" xr:uid="{00000000-0005-0000-0000-0000C1030000}"/>
    <cellStyle name="Standard 6 2 2 2 2 2 3 2 2" xfId="955" xr:uid="{00000000-0005-0000-0000-0000C2030000}"/>
    <cellStyle name="Standard 6 2 2 2 2 2 3 2 2 2" xfId="956" xr:uid="{00000000-0005-0000-0000-0000C3030000}"/>
    <cellStyle name="Standard 6 2 2 2 2 2 3 2 2 2 2" xfId="12917" xr:uid="{B68B585C-DC22-4F2E-8AC2-6EEB8D5AA3C8}"/>
    <cellStyle name="Standard 6 2 2 2 2 2 3 2 2 3" xfId="12916" xr:uid="{0010C9A8-746A-4A80-8661-ADF4689AEC18}"/>
    <cellStyle name="Standard 6 2 2 2 2 2 3 2 3" xfId="957" xr:uid="{00000000-0005-0000-0000-0000C4030000}"/>
    <cellStyle name="Standard 6 2 2 2 2 2 3 2 3 2" xfId="12918" xr:uid="{5A3F5EE8-0D11-4B36-9C81-DD37E38282B6}"/>
    <cellStyle name="Standard 6 2 2 2 2 2 3 2 4" xfId="12915" xr:uid="{2682A244-3213-4362-9F40-882E51E91DDA}"/>
    <cellStyle name="Standard 6 2 2 2 2 2 3 3" xfId="958" xr:uid="{00000000-0005-0000-0000-0000C5030000}"/>
    <cellStyle name="Standard 6 2 2 2 2 2 3 3 2" xfId="959" xr:uid="{00000000-0005-0000-0000-0000C6030000}"/>
    <cellStyle name="Standard 6 2 2 2 2 2 3 3 2 2" xfId="960" xr:uid="{00000000-0005-0000-0000-0000C7030000}"/>
    <cellStyle name="Standard 6 2 2 2 2 2 3 3 2 2 2" xfId="12921" xr:uid="{F0F83964-B95E-4CB6-BD86-A3367A3D269E}"/>
    <cellStyle name="Standard 6 2 2 2 2 2 3 3 2 3" xfId="12920" xr:uid="{1856FD19-B909-45F5-9DE0-EBA5B929F034}"/>
    <cellStyle name="Standard 6 2 2 2 2 2 3 3 3" xfId="961" xr:uid="{00000000-0005-0000-0000-0000C8030000}"/>
    <cellStyle name="Standard 6 2 2 2 2 2 3 3 3 2" xfId="12922" xr:uid="{4B4A5A63-CE20-4184-8645-AF3FB2EADD55}"/>
    <cellStyle name="Standard 6 2 2 2 2 2 3 3 4" xfId="12919" xr:uid="{FDA0F0B4-362B-4BC5-9EDC-3FE5E141796F}"/>
    <cellStyle name="Standard 6 2 2 2 2 2 3 4" xfId="962" xr:uid="{00000000-0005-0000-0000-0000C9030000}"/>
    <cellStyle name="Standard 6 2 2 2 2 2 3 4 2" xfId="963" xr:uid="{00000000-0005-0000-0000-0000CA030000}"/>
    <cellStyle name="Standard 6 2 2 2 2 2 3 4 2 2" xfId="964" xr:uid="{00000000-0005-0000-0000-0000CB030000}"/>
    <cellStyle name="Standard 6 2 2 2 2 2 3 4 2 2 2" xfId="12925" xr:uid="{71C92B52-F850-44E9-965C-22313FA90010}"/>
    <cellStyle name="Standard 6 2 2 2 2 2 3 4 2 3" xfId="12924" xr:uid="{3E204F7B-BE1E-4DC0-8A57-DC64F1A271EE}"/>
    <cellStyle name="Standard 6 2 2 2 2 2 3 4 3" xfId="965" xr:uid="{00000000-0005-0000-0000-0000CC030000}"/>
    <cellStyle name="Standard 6 2 2 2 2 2 3 4 3 2" xfId="12926" xr:uid="{86BB25F7-330C-4A24-A314-8528D6E0AA76}"/>
    <cellStyle name="Standard 6 2 2 2 2 2 3 4 4" xfId="12923" xr:uid="{63932389-7F0A-4C69-9C41-A811343AA951}"/>
    <cellStyle name="Standard 6 2 2 2 2 2 3 5" xfId="966" xr:uid="{00000000-0005-0000-0000-0000CD030000}"/>
    <cellStyle name="Standard 6 2 2 2 2 2 3 5 2" xfId="967" xr:uid="{00000000-0005-0000-0000-0000CE030000}"/>
    <cellStyle name="Standard 6 2 2 2 2 2 3 5 2 2" xfId="968" xr:uid="{00000000-0005-0000-0000-0000CF030000}"/>
    <cellStyle name="Standard 6 2 2 2 2 2 3 5 2 2 2" xfId="12929" xr:uid="{01467755-7BBD-4B86-AEF1-9AB93DFEE31D}"/>
    <cellStyle name="Standard 6 2 2 2 2 2 3 5 2 3" xfId="12928" xr:uid="{7037C4E3-0C15-4C94-92BB-5FD6E44F4405}"/>
    <cellStyle name="Standard 6 2 2 2 2 2 3 5 3" xfId="969" xr:uid="{00000000-0005-0000-0000-0000D0030000}"/>
    <cellStyle name="Standard 6 2 2 2 2 2 3 5 3 2" xfId="12930" xr:uid="{001E196D-0691-4F38-9BCA-335A23577BF2}"/>
    <cellStyle name="Standard 6 2 2 2 2 2 3 5 4" xfId="12927" xr:uid="{82FDD5B7-A138-4276-8575-876367E3E409}"/>
    <cellStyle name="Standard 6 2 2 2 2 2 3 6" xfId="970" xr:uid="{00000000-0005-0000-0000-0000D1030000}"/>
    <cellStyle name="Standard 6 2 2 2 2 2 3 6 2" xfId="971" xr:uid="{00000000-0005-0000-0000-0000D2030000}"/>
    <cellStyle name="Standard 6 2 2 2 2 2 3 6 2 2" xfId="972" xr:uid="{00000000-0005-0000-0000-0000D3030000}"/>
    <cellStyle name="Standard 6 2 2 2 2 2 3 6 2 2 2" xfId="12933" xr:uid="{0158D02D-7F17-445D-B7E4-479E0EB92D88}"/>
    <cellStyle name="Standard 6 2 2 2 2 2 3 6 2 3" xfId="12932" xr:uid="{A5055026-0456-49C5-ADBA-07C340004F1D}"/>
    <cellStyle name="Standard 6 2 2 2 2 2 3 6 3" xfId="973" xr:uid="{00000000-0005-0000-0000-0000D4030000}"/>
    <cellStyle name="Standard 6 2 2 2 2 2 3 6 3 2" xfId="12934" xr:uid="{D857993F-1E53-48DC-A60E-C4BBF4DBBB46}"/>
    <cellStyle name="Standard 6 2 2 2 2 2 3 6 4" xfId="12931" xr:uid="{22377320-2599-41DB-96D0-2BE2185F647E}"/>
    <cellStyle name="Standard 6 2 2 2 2 2 3 7" xfId="974" xr:uid="{00000000-0005-0000-0000-0000D5030000}"/>
    <cellStyle name="Standard 6 2 2 2 2 2 3 7 2" xfId="975" xr:uid="{00000000-0005-0000-0000-0000D6030000}"/>
    <cellStyle name="Standard 6 2 2 2 2 2 3 7 2 2" xfId="976" xr:uid="{00000000-0005-0000-0000-0000D7030000}"/>
    <cellStyle name="Standard 6 2 2 2 2 2 3 7 2 2 2" xfId="12937" xr:uid="{A5EDB21F-25B5-405D-A742-FA197348F5BF}"/>
    <cellStyle name="Standard 6 2 2 2 2 2 3 7 2 3" xfId="12936" xr:uid="{3F44C4DC-6188-40AD-99D2-C1C37AA28E1D}"/>
    <cellStyle name="Standard 6 2 2 2 2 2 3 7 3" xfId="977" xr:uid="{00000000-0005-0000-0000-0000D8030000}"/>
    <cellStyle name="Standard 6 2 2 2 2 2 3 7 3 2" xfId="12938" xr:uid="{7966D010-1101-4B79-B9B2-D3DD25E1285D}"/>
    <cellStyle name="Standard 6 2 2 2 2 2 3 7 4" xfId="12935" xr:uid="{CD4CCF16-19B3-44A7-B6F0-E139288CE83F}"/>
    <cellStyle name="Standard 6 2 2 2 2 2 3 8" xfId="978" xr:uid="{00000000-0005-0000-0000-0000D9030000}"/>
    <cellStyle name="Standard 6 2 2 2 2 2 3 8 2" xfId="979" xr:uid="{00000000-0005-0000-0000-0000DA030000}"/>
    <cellStyle name="Standard 6 2 2 2 2 2 3 8 2 2" xfId="12940" xr:uid="{70230A11-7DCA-4574-9B56-1FE6628F6FB0}"/>
    <cellStyle name="Standard 6 2 2 2 2 2 3 8 3" xfId="12939" xr:uid="{99B303AD-208B-40FF-A3F5-EC9A3C3F883D}"/>
    <cellStyle name="Standard 6 2 2 2 2 2 3 9" xfId="980" xr:uid="{00000000-0005-0000-0000-0000DB030000}"/>
    <cellStyle name="Standard 6 2 2 2 2 2 3 9 2" xfId="12941" xr:uid="{B40AAB8E-8EAE-4151-98B1-DDD8C9E916D3}"/>
    <cellStyle name="Standard 6 2 2 2 2 2 4" xfId="981" xr:uid="{00000000-0005-0000-0000-0000DC030000}"/>
    <cellStyle name="Standard 6 2 2 2 2 2 4 2" xfId="982" xr:uid="{00000000-0005-0000-0000-0000DD030000}"/>
    <cellStyle name="Standard 6 2 2 2 2 2 4 2 2" xfId="983" xr:uid="{00000000-0005-0000-0000-0000DE030000}"/>
    <cellStyle name="Standard 6 2 2 2 2 2 4 2 2 2" xfId="12944" xr:uid="{FADA6CF0-5A0E-497E-913A-A01FD3AA0793}"/>
    <cellStyle name="Standard 6 2 2 2 2 2 4 2 3" xfId="12943" xr:uid="{151BFD05-3782-463B-8D09-DCE3871315CC}"/>
    <cellStyle name="Standard 6 2 2 2 2 2 4 3" xfId="984" xr:uid="{00000000-0005-0000-0000-0000DF030000}"/>
    <cellStyle name="Standard 6 2 2 2 2 2 4 3 2" xfId="12945" xr:uid="{EC2D6E22-AD70-4A29-9854-3BDB5662B047}"/>
    <cellStyle name="Standard 6 2 2 2 2 2 4 4" xfId="12942" xr:uid="{0C84BDEB-1D04-433B-95FF-08D6874C373B}"/>
    <cellStyle name="Standard 6 2 2 2 2 2 5" xfId="985" xr:uid="{00000000-0005-0000-0000-0000E0030000}"/>
    <cellStyle name="Standard 6 2 2 2 2 2 5 2" xfId="986" xr:uid="{00000000-0005-0000-0000-0000E1030000}"/>
    <cellStyle name="Standard 6 2 2 2 2 2 5 2 2" xfId="987" xr:uid="{00000000-0005-0000-0000-0000E2030000}"/>
    <cellStyle name="Standard 6 2 2 2 2 2 5 2 2 2" xfId="12948" xr:uid="{61C2C402-69A0-46F8-B74F-2FCD2A9F4998}"/>
    <cellStyle name="Standard 6 2 2 2 2 2 5 2 3" xfId="12947" xr:uid="{DB5856F9-303D-4A9D-910D-35B1BB9C59F2}"/>
    <cellStyle name="Standard 6 2 2 2 2 2 5 3" xfId="988" xr:uid="{00000000-0005-0000-0000-0000E3030000}"/>
    <cellStyle name="Standard 6 2 2 2 2 2 5 3 2" xfId="12949" xr:uid="{C30D5C84-6E93-4458-AA26-9650CBD90244}"/>
    <cellStyle name="Standard 6 2 2 2 2 2 5 4" xfId="12946" xr:uid="{A07CDE7D-5C05-40BA-8CC2-885B9CE53DDA}"/>
    <cellStyle name="Standard 6 2 2 2 2 2 6" xfId="989" xr:uid="{00000000-0005-0000-0000-0000E4030000}"/>
    <cellStyle name="Standard 6 2 2 2 2 2 6 2" xfId="990" xr:uid="{00000000-0005-0000-0000-0000E5030000}"/>
    <cellStyle name="Standard 6 2 2 2 2 2 6 2 2" xfId="991" xr:uid="{00000000-0005-0000-0000-0000E6030000}"/>
    <cellStyle name="Standard 6 2 2 2 2 2 6 2 2 2" xfId="12952" xr:uid="{BBDB8B91-E574-4756-B3E1-BB546B342A66}"/>
    <cellStyle name="Standard 6 2 2 2 2 2 6 2 3" xfId="12951" xr:uid="{93B3DD62-52A0-4581-95AB-2D1D330D173A}"/>
    <cellStyle name="Standard 6 2 2 2 2 2 6 3" xfId="992" xr:uid="{00000000-0005-0000-0000-0000E7030000}"/>
    <cellStyle name="Standard 6 2 2 2 2 2 6 3 2" xfId="12953" xr:uid="{98F4D78F-ABE5-41CE-8D09-50E9C1AB7AF1}"/>
    <cellStyle name="Standard 6 2 2 2 2 2 6 4" xfId="12950" xr:uid="{3C16E38A-13E5-42D3-ADD9-8CD8E86ABA13}"/>
    <cellStyle name="Standard 6 2 2 2 2 2 7" xfId="993" xr:uid="{00000000-0005-0000-0000-0000E8030000}"/>
    <cellStyle name="Standard 6 2 2 2 2 2 7 2" xfId="994" xr:uid="{00000000-0005-0000-0000-0000E9030000}"/>
    <cellStyle name="Standard 6 2 2 2 2 2 7 2 2" xfId="995" xr:uid="{00000000-0005-0000-0000-0000EA030000}"/>
    <cellStyle name="Standard 6 2 2 2 2 2 7 2 2 2" xfId="12956" xr:uid="{3CD33CBB-DD38-4D58-9328-9AAF2B90E13C}"/>
    <cellStyle name="Standard 6 2 2 2 2 2 7 2 3" xfId="12955" xr:uid="{4B0134AA-A537-4FC8-8552-3A2D90825573}"/>
    <cellStyle name="Standard 6 2 2 2 2 2 7 3" xfId="996" xr:uid="{00000000-0005-0000-0000-0000EB030000}"/>
    <cellStyle name="Standard 6 2 2 2 2 2 7 3 2" xfId="12957" xr:uid="{02D442AD-DA00-4963-BDD1-83504B29B0F8}"/>
    <cellStyle name="Standard 6 2 2 2 2 2 7 4" xfId="12954" xr:uid="{CC2124AF-2610-4492-8BDA-366417C8A35F}"/>
    <cellStyle name="Standard 6 2 2 2 2 2 8" xfId="997" xr:uid="{00000000-0005-0000-0000-0000EC030000}"/>
    <cellStyle name="Standard 6 2 2 2 2 2 8 2" xfId="998" xr:uid="{00000000-0005-0000-0000-0000ED030000}"/>
    <cellStyle name="Standard 6 2 2 2 2 2 8 2 2" xfId="999" xr:uid="{00000000-0005-0000-0000-0000EE030000}"/>
    <cellStyle name="Standard 6 2 2 2 2 2 8 2 2 2" xfId="12960" xr:uid="{DEDD2EA1-EC28-4BE9-8E90-7C838710F21A}"/>
    <cellStyle name="Standard 6 2 2 2 2 2 8 2 3" xfId="12959" xr:uid="{4C5CE496-645C-47E7-AB3F-E2619D4B1211}"/>
    <cellStyle name="Standard 6 2 2 2 2 2 8 3" xfId="1000" xr:uid="{00000000-0005-0000-0000-0000EF030000}"/>
    <cellStyle name="Standard 6 2 2 2 2 2 8 3 2" xfId="12961" xr:uid="{A561E21A-18BA-4045-B9BE-6EF172E24C5C}"/>
    <cellStyle name="Standard 6 2 2 2 2 2 8 4" xfId="12958" xr:uid="{4FF0F0BE-2DDF-47E5-93AF-2209DFF74B10}"/>
    <cellStyle name="Standard 6 2 2 2 2 2 9" xfId="1001" xr:uid="{00000000-0005-0000-0000-0000F0030000}"/>
    <cellStyle name="Standard 6 2 2 2 2 2 9 2" xfId="1002" xr:uid="{00000000-0005-0000-0000-0000F1030000}"/>
    <cellStyle name="Standard 6 2 2 2 2 2 9 2 2" xfId="1003" xr:uid="{00000000-0005-0000-0000-0000F2030000}"/>
    <cellStyle name="Standard 6 2 2 2 2 2 9 2 2 2" xfId="12964" xr:uid="{0C257B9D-27C7-4FBF-82F9-0EBF1C7D1A67}"/>
    <cellStyle name="Standard 6 2 2 2 2 2 9 2 3" xfId="12963" xr:uid="{E5637C4B-66D7-422A-AD4C-9E03AEC80B40}"/>
    <cellStyle name="Standard 6 2 2 2 2 2 9 3" xfId="1004" xr:uid="{00000000-0005-0000-0000-0000F3030000}"/>
    <cellStyle name="Standard 6 2 2 2 2 2 9 3 2" xfId="12965" xr:uid="{9B9430FC-F4C4-4487-BFF2-B017E22A30B8}"/>
    <cellStyle name="Standard 6 2 2 2 2 2 9 4" xfId="12962" xr:uid="{D3D9984C-13C3-4EA3-A11D-F4CE6770518C}"/>
    <cellStyle name="Standard 6 2 2 2 2 20" xfId="1005" xr:uid="{00000000-0005-0000-0000-0000F4030000}"/>
    <cellStyle name="Standard 6 2 2 2 2 20 2" xfId="1006" xr:uid="{00000000-0005-0000-0000-0000F5030000}"/>
    <cellStyle name="Standard 6 2 2 2 2 20 2 2" xfId="12967" xr:uid="{A64A4E30-B6A9-4854-B89E-DD31CDE74424}"/>
    <cellStyle name="Standard 6 2 2 2 2 20 3" xfId="12966" xr:uid="{68A3B1DD-0359-47F2-B681-3BD8911576B7}"/>
    <cellStyle name="Standard 6 2 2 2 2 21" xfId="1007" xr:uid="{00000000-0005-0000-0000-0000F6030000}"/>
    <cellStyle name="Standard 6 2 2 2 2 21 2" xfId="12968" xr:uid="{2B788067-C626-4D60-9E57-C4B784084D08}"/>
    <cellStyle name="Standard 6 2 2 2 2 22" xfId="1008" xr:uid="{00000000-0005-0000-0000-0000F7030000}"/>
    <cellStyle name="Standard 6 2 2 2 2 22 2" xfId="12969" xr:uid="{0A399C6A-FD00-4940-85B7-195E15470D55}"/>
    <cellStyle name="Standard 6 2 2 2 2 23" xfId="12813" xr:uid="{B16843B3-E817-4F46-AF7E-17A865C551CF}"/>
    <cellStyle name="Standard 6 2 2 2 2 3" xfId="1009" xr:uid="{00000000-0005-0000-0000-0000F8030000}"/>
    <cellStyle name="Standard 6 2 2 2 2 3 10" xfId="1010" xr:uid="{00000000-0005-0000-0000-0000F9030000}"/>
    <cellStyle name="Standard 6 2 2 2 2 3 10 2" xfId="12971" xr:uid="{76E6034D-4843-4595-BB09-1A9A129F831B}"/>
    <cellStyle name="Standard 6 2 2 2 2 3 11" xfId="12970" xr:uid="{9F4F02D5-F7EF-4743-A18C-C47824CA053C}"/>
    <cellStyle name="Standard 6 2 2 2 2 3 2" xfId="1011" xr:uid="{00000000-0005-0000-0000-0000FA030000}"/>
    <cellStyle name="Standard 6 2 2 2 2 3 2 10" xfId="12972" xr:uid="{264772F9-91C7-43B0-9D10-44202B180433}"/>
    <cellStyle name="Standard 6 2 2 2 2 3 2 2" xfId="1012" xr:uid="{00000000-0005-0000-0000-0000FB030000}"/>
    <cellStyle name="Standard 6 2 2 2 2 3 2 2 2" xfId="1013" xr:uid="{00000000-0005-0000-0000-0000FC030000}"/>
    <cellStyle name="Standard 6 2 2 2 2 3 2 2 2 2" xfId="1014" xr:uid="{00000000-0005-0000-0000-0000FD030000}"/>
    <cellStyle name="Standard 6 2 2 2 2 3 2 2 2 2 2" xfId="12975" xr:uid="{A282450A-D5A6-4DC7-B7E8-6A8F9505B640}"/>
    <cellStyle name="Standard 6 2 2 2 2 3 2 2 2 3" xfId="12974" xr:uid="{8B0AD3A0-56F9-4C88-8100-0EB0832FC33C}"/>
    <cellStyle name="Standard 6 2 2 2 2 3 2 2 3" xfId="1015" xr:uid="{00000000-0005-0000-0000-0000FE030000}"/>
    <cellStyle name="Standard 6 2 2 2 2 3 2 2 3 2" xfId="12976" xr:uid="{EFF7DB4C-B1EF-41CC-A49B-A80729E09459}"/>
    <cellStyle name="Standard 6 2 2 2 2 3 2 2 4" xfId="12973" xr:uid="{A4264966-714E-49DD-B6F8-CF7641263227}"/>
    <cellStyle name="Standard 6 2 2 2 2 3 2 3" xfId="1016" xr:uid="{00000000-0005-0000-0000-0000FF030000}"/>
    <cellStyle name="Standard 6 2 2 2 2 3 2 3 2" xfId="1017" xr:uid="{00000000-0005-0000-0000-000000040000}"/>
    <cellStyle name="Standard 6 2 2 2 2 3 2 3 2 2" xfId="1018" xr:uid="{00000000-0005-0000-0000-000001040000}"/>
    <cellStyle name="Standard 6 2 2 2 2 3 2 3 2 2 2" xfId="12979" xr:uid="{FDB4D6D9-C0D7-4C85-954E-6D52C8DC752B}"/>
    <cellStyle name="Standard 6 2 2 2 2 3 2 3 2 3" xfId="12978" xr:uid="{4BD08D3A-43A5-471B-B9C7-FD54A29BE561}"/>
    <cellStyle name="Standard 6 2 2 2 2 3 2 3 3" xfId="1019" xr:uid="{00000000-0005-0000-0000-000002040000}"/>
    <cellStyle name="Standard 6 2 2 2 2 3 2 3 3 2" xfId="12980" xr:uid="{A8A69CFF-0BDC-4CEC-878E-95524E4081C4}"/>
    <cellStyle name="Standard 6 2 2 2 2 3 2 3 4" xfId="12977" xr:uid="{A6D4F359-8A3F-4C98-B6BF-A8C41474AF64}"/>
    <cellStyle name="Standard 6 2 2 2 2 3 2 4" xfId="1020" xr:uid="{00000000-0005-0000-0000-000003040000}"/>
    <cellStyle name="Standard 6 2 2 2 2 3 2 4 2" xfId="1021" xr:uid="{00000000-0005-0000-0000-000004040000}"/>
    <cellStyle name="Standard 6 2 2 2 2 3 2 4 2 2" xfId="1022" xr:uid="{00000000-0005-0000-0000-000005040000}"/>
    <cellStyle name="Standard 6 2 2 2 2 3 2 4 2 2 2" xfId="12983" xr:uid="{484C5669-BC5F-499F-BDE3-F89C9D24A4F5}"/>
    <cellStyle name="Standard 6 2 2 2 2 3 2 4 2 3" xfId="12982" xr:uid="{4A7F8298-990C-4335-A45D-1084F5EEA893}"/>
    <cellStyle name="Standard 6 2 2 2 2 3 2 4 3" xfId="1023" xr:uid="{00000000-0005-0000-0000-000006040000}"/>
    <cellStyle name="Standard 6 2 2 2 2 3 2 4 3 2" xfId="12984" xr:uid="{490C9271-ABFC-4C0F-BAB3-8A59651A497F}"/>
    <cellStyle name="Standard 6 2 2 2 2 3 2 4 4" xfId="12981" xr:uid="{91F1FF18-A35B-4160-8B0C-B9A048F56897}"/>
    <cellStyle name="Standard 6 2 2 2 2 3 2 5" xfId="1024" xr:uid="{00000000-0005-0000-0000-000007040000}"/>
    <cellStyle name="Standard 6 2 2 2 2 3 2 5 2" xfId="1025" xr:uid="{00000000-0005-0000-0000-000008040000}"/>
    <cellStyle name="Standard 6 2 2 2 2 3 2 5 2 2" xfId="1026" xr:uid="{00000000-0005-0000-0000-000009040000}"/>
    <cellStyle name="Standard 6 2 2 2 2 3 2 5 2 2 2" xfId="12987" xr:uid="{4862C1DB-2E92-4C2D-BEA6-FEED676B7364}"/>
    <cellStyle name="Standard 6 2 2 2 2 3 2 5 2 3" xfId="12986" xr:uid="{FACBC910-A63C-4D26-89A7-82B3F283EB20}"/>
    <cellStyle name="Standard 6 2 2 2 2 3 2 5 3" xfId="1027" xr:uid="{00000000-0005-0000-0000-00000A040000}"/>
    <cellStyle name="Standard 6 2 2 2 2 3 2 5 3 2" xfId="12988" xr:uid="{39AE65E9-A51A-474B-A611-2035FCBBA3A1}"/>
    <cellStyle name="Standard 6 2 2 2 2 3 2 5 4" xfId="12985" xr:uid="{E9D8B390-89B8-47E0-A6F3-BF7C7566FA27}"/>
    <cellStyle name="Standard 6 2 2 2 2 3 2 6" xfId="1028" xr:uid="{00000000-0005-0000-0000-00000B040000}"/>
    <cellStyle name="Standard 6 2 2 2 2 3 2 6 2" xfId="1029" xr:uid="{00000000-0005-0000-0000-00000C040000}"/>
    <cellStyle name="Standard 6 2 2 2 2 3 2 6 2 2" xfId="1030" xr:uid="{00000000-0005-0000-0000-00000D040000}"/>
    <cellStyle name="Standard 6 2 2 2 2 3 2 6 2 2 2" xfId="12991" xr:uid="{C7BE34AE-B737-44C1-AF5D-B713D29277F8}"/>
    <cellStyle name="Standard 6 2 2 2 2 3 2 6 2 3" xfId="12990" xr:uid="{47F92D8D-EEB2-4B01-85DB-BFF844319771}"/>
    <cellStyle name="Standard 6 2 2 2 2 3 2 6 3" xfId="1031" xr:uid="{00000000-0005-0000-0000-00000E040000}"/>
    <cellStyle name="Standard 6 2 2 2 2 3 2 6 3 2" xfId="12992" xr:uid="{03E34AEC-5BF7-415F-9E55-BF5E6221F3F8}"/>
    <cellStyle name="Standard 6 2 2 2 2 3 2 6 4" xfId="12989" xr:uid="{8F2311FC-7442-4919-B300-FD425DD157FE}"/>
    <cellStyle name="Standard 6 2 2 2 2 3 2 7" xfId="1032" xr:uid="{00000000-0005-0000-0000-00000F040000}"/>
    <cellStyle name="Standard 6 2 2 2 2 3 2 7 2" xfId="1033" xr:uid="{00000000-0005-0000-0000-000010040000}"/>
    <cellStyle name="Standard 6 2 2 2 2 3 2 7 2 2" xfId="1034" xr:uid="{00000000-0005-0000-0000-000011040000}"/>
    <cellStyle name="Standard 6 2 2 2 2 3 2 7 2 2 2" xfId="12995" xr:uid="{2F468E06-45C0-48CF-A3FB-B98C91949B56}"/>
    <cellStyle name="Standard 6 2 2 2 2 3 2 7 2 3" xfId="12994" xr:uid="{45AE1C0D-DE02-4018-9E46-F3508A23E69D}"/>
    <cellStyle name="Standard 6 2 2 2 2 3 2 7 3" xfId="1035" xr:uid="{00000000-0005-0000-0000-000012040000}"/>
    <cellStyle name="Standard 6 2 2 2 2 3 2 7 3 2" xfId="12996" xr:uid="{1784FF82-EFA7-4EE3-A600-E3855D7C0093}"/>
    <cellStyle name="Standard 6 2 2 2 2 3 2 7 4" xfId="12993" xr:uid="{B7E22717-E8EF-4CC4-9C62-062B920C74E9}"/>
    <cellStyle name="Standard 6 2 2 2 2 3 2 8" xfId="1036" xr:uid="{00000000-0005-0000-0000-000013040000}"/>
    <cellStyle name="Standard 6 2 2 2 2 3 2 8 2" xfId="1037" xr:uid="{00000000-0005-0000-0000-000014040000}"/>
    <cellStyle name="Standard 6 2 2 2 2 3 2 8 2 2" xfId="12998" xr:uid="{D68BA4B9-420E-406F-84E9-5B4004277D7F}"/>
    <cellStyle name="Standard 6 2 2 2 2 3 2 8 3" xfId="12997" xr:uid="{23B1B924-504F-432E-9160-C306A9899677}"/>
    <cellStyle name="Standard 6 2 2 2 2 3 2 9" xfId="1038" xr:uid="{00000000-0005-0000-0000-000015040000}"/>
    <cellStyle name="Standard 6 2 2 2 2 3 2 9 2" xfId="12999" xr:uid="{9A97A470-7061-43F2-8EBB-0E37FC55F4B9}"/>
    <cellStyle name="Standard 6 2 2 2 2 3 3" xfId="1039" xr:uid="{00000000-0005-0000-0000-000016040000}"/>
    <cellStyle name="Standard 6 2 2 2 2 3 3 2" xfId="1040" xr:uid="{00000000-0005-0000-0000-000017040000}"/>
    <cellStyle name="Standard 6 2 2 2 2 3 3 2 2" xfId="1041" xr:uid="{00000000-0005-0000-0000-000018040000}"/>
    <cellStyle name="Standard 6 2 2 2 2 3 3 2 2 2" xfId="13002" xr:uid="{7735816C-C115-48C1-B556-19E8A509C47E}"/>
    <cellStyle name="Standard 6 2 2 2 2 3 3 2 3" xfId="13001" xr:uid="{FBA168A9-0623-4D33-9DA3-35CC0305AD63}"/>
    <cellStyle name="Standard 6 2 2 2 2 3 3 3" xfId="1042" xr:uid="{00000000-0005-0000-0000-000019040000}"/>
    <cellStyle name="Standard 6 2 2 2 2 3 3 3 2" xfId="13003" xr:uid="{A4AAC728-EF06-4132-B405-751C8D05FBC2}"/>
    <cellStyle name="Standard 6 2 2 2 2 3 3 4" xfId="13000" xr:uid="{735CA614-8B96-4A7F-8818-8715E4AAD028}"/>
    <cellStyle name="Standard 6 2 2 2 2 3 4" xfId="1043" xr:uid="{00000000-0005-0000-0000-00001A040000}"/>
    <cellStyle name="Standard 6 2 2 2 2 3 4 2" xfId="1044" xr:uid="{00000000-0005-0000-0000-00001B040000}"/>
    <cellStyle name="Standard 6 2 2 2 2 3 4 2 2" xfId="1045" xr:uid="{00000000-0005-0000-0000-00001C040000}"/>
    <cellStyle name="Standard 6 2 2 2 2 3 4 2 2 2" xfId="13006" xr:uid="{42408D29-832D-41BA-A557-536A689E96CE}"/>
    <cellStyle name="Standard 6 2 2 2 2 3 4 2 3" xfId="13005" xr:uid="{ACEC9BA9-20CC-4011-9C78-AE74AFE24578}"/>
    <cellStyle name="Standard 6 2 2 2 2 3 4 3" xfId="1046" xr:uid="{00000000-0005-0000-0000-00001D040000}"/>
    <cellStyle name="Standard 6 2 2 2 2 3 4 3 2" xfId="13007" xr:uid="{5717FF24-2BF7-4C03-9451-BDB4ED4C1308}"/>
    <cellStyle name="Standard 6 2 2 2 2 3 4 4" xfId="13004" xr:uid="{6425F72D-A00D-47ED-A54D-733875AAD777}"/>
    <cellStyle name="Standard 6 2 2 2 2 3 5" xfId="1047" xr:uid="{00000000-0005-0000-0000-00001E040000}"/>
    <cellStyle name="Standard 6 2 2 2 2 3 5 2" xfId="1048" xr:uid="{00000000-0005-0000-0000-00001F040000}"/>
    <cellStyle name="Standard 6 2 2 2 2 3 5 2 2" xfId="1049" xr:uid="{00000000-0005-0000-0000-000020040000}"/>
    <cellStyle name="Standard 6 2 2 2 2 3 5 2 2 2" xfId="13010" xr:uid="{B91DD4D8-BA91-491A-B767-944C3715506D}"/>
    <cellStyle name="Standard 6 2 2 2 2 3 5 2 3" xfId="13009" xr:uid="{A1ED12CB-3A7A-4F57-8211-6790F4785F4B}"/>
    <cellStyle name="Standard 6 2 2 2 2 3 5 3" xfId="1050" xr:uid="{00000000-0005-0000-0000-000021040000}"/>
    <cellStyle name="Standard 6 2 2 2 2 3 5 3 2" xfId="13011" xr:uid="{E9CD248F-7F54-4A15-8CE5-1F7CE2FE497E}"/>
    <cellStyle name="Standard 6 2 2 2 2 3 5 4" xfId="13008" xr:uid="{D6DF0449-2AD3-4F2C-A9BA-F303FC3EFFE8}"/>
    <cellStyle name="Standard 6 2 2 2 2 3 6" xfId="1051" xr:uid="{00000000-0005-0000-0000-000022040000}"/>
    <cellStyle name="Standard 6 2 2 2 2 3 6 2" xfId="1052" xr:uid="{00000000-0005-0000-0000-000023040000}"/>
    <cellStyle name="Standard 6 2 2 2 2 3 6 2 2" xfId="1053" xr:uid="{00000000-0005-0000-0000-000024040000}"/>
    <cellStyle name="Standard 6 2 2 2 2 3 6 2 2 2" xfId="13014" xr:uid="{0809AD37-D67F-4245-840C-F46E02D799F3}"/>
    <cellStyle name="Standard 6 2 2 2 2 3 6 2 3" xfId="13013" xr:uid="{32788569-72B8-4EAB-ADE6-E7E7A35BA792}"/>
    <cellStyle name="Standard 6 2 2 2 2 3 6 3" xfId="1054" xr:uid="{00000000-0005-0000-0000-000025040000}"/>
    <cellStyle name="Standard 6 2 2 2 2 3 6 3 2" xfId="13015" xr:uid="{15688FC3-1548-4973-AB66-A286926A85E7}"/>
    <cellStyle name="Standard 6 2 2 2 2 3 6 4" xfId="13012" xr:uid="{45158C46-E3E2-4780-B58A-2809FC1E538E}"/>
    <cellStyle name="Standard 6 2 2 2 2 3 7" xfId="1055" xr:uid="{00000000-0005-0000-0000-000026040000}"/>
    <cellStyle name="Standard 6 2 2 2 2 3 7 2" xfId="1056" xr:uid="{00000000-0005-0000-0000-000027040000}"/>
    <cellStyle name="Standard 6 2 2 2 2 3 7 2 2" xfId="1057" xr:uid="{00000000-0005-0000-0000-000028040000}"/>
    <cellStyle name="Standard 6 2 2 2 2 3 7 2 2 2" xfId="13018" xr:uid="{CF0AF9CF-1C86-4368-9066-613598E0012E}"/>
    <cellStyle name="Standard 6 2 2 2 2 3 7 2 3" xfId="13017" xr:uid="{F9A61FAD-8E64-4DFC-A36F-F57B34AD1833}"/>
    <cellStyle name="Standard 6 2 2 2 2 3 7 3" xfId="1058" xr:uid="{00000000-0005-0000-0000-000029040000}"/>
    <cellStyle name="Standard 6 2 2 2 2 3 7 3 2" xfId="13019" xr:uid="{52C8B2DB-45CA-4C36-A693-364318E0F398}"/>
    <cellStyle name="Standard 6 2 2 2 2 3 7 4" xfId="13016" xr:uid="{1A3CE63F-7591-4D5B-866F-A299EA7E9AB9}"/>
    <cellStyle name="Standard 6 2 2 2 2 3 8" xfId="1059" xr:uid="{00000000-0005-0000-0000-00002A040000}"/>
    <cellStyle name="Standard 6 2 2 2 2 3 8 2" xfId="1060" xr:uid="{00000000-0005-0000-0000-00002B040000}"/>
    <cellStyle name="Standard 6 2 2 2 2 3 8 2 2" xfId="1061" xr:uid="{00000000-0005-0000-0000-00002C040000}"/>
    <cellStyle name="Standard 6 2 2 2 2 3 8 2 2 2" xfId="13022" xr:uid="{FE242D62-A04F-4353-8832-DE34A18DAFC0}"/>
    <cellStyle name="Standard 6 2 2 2 2 3 8 2 3" xfId="13021" xr:uid="{8DE9D9C0-9060-45B1-8D34-B1A84C546F2E}"/>
    <cellStyle name="Standard 6 2 2 2 2 3 8 3" xfId="1062" xr:uid="{00000000-0005-0000-0000-00002D040000}"/>
    <cellStyle name="Standard 6 2 2 2 2 3 8 3 2" xfId="13023" xr:uid="{A93B8042-25DA-4236-AE5A-CADFBDEFCBC6}"/>
    <cellStyle name="Standard 6 2 2 2 2 3 8 4" xfId="13020" xr:uid="{FF754CFA-CC01-4033-95C1-69A6AD1D7B6F}"/>
    <cellStyle name="Standard 6 2 2 2 2 3 9" xfId="1063" xr:uid="{00000000-0005-0000-0000-00002E040000}"/>
    <cellStyle name="Standard 6 2 2 2 2 3 9 2" xfId="1064" xr:uid="{00000000-0005-0000-0000-00002F040000}"/>
    <cellStyle name="Standard 6 2 2 2 2 3 9 2 2" xfId="13025" xr:uid="{38CFDBB6-0CB8-4EF6-8B97-DBD760F29BD2}"/>
    <cellStyle name="Standard 6 2 2 2 2 3 9 3" xfId="13024" xr:uid="{D18C2EBF-8081-4503-8387-8D9571EC44A6}"/>
    <cellStyle name="Standard 6 2 2 2 2 4" xfId="1065" xr:uid="{00000000-0005-0000-0000-000030040000}"/>
    <cellStyle name="Standard 6 2 2 2 2 4 10" xfId="1066" xr:uid="{00000000-0005-0000-0000-000031040000}"/>
    <cellStyle name="Standard 6 2 2 2 2 4 10 2" xfId="13027" xr:uid="{4546C61C-9C44-49C0-A4E1-B397DD04BC99}"/>
    <cellStyle name="Standard 6 2 2 2 2 4 11" xfId="13026" xr:uid="{0C1C48D2-4B34-4D66-A5F6-7EA1163C6EB0}"/>
    <cellStyle name="Standard 6 2 2 2 2 4 2" xfId="1067" xr:uid="{00000000-0005-0000-0000-000032040000}"/>
    <cellStyle name="Standard 6 2 2 2 2 4 2 10" xfId="13028" xr:uid="{E8AFBDFB-DD3F-4146-B1F3-026020805FA1}"/>
    <cellStyle name="Standard 6 2 2 2 2 4 2 2" xfId="1068" xr:uid="{00000000-0005-0000-0000-000033040000}"/>
    <cellStyle name="Standard 6 2 2 2 2 4 2 2 2" xfId="1069" xr:uid="{00000000-0005-0000-0000-000034040000}"/>
    <cellStyle name="Standard 6 2 2 2 2 4 2 2 2 2" xfId="1070" xr:uid="{00000000-0005-0000-0000-000035040000}"/>
    <cellStyle name="Standard 6 2 2 2 2 4 2 2 2 2 2" xfId="13031" xr:uid="{C554F948-5B81-4E35-A3F0-AD88FAF18E1D}"/>
    <cellStyle name="Standard 6 2 2 2 2 4 2 2 2 3" xfId="13030" xr:uid="{CA636CB8-64E1-4EE0-855A-19AD0219A95D}"/>
    <cellStyle name="Standard 6 2 2 2 2 4 2 2 3" xfId="1071" xr:uid="{00000000-0005-0000-0000-000036040000}"/>
    <cellStyle name="Standard 6 2 2 2 2 4 2 2 3 2" xfId="13032" xr:uid="{8954F0BB-F098-46D2-BDE5-31BEDB56CE28}"/>
    <cellStyle name="Standard 6 2 2 2 2 4 2 2 4" xfId="13029" xr:uid="{AD6E2B2B-CE11-4F17-A29C-78CDFAAC1024}"/>
    <cellStyle name="Standard 6 2 2 2 2 4 2 3" xfId="1072" xr:uid="{00000000-0005-0000-0000-000037040000}"/>
    <cellStyle name="Standard 6 2 2 2 2 4 2 3 2" xfId="1073" xr:uid="{00000000-0005-0000-0000-000038040000}"/>
    <cellStyle name="Standard 6 2 2 2 2 4 2 3 2 2" xfId="1074" xr:uid="{00000000-0005-0000-0000-000039040000}"/>
    <cellStyle name="Standard 6 2 2 2 2 4 2 3 2 2 2" xfId="13035" xr:uid="{35BFFE17-FD48-4A6D-8EA0-8ADB442AB5B9}"/>
    <cellStyle name="Standard 6 2 2 2 2 4 2 3 2 3" xfId="13034" xr:uid="{C0050073-67E9-4C91-B531-00318466F3F2}"/>
    <cellStyle name="Standard 6 2 2 2 2 4 2 3 3" xfId="1075" xr:uid="{00000000-0005-0000-0000-00003A040000}"/>
    <cellStyle name="Standard 6 2 2 2 2 4 2 3 3 2" xfId="13036" xr:uid="{A720B5AC-9FAB-4673-8313-8FAC02FCFE28}"/>
    <cellStyle name="Standard 6 2 2 2 2 4 2 3 4" xfId="13033" xr:uid="{CFCAD769-EF7D-4474-820D-732D581D9C55}"/>
    <cellStyle name="Standard 6 2 2 2 2 4 2 4" xfId="1076" xr:uid="{00000000-0005-0000-0000-00003B040000}"/>
    <cellStyle name="Standard 6 2 2 2 2 4 2 4 2" xfId="1077" xr:uid="{00000000-0005-0000-0000-00003C040000}"/>
    <cellStyle name="Standard 6 2 2 2 2 4 2 4 2 2" xfId="1078" xr:uid="{00000000-0005-0000-0000-00003D040000}"/>
    <cellStyle name="Standard 6 2 2 2 2 4 2 4 2 2 2" xfId="13039" xr:uid="{2D07F641-D9CC-4F48-A2E3-0D85D4035B2E}"/>
    <cellStyle name="Standard 6 2 2 2 2 4 2 4 2 3" xfId="13038" xr:uid="{2B0C1771-2F26-4E31-B243-C7BAEF4ADE00}"/>
    <cellStyle name="Standard 6 2 2 2 2 4 2 4 3" xfId="1079" xr:uid="{00000000-0005-0000-0000-00003E040000}"/>
    <cellStyle name="Standard 6 2 2 2 2 4 2 4 3 2" xfId="13040" xr:uid="{BC74FB9D-F0A2-4B2A-B9EE-B690A6870D4D}"/>
    <cellStyle name="Standard 6 2 2 2 2 4 2 4 4" xfId="13037" xr:uid="{C9F37731-EE08-46C9-A6A4-7365965FD983}"/>
    <cellStyle name="Standard 6 2 2 2 2 4 2 5" xfId="1080" xr:uid="{00000000-0005-0000-0000-00003F040000}"/>
    <cellStyle name="Standard 6 2 2 2 2 4 2 5 2" xfId="1081" xr:uid="{00000000-0005-0000-0000-000040040000}"/>
    <cellStyle name="Standard 6 2 2 2 2 4 2 5 2 2" xfId="1082" xr:uid="{00000000-0005-0000-0000-000041040000}"/>
    <cellStyle name="Standard 6 2 2 2 2 4 2 5 2 2 2" xfId="13043" xr:uid="{78474F69-0A60-4384-92D5-2C28D6046524}"/>
    <cellStyle name="Standard 6 2 2 2 2 4 2 5 2 3" xfId="13042" xr:uid="{65AA33BB-3F66-4A14-B33C-CA5B9713DBA4}"/>
    <cellStyle name="Standard 6 2 2 2 2 4 2 5 3" xfId="1083" xr:uid="{00000000-0005-0000-0000-000042040000}"/>
    <cellStyle name="Standard 6 2 2 2 2 4 2 5 3 2" xfId="13044" xr:uid="{775BE884-32DF-4D48-B155-80AC1F699DE5}"/>
    <cellStyle name="Standard 6 2 2 2 2 4 2 5 4" xfId="13041" xr:uid="{DDCB87D5-6F26-4478-848B-D9FF40EDE95D}"/>
    <cellStyle name="Standard 6 2 2 2 2 4 2 6" xfId="1084" xr:uid="{00000000-0005-0000-0000-000043040000}"/>
    <cellStyle name="Standard 6 2 2 2 2 4 2 6 2" xfId="1085" xr:uid="{00000000-0005-0000-0000-000044040000}"/>
    <cellStyle name="Standard 6 2 2 2 2 4 2 6 2 2" xfId="1086" xr:uid="{00000000-0005-0000-0000-000045040000}"/>
    <cellStyle name="Standard 6 2 2 2 2 4 2 6 2 2 2" xfId="13047" xr:uid="{31C2CBA1-35E8-4E1F-9191-FB2DFEF85EF8}"/>
    <cellStyle name="Standard 6 2 2 2 2 4 2 6 2 3" xfId="13046" xr:uid="{AF1938DE-B863-4962-9790-8C32F5842032}"/>
    <cellStyle name="Standard 6 2 2 2 2 4 2 6 3" xfId="1087" xr:uid="{00000000-0005-0000-0000-000046040000}"/>
    <cellStyle name="Standard 6 2 2 2 2 4 2 6 3 2" xfId="13048" xr:uid="{92C7C006-95DD-421D-A216-8F9F538EF9C0}"/>
    <cellStyle name="Standard 6 2 2 2 2 4 2 6 4" xfId="13045" xr:uid="{DD136F30-2BFC-47AE-85A0-5A888804AB73}"/>
    <cellStyle name="Standard 6 2 2 2 2 4 2 7" xfId="1088" xr:uid="{00000000-0005-0000-0000-000047040000}"/>
    <cellStyle name="Standard 6 2 2 2 2 4 2 7 2" xfId="1089" xr:uid="{00000000-0005-0000-0000-000048040000}"/>
    <cellStyle name="Standard 6 2 2 2 2 4 2 7 2 2" xfId="1090" xr:uid="{00000000-0005-0000-0000-000049040000}"/>
    <cellStyle name="Standard 6 2 2 2 2 4 2 7 2 2 2" xfId="13051" xr:uid="{B2E3B4B1-F58E-4CC0-8C19-4052E4667690}"/>
    <cellStyle name="Standard 6 2 2 2 2 4 2 7 2 3" xfId="13050" xr:uid="{EBC4A0AB-E0B5-446A-AEC6-5D8CA7613F2E}"/>
    <cellStyle name="Standard 6 2 2 2 2 4 2 7 3" xfId="1091" xr:uid="{00000000-0005-0000-0000-00004A040000}"/>
    <cellStyle name="Standard 6 2 2 2 2 4 2 7 3 2" xfId="13052" xr:uid="{9583F93D-55FF-45A7-BC7C-1A5B2309B1FE}"/>
    <cellStyle name="Standard 6 2 2 2 2 4 2 7 4" xfId="13049" xr:uid="{0EE0319B-A3F0-4AA6-86CC-5E3FBDFAFB67}"/>
    <cellStyle name="Standard 6 2 2 2 2 4 2 8" xfId="1092" xr:uid="{00000000-0005-0000-0000-00004B040000}"/>
    <cellStyle name="Standard 6 2 2 2 2 4 2 8 2" xfId="1093" xr:uid="{00000000-0005-0000-0000-00004C040000}"/>
    <cellStyle name="Standard 6 2 2 2 2 4 2 8 2 2" xfId="13054" xr:uid="{3CE642D1-6D6D-43FB-9462-A889EAAC56FB}"/>
    <cellStyle name="Standard 6 2 2 2 2 4 2 8 3" xfId="13053" xr:uid="{ECD54ADE-99F3-4070-B2A0-6F05E9EC938F}"/>
    <cellStyle name="Standard 6 2 2 2 2 4 2 9" xfId="1094" xr:uid="{00000000-0005-0000-0000-00004D040000}"/>
    <cellStyle name="Standard 6 2 2 2 2 4 2 9 2" xfId="13055" xr:uid="{920E3C1C-364B-4FC3-9DED-368FD85207FC}"/>
    <cellStyle name="Standard 6 2 2 2 2 4 3" xfId="1095" xr:uid="{00000000-0005-0000-0000-00004E040000}"/>
    <cellStyle name="Standard 6 2 2 2 2 4 3 2" xfId="1096" xr:uid="{00000000-0005-0000-0000-00004F040000}"/>
    <cellStyle name="Standard 6 2 2 2 2 4 3 2 2" xfId="1097" xr:uid="{00000000-0005-0000-0000-000050040000}"/>
    <cellStyle name="Standard 6 2 2 2 2 4 3 2 2 2" xfId="13058" xr:uid="{9688F081-AB1F-4860-8B41-0C1CF6604817}"/>
    <cellStyle name="Standard 6 2 2 2 2 4 3 2 3" xfId="13057" xr:uid="{99428275-52BB-4BD6-B71D-C85971CEADA2}"/>
    <cellStyle name="Standard 6 2 2 2 2 4 3 3" xfId="1098" xr:uid="{00000000-0005-0000-0000-000051040000}"/>
    <cellStyle name="Standard 6 2 2 2 2 4 3 3 2" xfId="13059" xr:uid="{F0D8E18C-8B80-40E8-A94C-4150A7C2EC80}"/>
    <cellStyle name="Standard 6 2 2 2 2 4 3 4" xfId="13056" xr:uid="{E6228565-3CE2-4982-AAFA-F23EC20E93F5}"/>
    <cellStyle name="Standard 6 2 2 2 2 4 4" xfId="1099" xr:uid="{00000000-0005-0000-0000-000052040000}"/>
    <cellStyle name="Standard 6 2 2 2 2 4 4 2" xfId="1100" xr:uid="{00000000-0005-0000-0000-000053040000}"/>
    <cellStyle name="Standard 6 2 2 2 2 4 4 2 2" xfId="1101" xr:uid="{00000000-0005-0000-0000-000054040000}"/>
    <cellStyle name="Standard 6 2 2 2 2 4 4 2 2 2" xfId="13062" xr:uid="{F147ADF6-B231-4F62-9A0B-5F47F70B5C11}"/>
    <cellStyle name="Standard 6 2 2 2 2 4 4 2 3" xfId="13061" xr:uid="{31448932-4C78-40F4-9A9B-8FB9309E016C}"/>
    <cellStyle name="Standard 6 2 2 2 2 4 4 3" xfId="1102" xr:uid="{00000000-0005-0000-0000-000055040000}"/>
    <cellStyle name="Standard 6 2 2 2 2 4 4 3 2" xfId="13063" xr:uid="{03F63044-8079-4A85-9C54-90C5AF92D333}"/>
    <cellStyle name="Standard 6 2 2 2 2 4 4 4" xfId="13060" xr:uid="{90E8A01E-BF29-4058-BF7E-C81CF468893C}"/>
    <cellStyle name="Standard 6 2 2 2 2 4 5" xfId="1103" xr:uid="{00000000-0005-0000-0000-000056040000}"/>
    <cellStyle name="Standard 6 2 2 2 2 4 5 2" xfId="1104" xr:uid="{00000000-0005-0000-0000-000057040000}"/>
    <cellStyle name="Standard 6 2 2 2 2 4 5 2 2" xfId="1105" xr:uid="{00000000-0005-0000-0000-000058040000}"/>
    <cellStyle name="Standard 6 2 2 2 2 4 5 2 2 2" xfId="13066" xr:uid="{682596BC-8B34-48C2-9B65-9EE840165F50}"/>
    <cellStyle name="Standard 6 2 2 2 2 4 5 2 3" xfId="13065" xr:uid="{7F1AF8F2-85B5-48DA-AC6E-B08C34722400}"/>
    <cellStyle name="Standard 6 2 2 2 2 4 5 3" xfId="1106" xr:uid="{00000000-0005-0000-0000-000059040000}"/>
    <cellStyle name="Standard 6 2 2 2 2 4 5 3 2" xfId="13067" xr:uid="{C2683337-5F05-4B19-B618-2286AF676C84}"/>
    <cellStyle name="Standard 6 2 2 2 2 4 5 4" xfId="13064" xr:uid="{4EEF1248-C115-466D-AB55-3CC33BB81C96}"/>
    <cellStyle name="Standard 6 2 2 2 2 4 6" xfId="1107" xr:uid="{00000000-0005-0000-0000-00005A040000}"/>
    <cellStyle name="Standard 6 2 2 2 2 4 6 2" xfId="1108" xr:uid="{00000000-0005-0000-0000-00005B040000}"/>
    <cellStyle name="Standard 6 2 2 2 2 4 6 2 2" xfId="1109" xr:uid="{00000000-0005-0000-0000-00005C040000}"/>
    <cellStyle name="Standard 6 2 2 2 2 4 6 2 2 2" xfId="13070" xr:uid="{878DADDF-A2AE-4E6A-B9F0-52B8A7097304}"/>
    <cellStyle name="Standard 6 2 2 2 2 4 6 2 3" xfId="13069" xr:uid="{5DFE2239-7B6C-4793-9E12-15F05BD2A78A}"/>
    <cellStyle name="Standard 6 2 2 2 2 4 6 3" xfId="1110" xr:uid="{00000000-0005-0000-0000-00005D040000}"/>
    <cellStyle name="Standard 6 2 2 2 2 4 6 3 2" xfId="13071" xr:uid="{258DEF7F-BBE7-4AFA-8751-4E6573B19C3E}"/>
    <cellStyle name="Standard 6 2 2 2 2 4 6 4" xfId="13068" xr:uid="{C498193F-BEDD-41CD-B06A-6B7F29391399}"/>
    <cellStyle name="Standard 6 2 2 2 2 4 7" xfId="1111" xr:uid="{00000000-0005-0000-0000-00005E040000}"/>
    <cellStyle name="Standard 6 2 2 2 2 4 7 2" xfId="1112" xr:uid="{00000000-0005-0000-0000-00005F040000}"/>
    <cellStyle name="Standard 6 2 2 2 2 4 7 2 2" xfId="1113" xr:uid="{00000000-0005-0000-0000-000060040000}"/>
    <cellStyle name="Standard 6 2 2 2 2 4 7 2 2 2" xfId="13074" xr:uid="{6B1B00C8-5445-44FB-8CDC-85CE80D6B100}"/>
    <cellStyle name="Standard 6 2 2 2 2 4 7 2 3" xfId="13073" xr:uid="{876DF2C6-CFBD-448D-B947-E1390A843616}"/>
    <cellStyle name="Standard 6 2 2 2 2 4 7 3" xfId="1114" xr:uid="{00000000-0005-0000-0000-000061040000}"/>
    <cellStyle name="Standard 6 2 2 2 2 4 7 3 2" xfId="13075" xr:uid="{6EDAB3B3-1184-468C-AFA0-EBE400A942A9}"/>
    <cellStyle name="Standard 6 2 2 2 2 4 7 4" xfId="13072" xr:uid="{05B249A3-3990-49FC-82FD-9C9F13D611EB}"/>
    <cellStyle name="Standard 6 2 2 2 2 4 8" xfId="1115" xr:uid="{00000000-0005-0000-0000-000062040000}"/>
    <cellStyle name="Standard 6 2 2 2 2 4 8 2" xfId="1116" xr:uid="{00000000-0005-0000-0000-000063040000}"/>
    <cellStyle name="Standard 6 2 2 2 2 4 8 2 2" xfId="1117" xr:uid="{00000000-0005-0000-0000-000064040000}"/>
    <cellStyle name="Standard 6 2 2 2 2 4 8 2 2 2" xfId="13078" xr:uid="{384929CA-E245-4377-B238-FDBE59273691}"/>
    <cellStyle name="Standard 6 2 2 2 2 4 8 2 3" xfId="13077" xr:uid="{7E6B899D-D31F-4B5F-A324-390DBACE2EF2}"/>
    <cellStyle name="Standard 6 2 2 2 2 4 8 3" xfId="1118" xr:uid="{00000000-0005-0000-0000-000065040000}"/>
    <cellStyle name="Standard 6 2 2 2 2 4 8 3 2" xfId="13079" xr:uid="{02D20517-0DE4-476B-8B06-777FC8787A3F}"/>
    <cellStyle name="Standard 6 2 2 2 2 4 8 4" xfId="13076" xr:uid="{31B5922A-98C7-4F5A-A440-A450CDE38445}"/>
    <cellStyle name="Standard 6 2 2 2 2 4 9" xfId="1119" xr:uid="{00000000-0005-0000-0000-000066040000}"/>
    <cellStyle name="Standard 6 2 2 2 2 4 9 2" xfId="1120" xr:uid="{00000000-0005-0000-0000-000067040000}"/>
    <cellStyle name="Standard 6 2 2 2 2 4 9 2 2" xfId="13081" xr:uid="{E0B96021-5F16-4092-A96E-B6239342514C}"/>
    <cellStyle name="Standard 6 2 2 2 2 4 9 3" xfId="13080" xr:uid="{4DB97945-D5F5-4646-B4E0-09082EE84418}"/>
    <cellStyle name="Standard 6 2 2 2 2 5" xfId="1121" xr:uid="{00000000-0005-0000-0000-000068040000}"/>
    <cellStyle name="Standard 6 2 2 2 2 5 10" xfId="1122" xr:uid="{00000000-0005-0000-0000-000069040000}"/>
    <cellStyle name="Standard 6 2 2 2 2 5 10 2" xfId="13083" xr:uid="{A3F6E1B1-2944-47F2-A3AA-959EDD4CEFF0}"/>
    <cellStyle name="Standard 6 2 2 2 2 5 11" xfId="13082" xr:uid="{D374990C-DBBC-453E-95F2-491042D5A4E5}"/>
    <cellStyle name="Standard 6 2 2 2 2 5 2" xfId="1123" xr:uid="{00000000-0005-0000-0000-00006A040000}"/>
    <cellStyle name="Standard 6 2 2 2 2 5 2 10" xfId="13084" xr:uid="{F22F47DE-1964-4E2A-B99D-8A5B418CB5A4}"/>
    <cellStyle name="Standard 6 2 2 2 2 5 2 2" xfId="1124" xr:uid="{00000000-0005-0000-0000-00006B040000}"/>
    <cellStyle name="Standard 6 2 2 2 2 5 2 2 2" xfId="1125" xr:uid="{00000000-0005-0000-0000-00006C040000}"/>
    <cellStyle name="Standard 6 2 2 2 2 5 2 2 2 2" xfId="1126" xr:uid="{00000000-0005-0000-0000-00006D040000}"/>
    <cellStyle name="Standard 6 2 2 2 2 5 2 2 2 2 2" xfId="13087" xr:uid="{BF099EC6-831D-4EE9-9DDD-8EA8A8CD0D96}"/>
    <cellStyle name="Standard 6 2 2 2 2 5 2 2 2 3" xfId="13086" xr:uid="{08B91F99-195E-4F92-8D0A-1D32918C3BDB}"/>
    <cellStyle name="Standard 6 2 2 2 2 5 2 2 3" xfId="1127" xr:uid="{00000000-0005-0000-0000-00006E040000}"/>
    <cellStyle name="Standard 6 2 2 2 2 5 2 2 3 2" xfId="13088" xr:uid="{CB6D2C67-F0B2-4C19-AB1C-48EE14B71429}"/>
    <cellStyle name="Standard 6 2 2 2 2 5 2 2 4" xfId="13085" xr:uid="{B50791AE-0003-4F53-92CB-0E58D60F9DFE}"/>
    <cellStyle name="Standard 6 2 2 2 2 5 2 3" xfId="1128" xr:uid="{00000000-0005-0000-0000-00006F040000}"/>
    <cellStyle name="Standard 6 2 2 2 2 5 2 3 2" xfId="1129" xr:uid="{00000000-0005-0000-0000-000070040000}"/>
    <cellStyle name="Standard 6 2 2 2 2 5 2 3 2 2" xfId="1130" xr:uid="{00000000-0005-0000-0000-000071040000}"/>
    <cellStyle name="Standard 6 2 2 2 2 5 2 3 2 2 2" xfId="13091" xr:uid="{80A395E4-4EDB-4613-A0F2-ED85D6A3C157}"/>
    <cellStyle name="Standard 6 2 2 2 2 5 2 3 2 3" xfId="13090" xr:uid="{142462E4-3106-45B9-95BD-26B21AAD9C2E}"/>
    <cellStyle name="Standard 6 2 2 2 2 5 2 3 3" xfId="1131" xr:uid="{00000000-0005-0000-0000-000072040000}"/>
    <cellStyle name="Standard 6 2 2 2 2 5 2 3 3 2" xfId="13092" xr:uid="{EF03D7C6-5967-48DB-BF2E-A6CA8E618588}"/>
    <cellStyle name="Standard 6 2 2 2 2 5 2 3 4" xfId="13089" xr:uid="{CF1886B4-8448-4509-83C1-B9D689825DBA}"/>
    <cellStyle name="Standard 6 2 2 2 2 5 2 4" xfId="1132" xr:uid="{00000000-0005-0000-0000-000073040000}"/>
    <cellStyle name="Standard 6 2 2 2 2 5 2 4 2" xfId="1133" xr:uid="{00000000-0005-0000-0000-000074040000}"/>
    <cellStyle name="Standard 6 2 2 2 2 5 2 4 2 2" xfId="1134" xr:uid="{00000000-0005-0000-0000-000075040000}"/>
    <cellStyle name="Standard 6 2 2 2 2 5 2 4 2 2 2" xfId="13095" xr:uid="{83354744-67C6-41C6-AD02-07A725DF9BF4}"/>
    <cellStyle name="Standard 6 2 2 2 2 5 2 4 2 3" xfId="13094" xr:uid="{E6D7F07C-C146-427E-B69A-C2E98750DA8B}"/>
    <cellStyle name="Standard 6 2 2 2 2 5 2 4 3" xfId="1135" xr:uid="{00000000-0005-0000-0000-000076040000}"/>
    <cellStyle name="Standard 6 2 2 2 2 5 2 4 3 2" xfId="13096" xr:uid="{80BAFE3A-437B-447D-9A91-9074C0F8F687}"/>
    <cellStyle name="Standard 6 2 2 2 2 5 2 4 4" xfId="13093" xr:uid="{85C52E8F-EF99-4C47-A067-474341D36837}"/>
    <cellStyle name="Standard 6 2 2 2 2 5 2 5" xfId="1136" xr:uid="{00000000-0005-0000-0000-000077040000}"/>
    <cellStyle name="Standard 6 2 2 2 2 5 2 5 2" xfId="1137" xr:uid="{00000000-0005-0000-0000-000078040000}"/>
    <cellStyle name="Standard 6 2 2 2 2 5 2 5 2 2" xfId="1138" xr:uid="{00000000-0005-0000-0000-000079040000}"/>
    <cellStyle name="Standard 6 2 2 2 2 5 2 5 2 2 2" xfId="13099" xr:uid="{E54096A4-1E94-477B-8603-62AFA5E7DB78}"/>
    <cellStyle name="Standard 6 2 2 2 2 5 2 5 2 3" xfId="13098" xr:uid="{2C7285B1-7117-418D-B454-C25C040393B6}"/>
    <cellStyle name="Standard 6 2 2 2 2 5 2 5 3" xfId="1139" xr:uid="{00000000-0005-0000-0000-00007A040000}"/>
    <cellStyle name="Standard 6 2 2 2 2 5 2 5 3 2" xfId="13100" xr:uid="{9B9D50B4-7236-4282-B1EF-38E6DC31C29F}"/>
    <cellStyle name="Standard 6 2 2 2 2 5 2 5 4" xfId="13097" xr:uid="{AB1AFE0E-65B9-4487-AE3E-016247F59B2F}"/>
    <cellStyle name="Standard 6 2 2 2 2 5 2 6" xfId="1140" xr:uid="{00000000-0005-0000-0000-00007B040000}"/>
    <cellStyle name="Standard 6 2 2 2 2 5 2 6 2" xfId="1141" xr:uid="{00000000-0005-0000-0000-00007C040000}"/>
    <cellStyle name="Standard 6 2 2 2 2 5 2 6 2 2" xfId="1142" xr:uid="{00000000-0005-0000-0000-00007D040000}"/>
    <cellStyle name="Standard 6 2 2 2 2 5 2 6 2 2 2" xfId="13103" xr:uid="{9EFB6641-27B9-4526-86AB-B9DDA1ADE49F}"/>
    <cellStyle name="Standard 6 2 2 2 2 5 2 6 2 3" xfId="13102" xr:uid="{8C913A22-9900-44AF-AF11-AED7E8A7EB01}"/>
    <cellStyle name="Standard 6 2 2 2 2 5 2 6 3" xfId="1143" xr:uid="{00000000-0005-0000-0000-00007E040000}"/>
    <cellStyle name="Standard 6 2 2 2 2 5 2 6 3 2" xfId="13104" xr:uid="{1E9DD1AA-2BA7-4C3F-936C-DFEE782DE5D1}"/>
    <cellStyle name="Standard 6 2 2 2 2 5 2 6 4" xfId="13101" xr:uid="{1F8D821A-685C-4F7E-8D27-625790DC159F}"/>
    <cellStyle name="Standard 6 2 2 2 2 5 2 7" xfId="1144" xr:uid="{00000000-0005-0000-0000-00007F040000}"/>
    <cellStyle name="Standard 6 2 2 2 2 5 2 7 2" xfId="1145" xr:uid="{00000000-0005-0000-0000-000080040000}"/>
    <cellStyle name="Standard 6 2 2 2 2 5 2 7 2 2" xfId="1146" xr:uid="{00000000-0005-0000-0000-000081040000}"/>
    <cellStyle name="Standard 6 2 2 2 2 5 2 7 2 2 2" xfId="13107" xr:uid="{763904C9-54E8-4583-AAC2-BC6CAAF74980}"/>
    <cellStyle name="Standard 6 2 2 2 2 5 2 7 2 3" xfId="13106" xr:uid="{785CFD7E-7202-4882-B407-AF5F3C7E2C85}"/>
    <cellStyle name="Standard 6 2 2 2 2 5 2 7 3" xfId="1147" xr:uid="{00000000-0005-0000-0000-000082040000}"/>
    <cellStyle name="Standard 6 2 2 2 2 5 2 7 3 2" xfId="13108" xr:uid="{5D89FA49-76DD-4A28-8F11-49AB3883C1C3}"/>
    <cellStyle name="Standard 6 2 2 2 2 5 2 7 4" xfId="13105" xr:uid="{E7A0EDFD-5056-4F45-A7F8-462F87A9E2EF}"/>
    <cellStyle name="Standard 6 2 2 2 2 5 2 8" xfId="1148" xr:uid="{00000000-0005-0000-0000-000083040000}"/>
    <cellStyle name="Standard 6 2 2 2 2 5 2 8 2" xfId="1149" xr:uid="{00000000-0005-0000-0000-000084040000}"/>
    <cellStyle name="Standard 6 2 2 2 2 5 2 8 2 2" xfId="13110" xr:uid="{126CF45E-A398-4E00-8984-46C2B4F3724C}"/>
    <cellStyle name="Standard 6 2 2 2 2 5 2 8 3" xfId="13109" xr:uid="{B3910F35-792A-4E70-9368-0A3203B773C1}"/>
    <cellStyle name="Standard 6 2 2 2 2 5 2 9" xfId="1150" xr:uid="{00000000-0005-0000-0000-000085040000}"/>
    <cellStyle name="Standard 6 2 2 2 2 5 2 9 2" xfId="13111" xr:uid="{CCFF9207-28F8-422A-AFDD-34C71D40B913}"/>
    <cellStyle name="Standard 6 2 2 2 2 5 3" xfId="1151" xr:uid="{00000000-0005-0000-0000-000086040000}"/>
    <cellStyle name="Standard 6 2 2 2 2 5 3 2" xfId="1152" xr:uid="{00000000-0005-0000-0000-000087040000}"/>
    <cellStyle name="Standard 6 2 2 2 2 5 3 2 2" xfId="1153" xr:uid="{00000000-0005-0000-0000-000088040000}"/>
    <cellStyle name="Standard 6 2 2 2 2 5 3 2 2 2" xfId="13114" xr:uid="{F7BCDD6E-EE93-43B6-BA27-8DFD6BCC4E6A}"/>
    <cellStyle name="Standard 6 2 2 2 2 5 3 2 3" xfId="13113" xr:uid="{7BBD7FA5-EAB3-4ED8-B7B0-20AC9B4C9825}"/>
    <cellStyle name="Standard 6 2 2 2 2 5 3 3" xfId="1154" xr:uid="{00000000-0005-0000-0000-000089040000}"/>
    <cellStyle name="Standard 6 2 2 2 2 5 3 3 2" xfId="13115" xr:uid="{392F070C-E939-4011-8EA7-37DB64875C50}"/>
    <cellStyle name="Standard 6 2 2 2 2 5 3 4" xfId="13112" xr:uid="{956F80E0-5871-40F3-B89F-A4F2F1BC4B70}"/>
    <cellStyle name="Standard 6 2 2 2 2 5 4" xfId="1155" xr:uid="{00000000-0005-0000-0000-00008A040000}"/>
    <cellStyle name="Standard 6 2 2 2 2 5 4 2" xfId="1156" xr:uid="{00000000-0005-0000-0000-00008B040000}"/>
    <cellStyle name="Standard 6 2 2 2 2 5 4 2 2" xfId="1157" xr:uid="{00000000-0005-0000-0000-00008C040000}"/>
    <cellStyle name="Standard 6 2 2 2 2 5 4 2 2 2" xfId="13118" xr:uid="{30A0103C-E71A-4B01-8DFA-1CC6426509E1}"/>
    <cellStyle name="Standard 6 2 2 2 2 5 4 2 3" xfId="13117" xr:uid="{4B3E631E-246C-41D4-9A49-70493DF77F1C}"/>
    <cellStyle name="Standard 6 2 2 2 2 5 4 3" xfId="1158" xr:uid="{00000000-0005-0000-0000-00008D040000}"/>
    <cellStyle name="Standard 6 2 2 2 2 5 4 3 2" xfId="13119" xr:uid="{18B8C303-3F2B-41DB-99CA-653D27FA3181}"/>
    <cellStyle name="Standard 6 2 2 2 2 5 4 4" xfId="13116" xr:uid="{76C087C2-08F1-4741-A51E-6C57A96D10E4}"/>
    <cellStyle name="Standard 6 2 2 2 2 5 5" xfId="1159" xr:uid="{00000000-0005-0000-0000-00008E040000}"/>
    <cellStyle name="Standard 6 2 2 2 2 5 5 2" xfId="1160" xr:uid="{00000000-0005-0000-0000-00008F040000}"/>
    <cellStyle name="Standard 6 2 2 2 2 5 5 2 2" xfId="1161" xr:uid="{00000000-0005-0000-0000-000090040000}"/>
    <cellStyle name="Standard 6 2 2 2 2 5 5 2 2 2" xfId="13122" xr:uid="{DFA57250-5D48-45D8-9382-3FBBB7F8E22F}"/>
    <cellStyle name="Standard 6 2 2 2 2 5 5 2 3" xfId="13121" xr:uid="{4592CEB6-0E12-4AED-A436-B9E09D141823}"/>
    <cellStyle name="Standard 6 2 2 2 2 5 5 3" xfId="1162" xr:uid="{00000000-0005-0000-0000-000091040000}"/>
    <cellStyle name="Standard 6 2 2 2 2 5 5 3 2" xfId="13123" xr:uid="{F1C3929C-B72C-4052-9046-C1642CC11A7D}"/>
    <cellStyle name="Standard 6 2 2 2 2 5 5 4" xfId="13120" xr:uid="{5228373A-8F29-40DD-B89A-EECA2496FE81}"/>
    <cellStyle name="Standard 6 2 2 2 2 5 6" xfId="1163" xr:uid="{00000000-0005-0000-0000-000092040000}"/>
    <cellStyle name="Standard 6 2 2 2 2 5 6 2" xfId="1164" xr:uid="{00000000-0005-0000-0000-000093040000}"/>
    <cellStyle name="Standard 6 2 2 2 2 5 6 2 2" xfId="1165" xr:uid="{00000000-0005-0000-0000-000094040000}"/>
    <cellStyle name="Standard 6 2 2 2 2 5 6 2 2 2" xfId="13126" xr:uid="{EC40A8E0-B9D3-4E98-8D99-65B72B3224FD}"/>
    <cellStyle name="Standard 6 2 2 2 2 5 6 2 3" xfId="13125" xr:uid="{2AED8C96-0DFC-4E9C-8CCF-B7C00286588E}"/>
    <cellStyle name="Standard 6 2 2 2 2 5 6 3" xfId="1166" xr:uid="{00000000-0005-0000-0000-000095040000}"/>
    <cellStyle name="Standard 6 2 2 2 2 5 6 3 2" xfId="13127" xr:uid="{D8E3D97A-A56D-4ED4-8809-75B9A5932D17}"/>
    <cellStyle name="Standard 6 2 2 2 2 5 6 4" xfId="13124" xr:uid="{88324007-725E-4B82-867C-FCAC0EE7B5C3}"/>
    <cellStyle name="Standard 6 2 2 2 2 5 7" xfId="1167" xr:uid="{00000000-0005-0000-0000-000096040000}"/>
    <cellStyle name="Standard 6 2 2 2 2 5 7 2" xfId="1168" xr:uid="{00000000-0005-0000-0000-000097040000}"/>
    <cellStyle name="Standard 6 2 2 2 2 5 7 2 2" xfId="1169" xr:uid="{00000000-0005-0000-0000-000098040000}"/>
    <cellStyle name="Standard 6 2 2 2 2 5 7 2 2 2" xfId="13130" xr:uid="{CDBD74BB-3201-4B84-8395-19CFD96F40FD}"/>
    <cellStyle name="Standard 6 2 2 2 2 5 7 2 3" xfId="13129" xr:uid="{2AD84267-4246-43E4-BECB-370837136DED}"/>
    <cellStyle name="Standard 6 2 2 2 2 5 7 3" xfId="1170" xr:uid="{00000000-0005-0000-0000-000099040000}"/>
    <cellStyle name="Standard 6 2 2 2 2 5 7 3 2" xfId="13131" xr:uid="{1DBDFD41-1E29-4227-BF8C-0EA1000F41C8}"/>
    <cellStyle name="Standard 6 2 2 2 2 5 7 4" xfId="13128" xr:uid="{21007E21-A17C-43A7-81ED-BE309F0EB9AC}"/>
    <cellStyle name="Standard 6 2 2 2 2 5 8" xfId="1171" xr:uid="{00000000-0005-0000-0000-00009A040000}"/>
    <cellStyle name="Standard 6 2 2 2 2 5 8 2" xfId="1172" xr:uid="{00000000-0005-0000-0000-00009B040000}"/>
    <cellStyle name="Standard 6 2 2 2 2 5 8 2 2" xfId="1173" xr:uid="{00000000-0005-0000-0000-00009C040000}"/>
    <cellStyle name="Standard 6 2 2 2 2 5 8 2 2 2" xfId="13134" xr:uid="{29843F29-363B-49A2-B5D2-56329EEA4F8C}"/>
    <cellStyle name="Standard 6 2 2 2 2 5 8 2 3" xfId="13133" xr:uid="{FFBA9306-C6C0-4772-A329-845496063B1D}"/>
    <cellStyle name="Standard 6 2 2 2 2 5 8 3" xfId="1174" xr:uid="{00000000-0005-0000-0000-00009D040000}"/>
    <cellStyle name="Standard 6 2 2 2 2 5 8 3 2" xfId="13135" xr:uid="{0F9941AB-56DF-44AE-B423-42EE0095667C}"/>
    <cellStyle name="Standard 6 2 2 2 2 5 8 4" xfId="13132" xr:uid="{3850F75D-7765-4136-9D14-E78688B5AC31}"/>
    <cellStyle name="Standard 6 2 2 2 2 5 9" xfId="1175" xr:uid="{00000000-0005-0000-0000-00009E040000}"/>
    <cellStyle name="Standard 6 2 2 2 2 5 9 2" xfId="1176" xr:uid="{00000000-0005-0000-0000-00009F040000}"/>
    <cellStyle name="Standard 6 2 2 2 2 5 9 2 2" xfId="13137" xr:uid="{3574BDCB-4564-4422-B6FB-60322DAA4210}"/>
    <cellStyle name="Standard 6 2 2 2 2 5 9 3" xfId="13136" xr:uid="{06E52828-4317-45F7-885B-755058FD388B}"/>
    <cellStyle name="Standard 6 2 2 2 2 6" xfId="1177" xr:uid="{00000000-0005-0000-0000-0000A0040000}"/>
    <cellStyle name="Standard 6 2 2 2 2 6 10" xfId="1178" xr:uid="{00000000-0005-0000-0000-0000A1040000}"/>
    <cellStyle name="Standard 6 2 2 2 2 6 10 2" xfId="13139" xr:uid="{868CA7BE-FBDC-408E-B3D1-CAA5E451F08A}"/>
    <cellStyle name="Standard 6 2 2 2 2 6 11" xfId="13138" xr:uid="{8F670FA7-5E78-4549-AFD2-2ADC60578F6C}"/>
    <cellStyle name="Standard 6 2 2 2 2 6 2" xfId="1179" xr:uid="{00000000-0005-0000-0000-0000A2040000}"/>
    <cellStyle name="Standard 6 2 2 2 2 6 2 10" xfId="13140" xr:uid="{DE4F78B4-2776-450F-AE4A-24A7180052C0}"/>
    <cellStyle name="Standard 6 2 2 2 2 6 2 2" xfId="1180" xr:uid="{00000000-0005-0000-0000-0000A3040000}"/>
    <cellStyle name="Standard 6 2 2 2 2 6 2 2 2" xfId="1181" xr:uid="{00000000-0005-0000-0000-0000A4040000}"/>
    <cellStyle name="Standard 6 2 2 2 2 6 2 2 2 2" xfId="1182" xr:uid="{00000000-0005-0000-0000-0000A5040000}"/>
    <cellStyle name="Standard 6 2 2 2 2 6 2 2 2 2 2" xfId="13143" xr:uid="{154174A8-E243-4AA2-83EF-A37BEE740954}"/>
    <cellStyle name="Standard 6 2 2 2 2 6 2 2 2 3" xfId="13142" xr:uid="{C9063719-AA4B-488F-A080-DEBC2842F3DE}"/>
    <cellStyle name="Standard 6 2 2 2 2 6 2 2 3" xfId="1183" xr:uid="{00000000-0005-0000-0000-0000A6040000}"/>
    <cellStyle name="Standard 6 2 2 2 2 6 2 2 3 2" xfId="13144" xr:uid="{23AFEE6B-85FE-484E-875D-46122854ECDA}"/>
    <cellStyle name="Standard 6 2 2 2 2 6 2 2 4" xfId="13141" xr:uid="{7521BE21-570D-4E77-AD29-CE02E6DBB0B4}"/>
    <cellStyle name="Standard 6 2 2 2 2 6 2 3" xfId="1184" xr:uid="{00000000-0005-0000-0000-0000A7040000}"/>
    <cellStyle name="Standard 6 2 2 2 2 6 2 3 2" xfId="1185" xr:uid="{00000000-0005-0000-0000-0000A8040000}"/>
    <cellStyle name="Standard 6 2 2 2 2 6 2 3 2 2" xfId="1186" xr:uid="{00000000-0005-0000-0000-0000A9040000}"/>
    <cellStyle name="Standard 6 2 2 2 2 6 2 3 2 2 2" xfId="13147" xr:uid="{7F2CE171-7BBA-446B-AA9F-4054399FD36B}"/>
    <cellStyle name="Standard 6 2 2 2 2 6 2 3 2 3" xfId="13146" xr:uid="{541EC17B-4B4F-4C4D-9A00-DB14F2B44784}"/>
    <cellStyle name="Standard 6 2 2 2 2 6 2 3 3" xfId="1187" xr:uid="{00000000-0005-0000-0000-0000AA040000}"/>
    <cellStyle name="Standard 6 2 2 2 2 6 2 3 3 2" xfId="13148" xr:uid="{A40D0EFC-76B6-4FA3-84D5-EA751C54BDCB}"/>
    <cellStyle name="Standard 6 2 2 2 2 6 2 3 4" xfId="13145" xr:uid="{BB2F4130-0A10-4359-81E7-BA15B1872241}"/>
    <cellStyle name="Standard 6 2 2 2 2 6 2 4" xfId="1188" xr:uid="{00000000-0005-0000-0000-0000AB040000}"/>
    <cellStyle name="Standard 6 2 2 2 2 6 2 4 2" xfId="1189" xr:uid="{00000000-0005-0000-0000-0000AC040000}"/>
    <cellStyle name="Standard 6 2 2 2 2 6 2 4 2 2" xfId="1190" xr:uid="{00000000-0005-0000-0000-0000AD040000}"/>
    <cellStyle name="Standard 6 2 2 2 2 6 2 4 2 2 2" xfId="13151" xr:uid="{209283E3-B183-4BCA-891E-DA58E0B15618}"/>
    <cellStyle name="Standard 6 2 2 2 2 6 2 4 2 3" xfId="13150" xr:uid="{2A072DFC-4285-4EB1-A969-FECF47E3247D}"/>
    <cellStyle name="Standard 6 2 2 2 2 6 2 4 3" xfId="1191" xr:uid="{00000000-0005-0000-0000-0000AE040000}"/>
    <cellStyle name="Standard 6 2 2 2 2 6 2 4 3 2" xfId="13152" xr:uid="{875D38E6-9DD8-4E22-8060-9E60D811C1C3}"/>
    <cellStyle name="Standard 6 2 2 2 2 6 2 4 4" xfId="13149" xr:uid="{AB264F43-7C4A-4EBB-9367-815B3DF71E14}"/>
    <cellStyle name="Standard 6 2 2 2 2 6 2 5" xfId="1192" xr:uid="{00000000-0005-0000-0000-0000AF040000}"/>
    <cellStyle name="Standard 6 2 2 2 2 6 2 5 2" xfId="1193" xr:uid="{00000000-0005-0000-0000-0000B0040000}"/>
    <cellStyle name="Standard 6 2 2 2 2 6 2 5 2 2" xfId="1194" xr:uid="{00000000-0005-0000-0000-0000B1040000}"/>
    <cellStyle name="Standard 6 2 2 2 2 6 2 5 2 2 2" xfId="13155" xr:uid="{E92DE706-363E-42E6-859D-2485C28F5C86}"/>
    <cellStyle name="Standard 6 2 2 2 2 6 2 5 2 3" xfId="13154" xr:uid="{734E5637-A4DC-4A54-9456-A416FB66509A}"/>
    <cellStyle name="Standard 6 2 2 2 2 6 2 5 3" xfId="1195" xr:uid="{00000000-0005-0000-0000-0000B2040000}"/>
    <cellStyle name="Standard 6 2 2 2 2 6 2 5 3 2" xfId="13156" xr:uid="{E01E8B2F-4513-43E0-8CD8-EAACAD8AB5F3}"/>
    <cellStyle name="Standard 6 2 2 2 2 6 2 5 4" xfId="13153" xr:uid="{EADAEE97-97F9-4592-BD6A-78715B1281F4}"/>
    <cellStyle name="Standard 6 2 2 2 2 6 2 6" xfId="1196" xr:uid="{00000000-0005-0000-0000-0000B3040000}"/>
    <cellStyle name="Standard 6 2 2 2 2 6 2 6 2" xfId="1197" xr:uid="{00000000-0005-0000-0000-0000B4040000}"/>
    <cellStyle name="Standard 6 2 2 2 2 6 2 6 2 2" xfId="1198" xr:uid="{00000000-0005-0000-0000-0000B5040000}"/>
    <cellStyle name="Standard 6 2 2 2 2 6 2 6 2 2 2" xfId="13159" xr:uid="{CE0E674D-09DC-451D-A68F-FAC5E931B906}"/>
    <cellStyle name="Standard 6 2 2 2 2 6 2 6 2 3" xfId="13158" xr:uid="{8937763A-AA9C-4A16-8DF2-714ECDC4CFE9}"/>
    <cellStyle name="Standard 6 2 2 2 2 6 2 6 3" xfId="1199" xr:uid="{00000000-0005-0000-0000-0000B6040000}"/>
    <cellStyle name="Standard 6 2 2 2 2 6 2 6 3 2" xfId="13160" xr:uid="{26BAAC7E-6767-4535-B626-685411B068E1}"/>
    <cellStyle name="Standard 6 2 2 2 2 6 2 6 4" xfId="13157" xr:uid="{B56ED4C9-145F-4878-843B-66B5FD09828B}"/>
    <cellStyle name="Standard 6 2 2 2 2 6 2 7" xfId="1200" xr:uid="{00000000-0005-0000-0000-0000B7040000}"/>
    <cellStyle name="Standard 6 2 2 2 2 6 2 7 2" xfId="1201" xr:uid="{00000000-0005-0000-0000-0000B8040000}"/>
    <cellStyle name="Standard 6 2 2 2 2 6 2 7 2 2" xfId="1202" xr:uid="{00000000-0005-0000-0000-0000B9040000}"/>
    <cellStyle name="Standard 6 2 2 2 2 6 2 7 2 2 2" xfId="13163" xr:uid="{B166C941-33DA-4F07-8066-48250BC93E76}"/>
    <cellStyle name="Standard 6 2 2 2 2 6 2 7 2 3" xfId="13162" xr:uid="{6B3F6976-6BED-4027-91BB-F3D7712698E6}"/>
    <cellStyle name="Standard 6 2 2 2 2 6 2 7 3" xfId="1203" xr:uid="{00000000-0005-0000-0000-0000BA040000}"/>
    <cellStyle name="Standard 6 2 2 2 2 6 2 7 3 2" xfId="13164" xr:uid="{E3D4A884-8EF5-4628-BF97-602331B378D8}"/>
    <cellStyle name="Standard 6 2 2 2 2 6 2 7 4" xfId="13161" xr:uid="{2ECB5FB9-E66C-45FA-9EEE-5B2B8B6B755E}"/>
    <cellStyle name="Standard 6 2 2 2 2 6 2 8" xfId="1204" xr:uid="{00000000-0005-0000-0000-0000BB040000}"/>
    <cellStyle name="Standard 6 2 2 2 2 6 2 8 2" xfId="1205" xr:uid="{00000000-0005-0000-0000-0000BC040000}"/>
    <cellStyle name="Standard 6 2 2 2 2 6 2 8 2 2" xfId="13166" xr:uid="{EF8AE99E-D7C4-4F04-9931-6C95ACDDCF0B}"/>
    <cellStyle name="Standard 6 2 2 2 2 6 2 8 3" xfId="13165" xr:uid="{E7FF51AF-54FE-4301-8502-770187F40422}"/>
    <cellStyle name="Standard 6 2 2 2 2 6 2 9" xfId="1206" xr:uid="{00000000-0005-0000-0000-0000BD040000}"/>
    <cellStyle name="Standard 6 2 2 2 2 6 2 9 2" xfId="13167" xr:uid="{5A40F672-F261-43BF-8222-8280AB22418B}"/>
    <cellStyle name="Standard 6 2 2 2 2 6 3" xfId="1207" xr:uid="{00000000-0005-0000-0000-0000BE040000}"/>
    <cellStyle name="Standard 6 2 2 2 2 6 3 2" xfId="1208" xr:uid="{00000000-0005-0000-0000-0000BF040000}"/>
    <cellStyle name="Standard 6 2 2 2 2 6 3 2 2" xfId="1209" xr:uid="{00000000-0005-0000-0000-0000C0040000}"/>
    <cellStyle name="Standard 6 2 2 2 2 6 3 2 2 2" xfId="13170" xr:uid="{B286D2F3-A5F1-40E4-815C-9FE94DDD0374}"/>
    <cellStyle name="Standard 6 2 2 2 2 6 3 2 3" xfId="13169" xr:uid="{25ADA9FE-CBE3-4C80-A1A5-EEA666709A59}"/>
    <cellStyle name="Standard 6 2 2 2 2 6 3 3" xfId="1210" xr:uid="{00000000-0005-0000-0000-0000C1040000}"/>
    <cellStyle name="Standard 6 2 2 2 2 6 3 3 2" xfId="13171" xr:uid="{6C94D5E8-BD9A-458E-A64B-353CC4D8967E}"/>
    <cellStyle name="Standard 6 2 2 2 2 6 3 4" xfId="13168" xr:uid="{F12E4D79-F8E6-44C3-BC6F-E4DB112F79B9}"/>
    <cellStyle name="Standard 6 2 2 2 2 6 4" xfId="1211" xr:uid="{00000000-0005-0000-0000-0000C2040000}"/>
    <cellStyle name="Standard 6 2 2 2 2 6 4 2" xfId="1212" xr:uid="{00000000-0005-0000-0000-0000C3040000}"/>
    <cellStyle name="Standard 6 2 2 2 2 6 4 2 2" xfId="1213" xr:uid="{00000000-0005-0000-0000-0000C4040000}"/>
    <cellStyle name="Standard 6 2 2 2 2 6 4 2 2 2" xfId="13174" xr:uid="{8DA6C7EB-E1C3-4D2F-A304-DB77CDA574DA}"/>
    <cellStyle name="Standard 6 2 2 2 2 6 4 2 3" xfId="13173" xr:uid="{B8D9F9A1-EF5F-4146-9092-42F589960E54}"/>
    <cellStyle name="Standard 6 2 2 2 2 6 4 3" xfId="1214" xr:uid="{00000000-0005-0000-0000-0000C5040000}"/>
    <cellStyle name="Standard 6 2 2 2 2 6 4 3 2" xfId="13175" xr:uid="{C9C12DAE-5AC2-4F48-B54C-B0796F84BF9C}"/>
    <cellStyle name="Standard 6 2 2 2 2 6 4 4" xfId="13172" xr:uid="{7511B224-295F-4AEB-9954-15437DC78F8B}"/>
    <cellStyle name="Standard 6 2 2 2 2 6 5" xfId="1215" xr:uid="{00000000-0005-0000-0000-0000C6040000}"/>
    <cellStyle name="Standard 6 2 2 2 2 6 5 2" xfId="1216" xr:uid="{00000000-0005-0000-0000-0000C7040000}"/>
    <cellStyle name="Standard 6 2 2 2 2 6 5 2 2" xfId="1217" xr:uid="{00000000-0005-0000-0000-0000C8040000}"/>
    <cellStyle name="Standard 6 2 2 2 2 6 5 2 2 2" xfId="13178" xr:uid="{71A7880F-56FD-418D-81FB-117AFB7759DF}"/>
    <cellStyle name="Standard 6 2 2 2 2 6 5 2 3" xfId="13177" xr:uid="{E34010B5-2E6D-43E9-8EA4-7904417ECC68}"/>
    <cellStyle name="Standard 6 2 2 2 2 6 5 3" xfId="1218" xr:uid="{00000000-0005-0000-0000-0000C9040000}"/>
    <cellStyle name="Standard 6 2 2 2 2 6 5 3 2" xfId="13179" xr:uid="{A94F2730-AF1E-4813-A10B-72B073D71010}"/>
    <cellStyle name="Standard 6 2 2 2 2 6 5 4" xfId="13176" xr:uid="{1CF3BC6D-6F9A-4659-9104-2C41F70455B2}"/>
    <cellStyle name="Standard 6 2 2 2 2 6 6" xfId="1219" xr:uid="{00000000-0005-0000-0000-0000CA040000}"/>
    <cellStyle name="Standard 6 2 2 2 2 6 6 2" xfId="1220" xr:uid="{00000000-0005-0000-0000-0000CB040000}"/>
    <cellStyle name="Standard 6 2 2 2 2 6 6 2 2" xfId="1221" xr:uid="{00000000-0005-0000-0000-0000CC040000}"/>
    <cellStyle name="Standard 6 2 2 2 2 6 6 2 2 2" xfId="13182" xr:uid="{FD210D91-491C-4328-8482-970E03D3983B}"/>
    <cellStyle name="Standard 6 2 2 2 2 6 6 2 3" xfId="13181" xr:uid="{3778B4C8-8116-435C-9A7A-CDD98156F913}"/>
    <cellStyle name="Standard 6 2 2 2 2 6 6 3" xfId="1222" xr:uid="{00000000-0005-0000-0000-0000CD040000}"/>
    <cellStyle name="Standard 6 2 2 2 2 6 6 3 2" xfId="13183" xr:uid="{A84F9A7D-4D0D-4675-BB29-A10148FD8327}"/>
    <cellStyle name="Standard 6 2 2 2 2 6 6 4" xfId="13180" xr:uid="{22853DE3-42B3-4167-9F97-59208EEC37EA}"/>
    <cellStyle name="Standard 6 2 2 2 2 6 7" xfId="1223" xr:uid="{00000000-0005-0000-0000-0000CE040000}"/>
    <cellStyle name="Standard 6 2 2 2 2 6 7 2" xfId="1224" xr:uid="{00000000-0005-0000-0000-0000CF040000}"/>
    <cellStyle name="Standard 6 2 2 2 2 6 7 2 2" xfId="1225" xr:uid="{00000000-0005-0000-0000-0000D0040000}"/>
    <cellStyle name="Standard 6 2 2 2 2 6 7 2 2 2" xfId="13186" xr:uid="{991BECFD-83BE-4FF1-9BD5-4325661F6BE4}"/>
    <cellStyle name="Standard 6 2 2 2 2 6 7 2 3" xfId="13185" xr:uid="{F430C3C8-1036-470D-B6B9-7DA71632797D}"/>
    <cellStyle name="Standard 6 2 2 2 2 6 7 3" xfId="1226" xr:uid="{00000000-0005-0000-0000-0000D1040000}"/>
    <cellStyle name="Standard 6 2 2 2 2 6 7 3 2" xfId="13187" xr:uid="{82859EAA-5411-49DA-8F9F-6D0BA00A6051}"/>
    <cellStyle name="Standard 6 2 2 2 2 6 7 4" xfId="13184" xr:uid="{17B338BA-4CC3-4778-880A-22AFC52AB102}"/>
    <cellStyle name="Standard 6 2 2 2 2 6 8" xfId="1227" xr:uid="{00000000-0005-0000-0000-0000D2040000}"/>
    <cellStyle name="Standard 6 2 2 2 2 6 8 2" xfId="1228" xr:uid="{00000000-0005-0000-0000-0000D3040000}"/>
    <cellStyle name="Standard 6 2 2 2 2 6 8 2 2" xfId="1229" xr:uid="{00000000-0005-0000-0000-0000D4040000}"/>
    <cellStyle name="Standard 6 2 2 2 2 6 8 2 2 2" xfId="13190" xr:uid="{79AD167D-3153-4F41-B13E-5199552429FE}"/>
    <cellStyle name="Standard 6 2 2 2 2 6 8 2 3" xfId="13189" xr:uid="{DD849E30-CEA2-42E6-9271-32733955CDB9}"/>
    <cellStyle name="Standard 6 2 2 2 2 6 8 3" xfId="1230" xr:uid="{00000000-0005-0000-0000-0000D5040000}"/>
    <cellStyle name="Standard 6 2 2 2 2 6 8 3 2" xfId="13191" xr:uid="{95BFE815-AAF5-4183-9897-434475BE682F}"/>
    <cellStyle name="Standard 6 2 2 2 2 6 8 4" xfId="13188" xr:uid="{FAFC4C3F-C631-477F-B342-47A61434C5F7}"/>
    <cellStyle name="Standard 6 2 2 2 2 6 9" xfId="1231" xr:uid="{00000000-0005-0000-0000-0000D6040000}"/>
    <cellStyle name="Standard 6 2 2 2 2 6 9 2" xfId="1232" xr:uid="{00000000-0005-0000-0000-0000D7040000}"/>
    <cellStyle name="Standard 6 2 2 2 2 6 9 2 2" xfId="13193" xr:uid="{8C45C8C2-0773-4306-A705-4FDE4638EA98}"/>
    <cellStyle name="Standard 6 2 2 2 2 6 9 3" xfId="13192" xr:uid="{ABF57C07-CE19-4984-9FEA-256E3F2D16D8}"/>
    <cellStyle name="Standard 6 2 2 2 2 7" xfId="1233" xr:uid="{00000000-0005-0000-0000-0000D8040000}"/>
    <cellStyle name="Standard 6 2 2 2 2 7 10" xfId="1234" xr:uid="{00000000-0005-0000-0000-0000D9040000}"/>
    <cellStyle name="Standard 6 2 2 2 2 7 10 2" xfId="13195" xr:uid="{FC89778E-9F34-489B-944D-481213EE2097}"/>
    <cellStyle name="Standard 6 2 2 2 2 7 11" xfId="13194" xr:uid="{AC6DAC4E-012C-4BAB-A317-4F2B2B00AFB2}"/>
    <cellStyle name="Standard 6 2 2 2 2 7 2" xfId="1235" xr:uid="{00000000-0005-0000-0000-0000DA040000}"/>
    <cellStyle name="Standard 6 2 2 2 2 7 2 10" xfId="13196" xr:uid="{0BB36967-1DA6-40B2-ABCB-AE313F970CB6}"/>
    <cellStyle name="Standard 6 2 2 2 2 7 2 2" xfId="1236" xr:uid="{00000000-0005-0000-0000-0000DB040000}"/>
    <cellStyle name="Standard 6 2 2 2 2 7 2 2 2" xfId="1237" xr:uid="{00000000-0005-0000-0000-0000DC040000}"/>
    <cellStyle name="Standard 6 2 2 2 2 7 2 2 2 2" xfId="1238" xr:uid="{00000000-0005-0000-0000-0000DD040000}"/>
    <cellStyle name="Standard 6 2 2 2 2 7 2 2 2 2 2" xfId="13199" xr:uid="{120E7EE8-0DD5-4E1C-88A5-2D5DD4EEB028}"/>
    <cellStyle name="Standard 6 2 2 2 2 7 2 2 2 3" xfId="13198" xr:uid="{F197036F-842F-49C1-810A-44999F87CFBA}"/>
    <cellStyle name="Standard 6 2 2 2 2 7 2 2 3" xfId="1239" xr:uid="{00000000-0005-0000-0000-0000DE040000}"/>
    <cellStyle name="Standard 6 2 2 2 2 7 2 2 3 2" xfId="13200" xr:uid="{91C09A7E-0F12-4BAD-B85F-89B958088CC4}"/>
    <cellStyle name="Standard 6 2 2 2 2 7 2 2 4" xfId="13197" xr:uid="{4C0BE490-C0D0-4E37-BBBB-C8408AFA0E95}"/>
    <cellStyle name="Standard 6 2 2 2 2 7 2 3" xfId="1240" xr:uid="{00000000-0005-0000-0000-0000DF040000}"/>
    <cellStyle name="Standard 6 2 2 2 2 7 2 3 2" xfId="1241" xr:uid="{00000000-0005-0000-0000-0000E0040000}"/>
    <cellStyle name="Standard 6 2 2 2 2 7 2 3 2 2" xfId="1242" xr:uid="{00000000-0005-0000-0000-0000E1040000}"/>
    <cellStyle name="Standard 6 2 2 2 2 7 2 3 2 2 2" xfId="13203" xr:uid="{AD6E1B41-A688-4CBE-8EA3-DD8A62D36098}"/>
    <cellStyle name="Standard 6 2 2 2 2 7 2 3 2 3" xfId="13202" xr:uid="{1D596A19-076F-4D95-A2B9-98A7DEBB8BF8}"/>
    <cellStyle name="Standard 6 2 2 2 2 7 2 3 3" xfId="1243" xr:uid="{00000000-0005-0000-0000-0000E2040000}"/>
    <cellStyle name="Standard 6 2 2 2 2 7 2 3 3 2" xfId="13204" xr:uid="{7F8F1893-C352-4620-BA10-6CDEB45DAB55}"/>
    <cellStyle name="Standard 6 2 2 2 2 7 2 3 4" xfId="13201" xr:uid="{DC5B8BAA-2A9B-4DFE-8CB1-49243490113F}"/>
    <cellStyle name="Standard 6 2 2 2 2 7 2 4" xfId="1244" xr:uid="{00000000-0005-0000-0000-0000E3040000}"/>
    <cellStyle name="Standard 6 2 2 2 2 7 2 4 2" xfId="1245" xr:uid="{00000000-0005-0000-0000-0000E4040000}"/>
    <cellStyle name="Standard 6 2 2 2 2 7 2 4 2 2" xfId="1246" xr:uid="{00000000-0005-0000-0000-0000E5040000}"/>
    <cellStyle name="Standard 6 2 2 2 2 7 2 4 2 2 2" xfId="13207" xr:uid="{833D5A70-DADB-460E-A3B8-6A3CC3A36961}"/>
    <cellStyle name="Standard 6 2 2 2 2 7 2 4 2 3" xfId="13206" xr:uid="{E8A4086B-54B2-42E0-955C-D1DE7F28CEBE}"/>
    <cellStyle name="Standard 6 2 2 2 2 7 2 4 3" xfId="1247" xr:uid="{00000000-0005-0000-0000-0000E6040000}"/>
    <cellStyle name="Standard 6 2 2 2 2 7 2 4 3 2" xfId="13208" xr:uid="{41AA4E79-C14B-42C8-AE09-35D0399FF044}"/>
    <cellStyle name="Standard 6 2 2 2 2 7 2 4 4" xfId="13205" xr:uid="{E2493D5D-5A4E-4752-A0E0-C5E755376082}"/>
    <cellStyle name="Standard 6 2 2 2 2 7 2 5" xfId="1248" xr:uid="{00000000-0005-0000-0000-0000E7040000}"/>
    <cellStyle name="Standard 6 2 2 2 2 7 2 5 2" xfId="1249" xr:uid="{00000000-0005-0000-0000-0000E8040000}"/>
    <cellStyle name="Standard 6 2 2 2 2 7 2 5 2 2" xfId="1250" xr:uid="{00000000-0005-0000-0000-0000E9040000}"/>
    <cellStyle name="Standard 6 2 2 2 2 7 2 5 2 2 2" xfId="13211" xr:uid="{6123F50E-1CBE-44F6-B734-075A2287CF55}"/>
    <cellStyle name="Standard 6 2 2 2 2 7 2 5 2 3" xfId="13210" xr:uid="{D612BC1B-E1E0-4C88-A1DA-C8C6F1A6ADF9}"/>
    <cellStyle name="Standard 6 2 2 2 2 7 2 5 3" xfId="1251" xr:uid="{00000000-0005-0000-0000-0000EA040000}"/>
    <cellStyle name="Standard 6 2 2 2 2 7 2 5 3 2" xfId="13212" xr:uid="{1C060A26-32F9-40A3-A09F-7C8BC9F10EFC}"/>
    <cellStyle name="Standard 6 2 2 2 2 7 2 5 4" xfId="13209" xr:uid="{CC734DAA-9FCD-4757-997B-02BBBBA29C97}"/>
    <cellStyle name="Standard 6 2 2 2 2 7 2 6" xfId="1252" xr:uid="{00000000-0005-0000-0000-0000EB040000}"/>
    <cellStyle name="Standard 6 2 2 2 2 7 2 6 2" xfId="1253" xr:uid="{00000000-0005-0000-0000-0000EC040000}"/>
    <cellStyle name="Standard 6 2 2 2 2 7 2 6 2 2" xfId="1254" xr:uid="{00000000-0005-0000-0000-0000ED040000}"/>
    <cellStyle name="Standard 6 2 2 2 2 7 2 6 2 2 2" xfId="13215" xr:uid="{99710A5F-908F-4D31-AE8F-D472C19CF054}"/>
    <cellStyle name="Standard 6 2 2 2 2 7 2 6 2 3" xfId="13214" xr:uid="{1BA11A58-2994-472B-B122-84297C444BB7}"/>
    <cellStyle name="Standard 6 2 2 2 2 7 2 6 3" xfId="1255" xr:uid="{00000000-0005-0000-0000-0000EE040000}"/>
    <cellStyle name="Standard 6 2 2 2 2 7 2 6 3 2" xfId="13216" xr:uid="{1270CA2E-FA02-4299-939F-60A41C44D4A8}"/>
    <cellStyle name="Standard 6 2 2 2 2 7 2 6 4" xfId="13213" xr:uid="{583017DF-4872-46B2-BECD-A8BE4AE4AD58}"/>
    <cellStyle name="Standard 6 2 2 2 2 7 2 7" xfId="1256" xr:uid="{00000000-0005-0000-0000-0000EF040000}"/>
    <cellStyle name="Standard 6 2 2 2 2 7 2 7 2" xfId="1257" xr:uid="{00000000-0005-0000-0000-0000F0040000}"/>
    <cellStyle name="Standard 6 2 2 2 2 7 2 7 2 2" xfId="1258" xr:uid="{00000000-0005-0000-0000-0000F1040000}"/>
    <cellStyle name="Standard 6 2 2 2 2 7 2 7 2 2 2" xfId="13219" xr:uid="{DC1D1C81-0FC2-4EDF-BB9F-C71E529794AA}"/>
    <cellStyle name="Standard 6 2 2 2 2 7 2 7 2 3" xfId="13218" xr:uid="{5841AA1D-C7D3-4A81-902B-51F44F5E9F73}"/>
    <cellStyle name="Standard 6 2 2 2 2 7 2 7 3" xfId="1259" xr:uid="{00000000-0005-0000-0000-0000F2040000}"/>
    <cellStyle name="Standard 6 2 2 2 2 7 2 7 3 2" xfId="13220" xr:uid="{DB58DA77-A3A1-431B-BD8C-C6EE94BBD878}"/>
    <cellStyle name="Standard 6 2 2 2 2 7 2 7 4" xfId="13217" xr:uid="{1F3ABE28-7A28-405D-947A-9F0CEE6F4C55}"/>
    <cellStyle name="Standard 6 2 2 2 2 7 2 8" xfId="1260" xr:uid="{00000000-0005-0000-0000-0000F3040000}"/>
    <cellStyle name="Standard 6 2 2 2 2 7 2 8 2" xfId="1261" xr:uid="{00000000-0005-0000-0000-0000F4040000}"/>
    <cellStyle name="Standard 6 2 2 2 2 7 2 8 2 2" xfId="13222" xr:uid="{084450AB-45B1-4D2F-96E3-820144997AFC}"/>
    <cellStyle name="Standard 6 2 2 2 2 7 2 8 3" xfId="13221" xr:uid="{805E5316-A730-4F99-AF13-BD52627E24B1}"/>
    <cellStyle name="Standard 6 2 2 2 2 7 2 9" xfId="1262" xr:uid="{00000000-0005-0000-0000-0000F5040000}"/>
    <cellStyle name="Standard 6 2 2 2 2 7 2 9 2" xfId="13223" xr:uid="{FA2DB3E5-6052-4F97-AAD1-3510B096AC60}"/>
    <cellStyle name="Standard 6 2 2 2 2 7 3" xfId="1263" xr:uid="{00000000-0005-0000-0000-0000F6040000}"/>
    <cellStyle name="Standard 6 2 2 2 2 7 3 2" xfId="1264" xr:uid="{00000000-0005-0000-0000-0000F7040000}"/>
    <cellStyle name="Standard 6 2 2 2 2 7 3 2 2" xfId="1265" xr:uid="{00000000-0005-0000-0000-0000F8040000}"/>
    <cellStyle name="Standard 6 2 2 2 2 7 3 2 2 2" xfId="13226" xr:uid="{6E359493-9A9D-4CBA-BD30-C074A25422EA}"/>
    <cellStyle name="Standard 6 2 2 2 2 7 3 2 3" xfId="13225" xr:uid="{93B75506-D333-4F01-8631-3DE3C63E1DFA}"/>
    <cellStyle name="Standard 6 2 2 2 2 7 3 3" xfId="1266" xr:uid="{00000000-0005-0000-0000-0000F9040000}"/>
    <cellStyle name="Standard 6 2 2 2 2 7 3 3 2" xfId="13227" xr:uid="{98DE1E0E-D21B-47F9-B45F-BC0A6E25A7F0}"/>
    <cellStyle name="Standard 6 2 2 2 2 7 3 4" xfId="13224" xr:uid="{F3E0877B-F682-4721-8DFC-F3DAA5E76313}"/>
    <cellStyle name="Standard 6 2 2 2 2 7 4" xfId="1267" xr:uid="{00000000-0005-0000-0000-0000FA040000}"/>
    <cellStyle name="Standard 6 2 2 2 2 7 4 2" xfId="1268" xr:uid="{00000000-0005-0000-0000-0000FB040000}"/>
    <cellStyle name="Standard 6 2 2 2 2 7 4 2 2" xfId="1269" xr:uid="{00000000-0005-0000-0000-0000FC040000}"/>
    <cellStyle name="Standard 6 2 2 2 2 7 4 2 2 2" xfId="13230" xr:uid="{4656F0A3-850B-42E4-BFBF-8A6691985DB3}"/>
    <cellStyle name="Standard 6 2 2 2 2 7 4 2 3" xfId="13229" xr:uid="{886EC94C-787F-4FAC-AB9B-BB2DCC71BBAE}"/>
    <cellStyle name="Standard 6 2 2 2 2 7 4 3" xfId="1270" xr:uid="{00000000-0005-0000-0000-0000FD040000}"/>
    <cellStyle name="Standard 6 2 2 2 2 7 4 3 2" xfId="13231" xr:uid="{8869E630-372A-429A-BF3D-06F250E98C71}"/>
    <cellStyle name="Standard 6 2 2 2 2 7 4 4" xfId="13228" xr:uid="{52016F00-A039-49BE-B18B-F9552F669E83}"/>
    <cellStyle name="Standard 6 2 2 2 2 7 5" xfId="1271" xr:uid="{00000000-0005-0000-0000-0000FE040000}"/>
    <cellStyle name="Standard 6 2 2 2 2 7 5 2" xfId="1272" xr:uid="{00000000-0005-0000-0000-0000FF040000}"/>
    <cellStyle name="Standard 6 2 2 2 2 7 5 2 2" xfId="1273" xr:uid="{00000000-0005-0000-0000-000000050000}"/>
    <cellStyle name="Standard 6 2 2 2 2 7 5 2 2 2" xfId="13234" xr:uid="{F523F341-87F4-4AB5-9D2D-E025D5AD613E}"/>
    <cellStyle name="Standard 6 2 2 2 2 7 5 2 3" xfId="13233" xr:uid="{76F47C27-3478-4E3F-AC9B-810B10D6E773}"/>
    <cellStyle name="Standard 6 2 2 2 2 7 5 3" xfId="1274" xr:uid="{00000000-0005-0000-0000-000001050000}"/>
    <cellStyle name="Standard 6 2 2 2 2 7 5 3 2" xfId="13235" xr:uid="{AECCB7BD-F818-4562-AA41-D8112B2DA3C8}"/>
    <cellStyle name="Standard 6 2 2 2 2 7 5 4" xfId="13232" xr:uid="{EA445592-4A88-4460-A3C5-61DC280A37DC}"/>
    <cellStyle name="Standard 6 2 2 2 2 7 6" xfId="1275" xr:uid="{00000000-0005-0000-0000-000002050000}"/>
    <cellStyle name="Standard 6 2 2 2 2 7 6 2" xfId="1276" xr:uid="{00000000-0005-0000-0000-000003050000}"/>
    <cellStyle name="Standard 6 2 2 2 2 7 6 2 2" xfId="1277" xr:uid="{00000000-0005-0000-0000-000004050000}"/>
    <cellStyle name="Standard 6 2 2 2 2 7 6 2 2 2" xfId="13238" xr:uid="{FF88D194-446F-412E-BB3E-10D69A665197}"/>
    <cellStyle name="Standard 6 2 2 2 2 7 6 2 3" xfId="13237" xr:uid="{7FF9C8A3-9AC2-40E1-A424-3E8821145E27}"/>
    <cellStyle name="Standard 6 2 2 2 2 7 6 3" xfId="1278" xr:uid="{00000000-0005-0000-0000-000005050000}"/>
    <cellStyle name="Standard 6 2 2 2 2 7 6 3 2" xfId="13239" xr:uid="{40CF8D6C-0D49-41FD-9F1E-1647E468D595}"/>
    <cellStyle name="Standard 6 2 2 2 2 7 6 4" xfId="13236" xr:uid="{B4C679A4-212C-43CE-AFAA-80625B2234EA}"/>
    <cellStyle name="Standard 6 2 2 2 2 7 7" xfId="1279" xr:uid="{00000000-0005-0000-0000-000006050000}"/>
    <cellStyle name="Standard 6 2 2 2 2 7 7 2" xfId="1280" xr:uid="{00000000-0005-0000-0000-000007050000}"/>
    <cellStyle name="Standard 6 2 2 2 2 7 7 2 2" xfId="1281" xr:uid="{00000000-0005-0000-0000-000008050000}"/>
    <cellStyle name="Standard 6 2 2 2 2 7 7 2 2 2" xfId="13242" xr:uid="{57C44352-E7E8-493C-B285-2E048425783D}"/>
    <cellStyle name="Standard 6 2 2 2 2 7 7 2 3" xfId="13241" xr:uid="{72A870D0-8079-4624-92F3-137760E3C0AA}"/>
    <cellStyle name="Standard 6 2 2 2 2 7 7 3" xfId="1282" xr:uid="{00000000-0005-0000-0000-000009050000}"/>
    <cellStyle name="Standard 6 2 2 2 2 7 7 3 2" xfId="13243" xr:uid="{A7AEA0AF-5957-420E-8842-560BAF6C82FB}"/>
    <cellStyle name="Standard 6 2 2 2 2 7 7 4" xfId="13240" xr:uid="{3A621FDC-7BAE-40A2-A402-28BCC4FE31F0}"/>
    <cellStyle name="Standard 6 2 2 2 2 7 8" xfId="1283" xr:uid="{00000000-0005-0000-0000-00000A050000}"/>
    <cellStyle name="Standard 6 2 2 2 2 7 8 2" xfId="1284" xr:uid="{00000000-0005-0000-0000-00000B050000}"/>
    <cellStyle name="Standard 6 2 2 2 2 7 8 2 2" xfId="1285" xr:uid="{00000000-0005-0000-0000-00000C050000}"/>
    <cellStyle name="Standard 6 2 2 2 2 7 8 2 2 2" xfId="13246" xr:uid="{C921927C-3751-40A2-B0B7-F1970FEF3ADF}"/>
    <cellStyle name="Standard 6 2 2 2 2 7 8 2 3" xfId="13245" xr:uid="{54C46D9A-9B5E-4935-8F1E-D101212CFF60}"/>
    <cellStyle name="Standard 6 2 2 2 2 7 8 3" xfId="1286" xr:uid="{00000000-0005-0000-0000-00000D050000}"/>
    <cellStyle name="Standard 6 2 2 2 2 7 8 3 2" xfId="13247" xr:uid="{6B3117DA-4DC4-4044-8BF5-5006816802D1}"/>
    <cellStyle name="Standard 6 2 2 2 2 7 8 4" xfId="13244" xr:uid="{7A8E18F1-2F0C-4ACA-BF27-0426CBD09339}"/>
    <cellStyle name="Standard 6 2 2 2 2 7 9" xfId="1287" xr:uid="{00000000-0005-0000-0000-00000E050000}"/>
    <cellStyle name="Standard 6 2 2 2 2 7 9 2" xfId="1288" xr:uid="{00000000-0005-0000-0000-00000F050000}"/>
    <cellStyle name="Standard 6 2 2 2 2 7 9 2 2" xfId="13249" xr:uid="{E62FA85F-6D5E-4B42-9CE2-734184379816}"/>
    <cellStyle name="Standard 6 2 2 2 2 7 9 3" xfId="13248" xr:uid="{8D643E92-4855-4016-B29E-477AEEBDBB68}"/>
    <cellStyle name="Standard 6 2 2 2 2 8" xfId="1289" xr:uid="{00000000-0005-0000-0000-000010050000}"/>
    <cellStyle name="Standard 6 2 2 2 2 8 10" xfId="13250" xr:uid="{656921CB-6C83-4DE5-95F5-EAF6BD639846}"/>
    <cellStyle name="Standard 6 2 2 2 2 8 2" xfId="1290" xr:uid="{00000000-0005-0000-0000-000011050000}"/>
    <cellStyle name="Standard 6 2 2 2 2 8 2 2" xfId="1291" xr:uid="{00000000-0005-0000-0000-000012050000}"/>
    <cellStyle name="Standard 6 2 2 2 2 8 2 2 2" xfId="1292" xr:uid="{00000000-0005-0000-0000-000013050000}"/>
    <cellStyle name="Standard 6 2 2 2 2 8 2 2 2 2" xfId="13253" xr:uid="{78FBAFC1-4659-4D8E-A922-E2EE1906FD1E}"/>
    <cellStyle name="Standard 6 2 2 2 2 8 2 2 3" xfId="13252" xr:uid="{35CB5CB2-1536-434F-9751-1D4BF5C44AFF}"/>
    <cellStyle name="Standard 6 2 2 2 2 8 2 3" xfId="1293" xr:uid="{00000000-0005-0000-0000-000014050000}"/>
    <cellStyle name="Standard 6 2 2 2 2 8 2 3 2" xfId="13254" xr:uid="{F3E8891A-3351-48B6-9661-2C4B73B26DE9}"/>
    <cellStyle name="Standard 6 2 2 2 2 8 2 4" xfId="13251" xr:uid="{A9FF37F7-79BA-4B5E-86C5-E215DA0276B0}"/>
    <cellStyle name="Standard 6 2 2 2 2 8 3" xfId="1294" xr:uid="{00000000-0005-0000-0000-000015050000}"/>
    <cellStyle name="Standard 6 2 2 2 2 8 3 2" xfId="1295" xr:uid="{00000000-0005-0000-0000-000016050000}"/>
    <cellStyle name="Standard 6 2 2 2 2 8 3 2 2" xfId="1296" xr:uid="{00000000-0005-0000-0000-000017050000}"/>
    <cellStyle name="Standard 6 2 2 2 2 8 3 2 2 2" xfId="13257" xr:uid="{3C8B9007-3EF3-4022-BD01-A959AD1082A7}"/>
    <cellStyle name="Standard 6 2 2 2 2 8 3 2 3" xfId="13256" xr:uid="{70CC0717-2965-4211-A1E3-5DA80D2AD949}"/>
    <cellStyle name="Standard 6 2 2 2 2 8 3 3" xfId="1297" xr:uid="{00000000-0005-0000-0000-000018050000}"/>
    <cellStyle name="Standard 6 2 2 2 2 8 3 3 2" xfId="13258" xr:uid="{D8B990A3-BEA0-47DA-A8B8-26355E51AE4A}"/>
    <cellStyle name="Standard 6 2 2 2 2 8 3 4" xfId="13255" xr:uid="{B1BB647E-F5E1-4767-8D44-A97E73E1E7DC}"/>
    <cellStyle name="Standard 6 2 2 2 2 8 4" xfId="1298" xr:uid="{00000000-0005-0000-0000-000019050000}"/>
    <cellStyle name="Standard 6 2 2 2 2 8 4 2" xfId="1299" xr:uid="{00000000-0005-0000-0000-00001A050000}"/>
    <cellStyle name="Standard 6 2 2 2 2 8 4 2 2" xfId="1300" xr:uid="{00000000-0005-0000-0000-00001B050000}"/>
    <cellStyle name="Standard 6 2 2 2 2 8 4 2 2 2" xfId="13261" xr:uid="{FA3B920D-5E12-441F-BE50-B44FDCE14C34}"/>
    <cellStyle name="Standard 6 2 2 2 2 8 4 2 3" xfId="13260" xr:uid="{1F733C89-A3E0-4A12-A766-A981666F15FF}"/>
    <cellStyle name="Standard 6 2 2 2 2 8 4 3" xfId="1301" xr:uid="{00000000-0005-0000-0000-00001C050000}"/>
    <cellStyle name="Standard 6 2 2 2 2 8 4 3 2" xfId="13262" xr:uid="{20488F76-11AC-4A65-A124-14341B0BAC41}"/>
    <cellStyle name="Standard 6 2 2 2 2 8 4 4" xfId="13259" xr:uid="{DAE273C9-91C2-44D1-BC26-1E96D9A45FAC}"/>
    <cellStyle name="Standard 6 2 2 2 2 8 5" xfId="1302" xr:uid="{00000000-0005-0000-0000-00001D050000}"/>
    <cellStyle name="Standard 6 2 2 2 2 8 5 2" xfId="1303" xr:uid="{00000000-0005-0000-0000-00001E050000}"/>
    <cellStyle name="Standard 6 2 2 2 2 8 5 2 2" xfId="1304" xr:uid="{00000000-0005-0000-0000-00001F050000}"/>
    <cellStyle name="Standard 6 2 2 2 2 8 5 2 2 2" xfId="13265" xr:uid="{0BCA722A-9755-4615-81F5-CDD7AF685E8B}"/>
    <cellStyle name="Standard 6 2 2 2 2 8 5 2 3" xfId="13264" xr:uid="{54DF4C06-04AD-4463-B264-C49A2429AE49}"/>
    <cellStyle name="Standard 6 2 2 2 2 8 5 3" xfId="1305" xr:uid="{00000000-0005-0000-0000-000020050000}"/>
    <cellStyle name="Standard 6 2 2 2 2 8 5 3 2" xfId="13266" xr:uid="{93C0A562-6A86-4B48-B824-D82D66D78232}"/>
    <cellStyle name="Standard 6 2 2 2 2 8 5 4" xfId="13263" xr:uid="{834DBD41-6171-4DCD-80DB-43449FF0C0BD}"/>
    <cellStyle name="Standard 6 2 2 2 2 8 6" xfId="1306" xr:uid="{00000000-0005-0000-0000-000021050000}"/>
    <cellStyle name="Standard 6 2 2 2 2 8 6 2" xfId="1307" xr:uid="{00000000-0005-0000-0000-000022050000}"/>
    <cellStyle name="Standard 6 2 2 2 2 8 6 2 2" xfId="1308" xr:uid="{00000000-0005-0000-0000-000023050000}"/>
    <cellStyle name="Standard 6 2 2 2 2 8 6 2 2 2" xfId="13269" xr:uid="{102F8E0B-FC9F-450E-BF51-5D09CA22E2AE}"/>
    <cellStyle name="Standard 6 2 2 2 2 8 6 2 3" xfId="13268" xr:uid="{D5C17BBF-8D26-4122-909D-23F40C15C52D}"/>
    <cellStyle name="Standard 6 2 2 2 2 8 6 3" xfId="1309" xr:uid="{00000000-0005-0000-0000-000024050000}"/>
    <cellStyle name="Standard 6 2 2 2 2 8 6 3 2" xfId="13270" xr:uid="{C0A5DC33-C379-4707-A608-F4EC3B33DBBB}"/>
    <cellStyle name="Standard 6 2 2 2 2 8 6 4" xfId="13267" xr:uid="{0215A7F0-A950-40C6-B5E6-BE3B0E0FBA13}"/>
    <cellStyle name="Standard 6 2 2 2 2 8 7" xfId="1310" xr:uid="{00000000-0005-0000-0000-000025050000}"/>
    <cellStyle name="Standard 6 2 2 2 2 8 7 2" xfId="1311" xr:uid="{00000000-0005-0000-0000-000026050000}"/>
    <cellStyle name="Standard 6 2 2 2 2 8 7 2 2" xfId="1312" xr:uid="{00000000-0005-0000-0000-000027050000}"/>
    <cellStyle name="Standard 6 2 2 2 2 8 7 2 2 2" xfId="13273" xr:uid="{45739FD9-4BC1-4476-A80D-01C7DE894438}"/>
    <cellStyle name="Standard 6 2 2 2 2 8 7 2 3" xfId="13272" xr:uid="{18F7BE7C-E48F-4E24-B7EE-306AF2C079D8}"/>
    <cellStyle name="Standard 6 2 2 2 2 8 7 3" xfId="1313" xr:uid="{00000000-0005-0000-0000-000028050000}"/>
    <cellStyle name="Standard 6 2 2 2 2 8 7 3 2" xfId="13274" xr:uid="{63BB332A-610B-40B6-B816-383469AD58E1}"/>
    <cellStyle name="Standard 6 2 2 2 2 8 7 4" xfId="13271" xr:uid="{B05878F4-45B1-48C9-9A4D-564FD2B4F20A}"/>
    <cellStyle name="Standard 6 2 2 2 2 8 8" xfId="1314" xr:uid="{00000000-0005-0000-0000-000029050000}"/>
    <cellStyle name="Standard 6 2 2 2 2 8 8 2" xfId="1315" xr:uid="{00000000-0005-0000-0000-00002A050000}"/>
    <cellStyle name="Standard 6 2 2 2 2 8 8 2 2" xfId="13276" xr:uid="{F372B70C-D6DD-4A1B-A913-9F640535B0EF}"/>
    <cellStyle name="Standard 6 2 2 2 2 8 8 3" xfId="13275" xr:uid="{DEFBA060-19DB-4CBB-B739-829C7A333091}"/>
    <cellStyle name="Standard 6 2 2 2 2 8 9" xfId="1316" xr:uid="{00000000-0005-0000-0000-00002B050000}"/>
    <cellStyle name="Standard 6 2 2 2 2 8 9 2" xfId="13277" xr:uid="{F99F7F59-C39C-42BF-A776-90027585261A}"/>
    <cellStyle name="Standard 6 2 2 2 2 9" xfId="1317" xr:uid="{00000000-0005-0000-0000-00002C050000}"/>
    <cellStyle name="Standard 6 2 2 2 2 9 2" xfId="1318" xr:uid="{00000000-0005-0000-0000-00002D050000}"/>
    <cellStyle name="Standard 6 2 2 2 2 9 2 2" xfId="1319" xr:uid="{00000000-0005-0000-0000-00002E050000}"/>
    <cellStyle name="Standard 6 2 2 2 2 9 2 2 2" xfId="1320" xr:uid="{00000000-0005-0000-0000-00002F050000}"/>
    <cellStyle name="Standard 6 2 2 2 2 9 2 2 2 2" xfId="13281" xr:uid="{6587A3A3-60FD-45E4-9FFB-31E156A78394}"/>
    <cellStyle name="Standard 6 2 2 2 2 9 2 2 3" xfId="13280" xr:uid="{73DE994B-B634-467D-80E5-8AE43D9A5CCF}"/>
    <cellStyle name="Standard 6 2 2 2 2 9 2 3" xfId="1321" xr:uid="{00000000-0005-0000-0000-000030050000}"/>
    <cellStyle name="Standard 6 2 2 2 2 9 2 3 2" xfId="13282" xr:uid="{5DB65B40-EB98-47C7-9874-B374EBEF9A7A}"/>
    <cellStyle name="Standard 6 2 2 2 2 9 2 4" xfId="13279" xr:uid="{22F997E7-0A19-49EA-B604-E5764D6955F6}"/>
    <cellStyle name="Standard 6 2 2 2 2 9 3" xfId="1322" xr:uid="{00000000-0005-0000-0000-000031050000}"/>
    <cellStyle name="Standard 6 2 2 2 2 9 3 2" xfId="1323" xr:uid="{00000000-0005-0000-0000-000032050000}"/>
    <cellStyle name="Standard 6 2 2 2 2 9 3 2 2" xfId="1324" xr:uid="{00000000-0005-0000-0000-000033050000}"/>
    <cellStyle name="Standard 6 2 2 2 2 9 3 2 2 2" xfId="13285" xr:uid="{3084292D-E0CC-4357-A142-0BC918423B1B}"/>
    <cellStyle name="Standard 6 2 2 2 2 9 3 2 3" xfId="13284" xr:uid="{51C42727-6EB6-47DD-94FB-E5E327871245}"/>
    <cellStyle name="Standard 6 2 2 2 2 9 3 3" xfId="1325" xr:uid="{00000000-0005-0000-0000-000034050000}"/>
    <cellStyle name="Standard 6 2 2 2 2 9 3 3 2" xfId="13286" xr:uid="{EB6CC0F0-4A67-4326-AA2C-DD991093E84F}"/>
    <cellStyle name="Standard 6 2 2 2 2 9 3 4" xfId="13283" xr:uid="{B58DC6BD-F044-4F1E-8DFC-4F2A7D596E0B}"/>
    <cellStyle name="Standard 6 2 2 2 2 9 4" xfId="1326" xr:uid="{00000000-0005-0000-0000-000035050000}"/>
    <cellStyle name="Standard 6 2 2 2 2 9 4 2" xfId="1327" xr:uid="{00000000-0005-0000-0000-000036050000}"/>
    <cellStyle name="Standard 6 2 2 2 2 9 4 2 2" xfId="1328" xr:uid="{00000000-0005-0000-0000-000037050000}"/>
    <cellStyle name="Standard 6 2 2 2 2 9 4 2 2 2" xfId="13289" xr:uid="{A7EB97D2-2CBA-4B4C-860D-79E2A84C805E}"/>
    <cellStyle name="Standard 6 2 2 2 2 9 4 2 3" xfId="13288" xr:uid="{790E77A0-F73F-4056-AFE0-904550FFF816}"/>
    <cellStyle name="Standard 6 2 2 2 2 9 4 3" xfId="1329" xr:uid="{00000000-0005-0000-0000-000038050000}"/>
    <cellStyle name="Standard 6 2 2 2 2 9 4 3 2" xfId="13290" xr:uid="{D7EEE3A6-CC07-49D9-BF0D-6C69F0699D21}"/>
    <cellStyle name="Standard 6 2 2 2 2 9 4 4" xfId="13287" xr:uid="{655C6BD1-0B99-4FC4-BE85-BEDA1A17B79E}"/>
    <cellStyle name="Standard 6 2 2 2 2 9 5" xfId="1330" xr:uid="{00000000-0005-0000-0000-000039050000}"/>
    <cellStyle name="Standard 6 2 2 2 2 9 5 2" xfId="1331" xr:uid="{00000000-0005-0000-0000-00003A050000}"/>
    <cellStyle name="Standard 6 2 2 2 2 9 5 2 2" xfId="1332" xr:uid="{00000000-0005-0000-0000-00003B050000}"/>
    <cellStyle name="Standard 6 2 2 2 2 9 5 2 2 2" xfId="13293" xr:uid="{2A934DE2-2305-4AAB-85F0-F85E8FB547FB}"/>
    <cellStyle name="Standard 6 2 2 2 2 9 5 2 3" xfId="13292" xr:uid="{8DB5204B-E7B0-4E3F-BD41-A0F656B463FB}"/>
    <cellStyle name="Standard 6 2 2 2 2 9 5 3" xfId="1333" xr:uid="{00000000-0005-0000-0000-00003C050000}"/>
    <cellStyle name="Standard 6 2 2 2 2 9 5 3 2" xfId="13294" xr:uid="{BDFF3281-967F-44D8-9CB6-630B2E34FCDF}"/>
    <cellStyle name="Standard 6 2 2 2 2 9 5 4" xfId="13291" xr:uid="{B56888A7-3A6C-4F19-B122-D33016CA0B60}"/>
    <cellStyle name="Standard 6 2 2 2 2 9 6" xfId="1334" xr:uid="{00000000-0005-0000-0000-00003D050000}"/>
    <cellStyle name="Standard 6 2 2 2 2 9 6 2" xfId="1335" xr:uid="{00000000-0005-0000-0000-00003E050000}"/>
    <cellStyle name="Standard 6 2 2 2 2 9 6 2 2" xfId="1336" xr:uid="{00000000-0005-0000-0000-00003F050000}"/>
    <cellStyle name="Standard 6 2 2 2 2 9 6 2 2 2" xfId="13297" xr:uid="{00AF43BB-6CA1-4A8D-B59E-AA0280DA5933}"/>
    <cellStyle name="Standard 6 2 2 2 2 9 6 2 3" xfId="13296" xr:uid="{85470FC7-8959-4320-832B-F8CE13F9EFAB}"/>
    <cellStyle name="Standard 6 2 2 2 2 9 6 3" xfId="1337" xr:uid="{00000000-0005-0000-0000-000040050000}"/>
    <cellStyle name="Standard 6 2 2 2 2 9 6 3 2" xfId="13298" xr:uid="{C84BA4F3-8C25-4ABB-9944-039D12FF0E9D}"/>
    <cellStyle name="Standard 6 2 2 2 2 9 6 4" xfId="13295" xr:uid="{8391F22D-49C9-4C3E-AEF3-0318F17045A9}"/>
    <cellStyle name="Standard 6 2 2 2 2 9 7" xfId="1338" xr:uid="{00000000-0005-0000-0000-000041050000}"/>
    <cellStyle name="Standard 6 2 2 2 2 9 7 2" xfId="1339" xr:uid="{00000000-0005-0000-0000-000042050000}"/>
    <cellStyle name="Standard 6 2 2 2 2 9 7 2 2" xfId="13300" xr:uid="{AEC28AE4-BA09-479C-893F-87A58BE46D07}"/>
    <cellStyle name="Standard 6 2 2 2 2 9 7 3" xfId="13299" xr:uid="{49D05178-ADEE-4BC0-93E5-070F8FF44D20}"/>
    <cellStyle name="Standard 6 2 2 2 2 9 8" xfId="1340" xr:uid="{00000000-0005-0000-0000-000043050000}"/>
    <cellStyle name="Standard 6 2 2 2 2 9 8 2" xfId="13301" xr:uid="{E04D244A-D475-4971-A5F3-07F44714567F}"/>
    <cellStyle name="Standard 6 2 2 2 2 9 9" xfId="13278" xr:uid="{F3F59609-36C9-4C31-A072-83ECBBCC6F18}"/>
    <cellStyle name="Standard 6 2 2 2 20" xfId="1341" xr:uid="{00000000-0005-0000-0000-000044050000}"/>
    <cellStyle name="Standard 6 2 2 2 20 2" xfId="1342" xr:uid="{00000000-0005-0000-0000-000045050000}"/>
    <cellStyle name="Standard 6 2 2 2 20 2 2" xfId="1343" xr:uid="{00000000-0005-0000-0000-000046050000}"/>
    <cellStyle name="Standard 6 2 2 2 20 2 2 2" xfId="13304" xr:uid="{3A0E1B4C-1660-4C55-AC26-BAD41118EA91}"/>
    <cellStyle name="Standard 6 2 2 2 20 2 3" xfId="13303" xr:uid="{07042A61-EF83-4F8B-92B6-2D6A4EE2F1DA}"/>
    <cellStyle name="Standard 6 2 2 2 20 3" xfId="1344" xr:uid="{00000000-0005-0000-0000-000047050000}"/>
    <cellStyle name="Standard 6 2 2 2 20 3 2" xfId="13305" xr:uid="{A498B4F8-1E78-4658-9CF3-323E2148B5C9}"/>
    <cellStyle name="Standard 6 2 2 2 20 4" xfId="13302" xr:uid="{BEBBA0FF-9E48-4ABE-8880-7CBA23B45F73}"/>
    <cellStyle name="Standard 6 2 2 2 21" xfId="1345" xr:uid="{00000000-0005-0000-0000-000048050000}"/>
    <cellStyle name="Standard 6 2 2 2 21 2" xfId="1346" xr:uid="{00000000-0005-0000-0000-000049050000}"/>
    <cellStyle name="Standard 6 2 2 2 21 2 2" xfId="1347" xr:uid="{00000000-0005-0000-0000-00004A050000}"/>
    <cellStyle name="Standard 6 2 2 2 21 2 2 2" xfId="13308" xr:uid="{7233E304-158B-4EA8-B48E-5E8190AB197F}"/>
    <cellStyle name="Standard 6 2 2 2 21 2 3" xfId="13307" xr:uid="{FBAF1A32-A51C-4E23-A934-B8AF32FCE6FF}"/>
    <cellStyle name="Standard 6 2 2 2 21 3" xfId="1348" xr:uid="{00000000-0005-0000-0000-00004B050000}"/>
    <cellStyle name="Standard 6 2 2 2 21 3 2" xfId="13309" xr:uid="{D97764E4-BEA8-4F36-BABA-A21846272580}"/>
    <cellStyle name="Standard 6 2 2 2 21 4" xfId="13306" xr:uid="{D4CE5EB3-304D-41DF-9A72-DB8370D0C8F0}"/>
    <cellStyle name="Standard 6 2 2 2 22" xfId="1349" xr:uid="{00000000-0005-0000-0000-00004C050000}"/>
    <cellStyle name="Standard 6 2 2 2 22 2" xfId="1350" xr:uid="{00000000-0005-0000-0000-00004D050000}"/>
    <cellStyle name="Standard 6 2 2 2 22 2 2" xfId="13311" xr:uid="{2694C642-DE8B-4A48-AF0B-2A5B323EA65B}"/>
    <cellStyle name="Standard 6 2 2 2 22 3" xfId="13310" xr:uid="{06F7E6DF-1EC8-43A3-A984-9DB330F62672}"/>
    <cellStyle name="Standard 6 2 2 2 23" xfId="1351" xr:uid="{00000000-0005-0000-0000-00004E050000}"/>
    <cellStyle name="Standard 6 2 2 2 23 2" xfId="13312" xr:uid="{616B6BA6-409C-4481-9CEB-37E89C1C110A}"/>
    <cellStyle name="Standard 6 2 2 2 24" xfId="1352" xr:uid="{00000000-0005-0000-0000-00004F050000}"/>
    <cellStyle name="Standard 6 2 2 2 24 2" xfId="13313" xr:uid="{E0F2F98E-F2B1-443E-81D0-D3D80F8A3B5F}"/>
    <cellStyle name="Standard 6 2 2 2 25" xfId="12728" xr:uid="{917B774E-CC41-4373-AEB6-80469BC76FD5}"/>
    <cellStyle name="Standard 6 2 2 2 3" xfId="1353" xr:uid="{00000000-0005-0000-0000-000050050000}"/>
    <cellStyle name="Standard 6 2 2 2 3 10" xfId="1354" xr:uid="{00000000-0005-0000-0000-000051050000}"/>
    <cellStyle name="Standard 6 2 2 2 3 10 2" xfId="1355" xr:uid="{00000000-0005-0000-0000-000052050000}"/>
    <cellStyle name="Standard 6 2 2 2 3 10 2 2" xfId="1356" xr:uid="{00000000-0005-0000-0000-000053050000}"/>
    <cellStyle name="Standard 6 2 2 2 3 10 2 2 2" xfId="13317" xr:uid="{883C4FA4-ECF2-40FD-AB61-ECB30D6EBD7D}"/>
    <cellStyle name="Standard 6 2 2 2 3 10 2 3" xfId="13316" xr:uid="{C0349E8C-98B1-4C6C-9F04-39BA763F312D}"/>
    <cellStyle name="Standard 6 2 2 2 3 10 3" xfId="1357" xr:uid="{00000000-0005-0000-0000-000054050000}"/>
    <cellStyle name="Standard 6 2 2 2 3 10 3 2" xfId="13318" xr:uid="{88CAA34E-E7CD-47CD-AF60-999C0F24B11C}"/>
    <cellStyle name="Standard 6 2 2 2 3 10 4" xfId="13315" xr:uid="{7FC8EDF7-C958-41F9-A39E-ED6427F4F33F}"/>
    <cellStyle name="Standard 6 2 2 2 3 11" xfId="1358" xr:uid="{00000000-0005-0000-0000-000055050000}"/>
    <cellStyle name="Standard 6 2 2 2 3 11 2" xfId="1359" xr:uid="{00000000-0005-0000-0000-000056050000}"/>
    <cellStyle name="Standard 6 2 2 2 3 11 2 2" xfId="1360" xr:uid="{00000000-0005-0000-0000-000057050000}"/>
    <cellStyle name="Standard 6 2 2 2 3 11 2 2 2" xfId="13321" xr:uid="{718F8B01-663D-447D-9BD0-00ADF3F6DA74}"/>
    <cellStyle name="Standard 6 2 2 2 3 11 2 3" xfId="13320" xr:uid="{6C6B0BAA-FC49-40CC-A6CC-410B1989FFE5}"/>
    <cellStyle name="Standard 6 2 2 2 3 11 3" xfId="1361" xr:uid="{00000000-0005-0000-0000-000058050000}"/>
    <cellStyle name="Standard 6 2 2 2 3 11 3 2" xfId="13322" xr:uid="{F8F6B095-F09D-461A-A11C-B5F37CAD8984}"/>
    <cellStyle name="Standard 6 2 2 2 3 11 4" xfId="13319" xr:uid="{6621C996-4738-4DCC-B347-EA81FAF5492A}"/>
    <cellStyle name="Standard 6 2 2 2 3 12" xfId="1362" xr:uid="{00000000-0005-0000-0000-000059050000}"/>
    <cellStyle name="Standard 6 2 2 2 3 12 2" xfId="1363" xr:uid="{00000000-0005-0000-0000-00005A050000}"/>
    <cellStyle name="Standard 6 2 2 2 3 12 2 2" xfId="1364" xr:uid="{00000000-0005-0000-0000-00005B050000}"/>
    <cellStyle name="Standard 6 2 2 2 3 12 2 2 2" xfId="13325" xr:uid="{51D13F4D-204B-4EB1-BE94-80CA4B961F8B}"/>
    <cellStyle name="Standard 6 2 2 2 3 12 2 3" xfId="13324" xr:uid="{31B5BC01-6196-43B1-A504-EBE20663B264}"/>
    <cellStyle name="Standard 6 2 2 2 3 12 3" xfId="1365" xr:uid="{00000000-0005-0000-0000-00005C050000}"/>
    <cellStyle name="Standard 6 2 2 2 3 12 3 2" xfId="13326" xr:uid="{76CB63CD-D3B7-430C-B898-87291E783A63}"/>
    <cellStyle name="Standard 6 2 2 2 3 12 4" xfId="13323" xr:uid="{2945D332-7DA9-40C8-96D6-EAFDF7676B88}"/>
    <cellStyle name="Standard 6 2 2 2 3 13" xfId="1366" xr:uid="{00000000-0005-0000-0000-00005D050000}"/>
    <cellStyle name="Standard 6 2 2 2 3 13 2" xfId="1367" xr:uid="{00000000-0005-0000-0000-00005E050000}"/>
    <cellStyle name="Standard 6 2 2 2 3 13 2 2" xfId="1368" xr:uid="{00000000-0005-0000-0000-00005F050000}"/>
    <cellStyle name="Standard 6 2 2 2 3 13 2 2 2" xfId="13329" xr:uid="{E71E3C34-3C88-4A1D-8F83-2245BFE89F58}"/>
    <cellStyle name="Standard 6 2 2 2 3 13 2 3" xfId="13328" xr:uid="{F14DADB8-7765-43F0-A4AC-9E62EFD4CF03}"/>
    <cellStyle name="Standard 6 2 2 2 3 13 3" xfId="1369" xr:uid="{00000000-0005-0000-0000-000060050000}"/>
    <cellStyle name="Standard 6 2 2 2 3 13 3 2" xfId="13330" xr:uid="{52074D09-E65C-46F6-BA89-24AA60E3E69D}"/>
    <cellStyle name="Standard 6 2 2 2 3 13 4" xfId="13327" xr:uid="{E9925066-AE49-4ADA-9F79-794000E6346B}"/>
    <cellStyle name="Standard 6 2 2 2 3 14" xfId="1370" xr:uid="{00000000-0005-0000-0000-000061050000}"/>
    <cellStyle name="Standard 6 2 2 2 3 14 2" xfId="1371" xr:uid="{00000000-0005-0000-0000-000062050000}"/>
    <cellStyle name="Standard 6 2 2 2 3 14 2 2" xfId="1372" xr:uid="{00000000-0005-0000-0000-000063050000}"/>
    <cellStyle name="Standard 6 2 2 2 3 14 2 2 2" xfId="13333" xr:uid="{FF014BBB-679B-4DBF-93ED-C9B7A24991A0}"/>
    <cellStyle name="Standard 6 2 2 2 3 14 2 3" xfId="13332" xr:uid="{C5593EDF-1782-40D0-BB9A-E8DCB9CDB686}"/>
    <cellStyle name="Standard 6 2 2 2 3 14 3" xfId="1373" xr:uid="{00000000-0005-0000-0000-000064050000}"/>
    <cellStyle name="Standard 6 2 2 2 3 14 3 2" xfId="13334" xr:uid="{954C79BB-B69C-4347-A45E-7D9327E5A785}"/>
    <cellStyle name="Standard 6 2 2 2 3 14 4" xfId="13331" xr:uid="{93D65267-D22F-4898-B337-F5E994BFD7D8}"/>
    <cellStyle name="Standard 6 2 2 2 3 15" xfId="1374" xr:uid="{00000000-0005-0000-0000-000065050000}"/>
    <cellStyle name="Standard 6 2 2 2 3 15 2" xfId="1375" xr:uid="{00000000-0005-0000-0000-000066050000}"/>
    <cellStyle name="Standard 6 2 2 2 3 15 2 2" xfId="1376" xr:uid="{00000000-0005-0000-0000-000067050000}"/>
    <cellStyle name="Standard 6 2 2 2 3 15 2 2 2" xfId="13337" xr:uid="{BD86897B-AF17-498E-BD6E-94AB2CE64AFC}"/>
    <cellStyle name="Standard 6 2 2 2 3 15 2 3" xfId="13336" xr:uid="{F73577A2-0AEC-41B0-9AE6-E4280E2A4CDA}"/>
    <cellStyle name="Standard 6 2 2 2 3 15 3" xfId="1377" xr:uid="{00000000-0005-0000-0000-000068050000}"/>
    <cellStyle name="Standard 6 2 2 2 3 15 3 2" xfId="13338" xr:uid="{4C0B4906-9DAF-4A51-B04B-21FA8BFBFDD0}"/>
    <cellStyle name="Standard 6 2 2 2 3 15 4" xfId="13335" xr:uid="{CE0FFA55-DC22-4A17-8C8C-EB96EA9C2B5E}"/>
    <cellStyle name="Standard 6 2 2 2 3 16" xfId="1378" xr:uid="{00000000-0005-0000-0000-000069050000}"/>
    <cellStyle name="Standard 6 2 2 2 3 16 2" xfId="1379" xr:uid="{00000000-0005-0000-0000-00006A050000}"/>
    <cellStyle name="Standard 6 2 2 2 3 16 2 2" xfId="1380" xr:uid="{00000000-0005-0000-0000-00006B050000}"/>
    <cellStyle name="Standard 6 2 2 2 3 16 2 2 2" xfId="13341" xr:uid="{BAC43F8C-9554-48F4-AA15-197F46EFE7CD}"/>
    <cellStyle name="Standard 6 2 2 2 3 16 2 3" xfId="13340" xr:uid="{C71F28B5-312C-4B7C-B89D-2DA06BF9BF68}"/>
    <cellStyle name="Standard 6 2 2 2 3 16 3" xfId="1381" xr:uid="{00000000-0005-0000-0000-00006C050000}"/>
    <cellStyle name="Standard 6 2 2 2 3 16 3 2" xfId="13342" xr:uid="{15E0A1AC-57CE-433A-9A74-BD09F79A5CB5}"/>
    <cellStyle name="Standard 6 2 2 2 3 16 4" xfId="13339" xr:uid="{91B63F7C-88DB-46DB-9B66-4C5815538ED4}"/>
    <cellStyle name="Standard 6 2 2 2 3 17" xfId="1382" xr:uid="{00000000-0005-0000-0000-00006D050000}"/>
    <cellStyle name="Standard 6 2 2 2 3 17 2" xfId="1383" xr:uid="{00000000-0005-0000-0000-00006E050000}"/>
    <cellStyle name="Standard 6 2 2 2 3 17 2 2" xfId="1384" xr:uid="{00000000-0005-0000-0000-00006F050000}"/>
    <cellStyle name="Standard 6 2 2 2 3 17 2 2 2" xfId="13345" xr:uid="{99380A61-5162-401D-A5FD-27A1BE5736B3}"/>
    <cellStyle name="Standard 6 2 2 2 3 17 2 3" xfId="13344" xr:uid="{04528589-3606-40CC-829C-E79EB6E40782}"/>
    <cellStyle name="Standard 6 2 2 2 3 17 3" xfId="1385" xr:uid="{00000000-0005-0000-0000-000070050000}"/>
    <cellStyle name="Standard 6 2 2 2 3 17 3 2" xfId="13346" xr:uid="{B4A5092E-E6A5-4A2B-9F7B-513EA020681C}"/>
    <cellStyle name="Standard 6 2 2 2 3 17 4" xfId="13343" xr:uid="{F0C642A2-7B53-4849-A7C6-AA41D03A2F66}"/>
    <cellStyle name="Standard 6 2 2 2 3 18" xfId="1386" xr:uid="{00000000-0005-0000-0000-000071050000}"/>
    <cellStyle name="Standard 6 2 2 2 3 18 2" xfId="1387" xr:uid="{00000000-0005-0000-0000-000072050000}"/>
    <cellStyle name="Standard 6 2 2 2 3 18 2 2" xfId="1388" xr:uid="{00000000-0005-0000-0000-000073050000}"/>
    <cellStyle name="Standard 6 2 2 2 3 18 2 2 2" xfId="13349" xr:uid="{5AC00AEB-2C85-42B2-90F1-E89F5E086023}"/>
    <cellStyle name="Standard 6 2 2 2 3 18 2 3" xfId="13348" xr:uid="{90842A7D-B4D7-4ED9-935D-7714BAFB6971}"/>
    <cellStyle name="Standard 6 2 2 2 3 18 3" xfId="1389" xr:uid="{00000000-0005-0000-0000-000074050000}"/>
    <cellStyle name="Standard 6 2 2 2 3 18 3 2" xfId="13350" xr:uid="{F9E40094-4123-4237-B72B-6C0678A9A6CE}"/>
    <cellStyle name="Standard 6 2 2 2 3 18 4" xfId="13347" xr:uid="{A4F4BDCC-3785-4E34-9850-4859F32D87C9}"/>
    <cellStyle name="Standard 6 2 2 2 3 19" xfId="1390" xr:uid="{00000000-0005-0000-0000-000075050000}"/>
    <cellStyle name="Standard 6 2 2 2 3 19 2" xfId="1391" xr:uid="{00000000-0005-0000-0000-000076050000}"/>
    <cellStyle name="Standard 6 2 2 2 3 19 2 2" xfId="1392" xr:uid="{00000000-0005-0000-0000-000077050000}"/>
    <cellStyle name="Standard 6 2 2 2 3 19 2 2 2" xfId="13353" xr:uid="{F8D71676-5FD3-45E3-BD2F-E95353E487E9}"/>
    <cellStyle name="Standard 6 2 2 2 3 19 2 3" xfId="13352" xr:uid="{8C80CC37-2734-4559-8C01-85538266742B}"/>
    <cellStyle name="Standard 6 2 2 2 3 19 3" xfId="1393" xr:uid="{00000000-0005-0000-0000-000078050000}"/>
    <cellStyle name="Standard 6 2 2 2 3 19 3 2" xfId="13354" xr:uid="{253186DC-518B-48D4-A297-0520890D3F41}"/>
    <cellStyle name="Standard 6 2 2 2 3 19 4" xfId="13351" xr:uid="{C7AE9747-2581-4B0C-9073-CF00DAB453F0}"/>
    <cellStyle name="Standard 6 2 2 2 3 2" xfId="1394" xr:uid="{00000000-0005-0000-0000-000079050000}"/>
    <cellStyle name="Standard 6 2 2 2 3 2 10" xfId="1395" xr:uid="{00000000-0005-0000-0000-00007A050000}"/>
    <cellStyle name="Standard 6 2 2 2 3 2 10 2" xfId="1396" xr:uid="{00000000-0005-0000-0000-00007B050000}"/>
    <cellStyle name="Standard 6 2 2 2 3 2 10 2 2" xfId="13357" xr:uid="{B6714869-AAE8-48FC-8E9C-28985F0B3461}"/>
    <cellStyle name="Standard 6 2 2 2 3 2 10 3" xfId="13356" xr:uid="{1B22864C-6F84-446E-8CC3-1D87BBAEAC81}"/>
    <cellStyle name="Standard 6 2 2 2 3 2 11" xfId="1397" xr:uid="{00000000-0005-0000-0000-00007C050000}"/>
    <cellStyle name="Standard 6 2 2 2 3 2 11 2" xfId="13358" xr:uid="{282A9345-D816-4549-876E-51FD8B1C9475}"/>
    <cellStyle name="Standard 6 2 2 2 3 2 12" xfId="13355" xr:uid="{02B55C96-4042-4528-924C-3D7F1B134635}"/>
    <cellStyle name="Standard 6 2 2 2 3 2 2" xfId="1398" xr:uid="{00000000-0005-0000-0000-00007D050000}"/>
    <cellStyle name="Standard 6 2 2 2 3 2 2 10" xfId="1399" xr:uid="{00000000-0005-0000-0000-00007E050000}"/>
    <cellStyle name="Standard 6 2 2 2 3 2 2 10 2" xfId="13360" xr:uid="{F2C55828-E12D-4692-B290-6ED14ADF6452}"/>
    <cellStyle name="Standard 6 2 2 2 3 2 2 11" xfId="13359" xr:uid="{C1DA2FA1-E1DA-44A9-B00D-4B80728AF22F}"/>
    <cellStyle name="Standard 6 2 2 2 3 2 2 2" xfId="1400" xr:uid="{00000000-0005-0000-0000-00007F050000}"/>
    <cellStyle name="Standard 6 2 2 2 3 2 2 2 10" xfId="13361" xr:uid="{D320CFB9-4861-43A6-A41A-E2442E34DC6F}"/>
    <cellStyle name="Standard 6 2 2 2 3 2 2 2 2" xfId="1401" xr:uid="{00000000-0005-0000-0000-000080050000}"/>
    <cellStyle name="Standard 6 2 2 2 3 2 2 2 2 2" xfId="1402" xr:uid="{00000000-0005-0000-0000-000081050000}"/>
    <cellStyle name="Standard 6 2 2 2 3 2 2 2 2 2 2" xfId="1403" xr:uid="{00000000-0005-0000-0000-000082050000}"/>
    <cellStyle name="Standard 6 2 2 2 3 2 2 2 2 2 2 2" xfId="13364" xr:uid="{344F8B9F-2C95-4195-A217-44DC061F5FF5}"/>
    <cellStyle name="Standard 6 2 2 2 3 2 2 2 2 2 3" xfId="13363" xr:uid="{C9603C7C-0579-41E8-87EF-86522D3536A9}"/>
    <cellStyle name="Standard 6 2 2 2 3 2 2 2 2 3" xfId="1404" xr:uid="{00000000-0005-0000-0000-000083050000}"/>
    <cellStyle name="Standard 6 2 2 2 3 2 2 2 2 3 2" xfId="13365" xr:uid="{A421A31C-02AC-4A5A-B71D-80BC64621157}"/>
    <cellStyle name="Standard 6 2 2 2 3 2 2 2 2 4" xfId="13362" xr:uid="{AAE6F1EE-BE78-4D17-A144-CA16B96B0D34}"/>
    <cellStyle name="Standard 6 2 2 2 3 2 2 2 3" xfId="1405" xr:uid="{00000000-0005-0000-0000-000084050000}"/>
    <cellStyle name="Standard 6 2 2 2 3 2 2 2 3 2" xfId="1406" xr:uid="{00000000-0005-0000-0000-000085050000}"/>
    <cellStyle name="Standard 6 2 2 2 3 2 2 2 3 2 2" xfId="1407" xr:uid="{00000000-0005-0000-0000-000086050000}"/>
    <cellStyle name="Standard 6 2 2 2 3 2 2 2 3 2 2 2" xfId="13368" xr:uid="{F9840DCB-7450-4D6F-B1B1-2D13A6642DE9}"/>
    <cellStyle name="Standard 6 2 2 2 3 2 2 2 3 2 3" xfId="13367" xr:uid="{E10C65DD-1191-4E28-9A97-8AB74C38EF45}"/>
    <cellStyle name="Standard 6 2 2 2 3 2 2 2 3 3" xfId="1408" xr:uid="{00000000-0005-0000-0000-000087050000}"/>
    <cellStyle name="Standard 6 2 2 2 3 2 2 2 3 3 2" xfId="13369" xr:uid="{C8FA1896-532F-41DE-8B9E-5943CE36891E}"/>
    <cellStyle name="Standard 6 2 2 2 3 2 2 2 3 4" xfId="13366" xr:uid="{7ED1EEC0-58BE-481F-825E-E390DFB9BC9A}"/>
    <cellStyle name="Standard 6 2 2 2 3 2 2 2 4" xfId="1409" xr:uid="{00000000-0005-0000-0000-000088050000}"/>
    <cellStyle name="Standard 6 2 2 2 3 2 2 2 4 2" xfId="1410" xr:uid="{00000000-0005-0000-0000-000089050000}"/>
    <cellStyle name="Standard 6 2 2 2 3 2 2 2 4 2 2" xfId="1411" xr:uid="{00000000-0005-0000-0000-00008A050000}"/>
    <cellStyle name="Standard 6 2 2 2 3 2 2 2 4 2 2 2" xfId="13372" xr:uid="{F63141E2-06B4-4C07-B5B4-2291624E2B6A}"/>
    <cellStyle name="Standard 6 2 2 2 3 2 2 2 4 2 3" xfId="13371" xr:uid="{BEC6BB77-64E2-41A1-8293-BCB831079702}"/>
    <cellStyle name="Standard 6 2 2 2 3 2 2 2 4 3" xfId="1412" xr:uid="{00000000-0005-0000-0000-00008B050000}"/>
    <cellStyle name="Standard 6 2 2 2 3 2 2 2 4 3 2" xfId="13373" xr:uid="{EF9EF234-27D5-47DB-A0C5-98A3B6E92A37}"/>
    <cellStyle name="Standard 6 2 2 2 3 2 2 2 4 4" xfId="13370" xr:uid="{A274CDFE-4CEF-4D29-8E43-3114615B432F}"/>
    <cellStyle name="Standard 6 2 2 2 3 2 2 2 5" xfId="1413" xr:uid="{00000000-0005-0000-0000-00008C050000}"/>
    <cellStyle name="Standard 6 2 2 2 3 2 2 2 5 2" xfId="1414" xr:uid="{00000000-0005-0000-0000-00008D050000}"/>
    <cellStyle name="Standard 6 2 2 2 3 2 2 2 5 2 2" xfId="1415" xr:uid="{00000000-0005-0000-0000-00008E050000}"/>
    <cellStyle name="Standard 6 2 2 2 3 2 2 2 5 2 2 2" xfId="13376" xr:uid="{9451BE50-8A14-49F5-8A67-EB9BF14923AA}"/>
    <cellStyle name="Standard 6 2 2 2 3 2 2 2 5 2 3" xfId="13375" xr:uid="{64826A97-3A25-461B-8560-3FAD4BA81CF1}"/>
    <cellStyle name="Standard 6 2 2 2 3 2 2 2 5 3" xfId="1416" xr:uid="{00000000-0005-0000-0000-00008F050000}"/>
    <cellStyle name="Standard 6 2 2 2 3 2 2 2 5 3 2" xfId="13377" xr:uid="{1869EBEC-3FFD-4303-974A-B5BC6C9A22A3}"/>
    <cellStyle name="Standard 6 2 2 2 3 2 2 2 5 4" xfId="13374" xr:uid="{DF0489F6-F5F9-42D5-A88B-39DEF774D65B}"/>
    <cellStyle name="Standard 6 2 2 2 3 2 2 2 6" xfId="1417" xr:uid="{00000000-0005-0000-0000-000090050000}"/>
    <cellStyle name="Standard 6 2 2 2 3 2 2 2 6 2" xfId="1418" xr:uid="{00000000-0005-0000-0000-000091050000}"/>
    <cellStyle name="Standard 6 2 2 2 3 2 2 2 6 2 2" xfId="1419" xr:uid="{00000000-0005-0000-0000-000092050000}"/>
    <cellStyle name="Standard 6 2 2 2 3 2 2 2 6 2 2 2" xfId="13380" xr:uid="{878E032D-274A-4B32-8706-24A9BB22B753}"/>
    <cellStyle name="Standard 6 2 2 2 3 2 2 2 6 2 3" xfId="13379" xr:uid="{CE1B0CA0-A59A-4565-BC4D-181F804665D0}"/>
    <cellStyle name="Standard 6 2 2 2 3 2 2 2 6 3" xfId="1420" xr:uid="{00000000-0005-0000-0000-000093050000}"/>
    <cellStyle name="Standard 6 2 2 2 3 2 2 2 6 3 2" xfId="13381" xr:uid="{3506ECBB-894C-4EB6-9A4D-4B43C2C7692E}"/>
    <cellStyle name="Standard 6 2 2 2 3 2 2 2 6 4" xfId="13378" xr:uid="{C398ECCB-5EE8-43EB-BBD0-0D7703855887}"/>
    <cellStyle name="Standard 6 2 2 2 3 2 2 2 7" xfId="1421" xr:uid="{00000000-0005-0000-0000-000094050000}"/>
    <cellStyle name="Standard 6 2 2 2 3 2 2 2 7 2" xfId="1422" xr:uid="{00000000-0005-0000-0000-000095050000}"/>
    <cellStyle name="Standard 6 2 2 2 3 2 2 2 7 2 2" xfId="1423" xr:uid="{00000000-0005-0000-0000-000096050000}"/>
    <cellStyle name="Standard 6 2 2 2 3 2 2 2 7 2 2 2" xfId="13384" xr:uid="{5CCAF590-184C-426A-9E79-BF98D57D9620}"/>
    <cellStyle name="Standard 6 2 2 2 3 2 2 2 7 2 3" xfId="13383" xr:uid="{43EC574D-C26E-47B2-A9A5-5A6A6680B790}"/>
    <cellStyle name="Standard 6 2 2 2 3 2 2 2 7 3" xfId="1424" xr:uid="{00000000-0005-0000-0000-000097050000}"/>
    <cellStyle name="Standard 6 2 2 2 3 2 2 2 7 3 2" xfId="13385" xr:uid="{D38F9D2C-D8AA-47F2-884D-69A57EEA3DCF}"/>
    <cellStyle name="Standard 6 2 2 2 3 2 2 2 7 4" xfId="13382" xr:uid="{9B3F7C9D-B4DF-416E-845E-A8A46BC6EDA9}"/>
    <cellStyle name="Standard 6 2 2 2 3 2 2 2 8" xfId="1425" xr:uid="{00000000-0005-0000-0000-000098050000}"/>
    <cellStyle name="Standard 6 2 2 2 3 2 2 2 8 2" xfId="1426" xr:uid="{00000000-0005-0000-0000-000099050000}"/>
    <cellStyle name="Standard 6 2 2 2 3 2 2 2 8 2 2" xfId="13387" xr:uid="{1A1B8BF0-F2A8-43F6-8A80-BFAB6F32EFCD}"/>
    <cellStyle name="Standard 6 2 2 2 3 2 2 2 8 3" xfId="13386" xr:uid="{2B06F171-0AF1-402A-9B62-1168310C43C7}"/>
    <cellStyle name="Standard 6 2 2 2 3 2 2 2 9" xfId="1427" xr:uid="{00000000-0005-0000-0000-00009A050000}"/>
    <cellStyle name="Standard 6 2 2 2 3 2 2 2 9 2" xfId="13388" xr:uid="{AE7E6755-E31C-4545-AC00-347E652E2E1C}"/>
    <cellStyle name="Standard 6 2 2 2 3 2 2 3" xfId="1428" xr:uid="{00000000-0005-0000-0000-00009B050000}"/>
    <cellStyle name="Standard 6 2 2 2 3 2 2 3 2" xfId="1429" xr:uid="{00000000-0005-0000-0000-00009C050000}"/>
    <cellStyle name="Standard 6 2 2 2 3 2 2 3 2 2" xfId="1430" xr:uid="{00000000-0005-0000-0000-00009D050000}"/>
    <cellStyle name="Standard 6 2 2 2 3 2 2 3 2 2 2" xfId="13391" xr:uid="{08B400C6-B3CC-4154-9E5E-30F6150ECD4F}"/>
    <cellStyle name="Standard 6 2 2 2 3 2 2 3 2 3" xfId="13390" xr:uid="{DD786890-8BA2-49B5-9E00-D3B708F2375F}"/>
    <cellStyle name="Standard 6 2 2 2 3 2 2 3 3" xfId="1431" xr:uid="{00000000-0005-0000-0000-00009E050000}"/>
    <cellStyle name="Standard 6 2 2 2 3 2 2 3 3 2" xfId="13392" xr:uid="{404DD9B2-0C1D-4CFF-820F-761BD4819647}"/>
    <cellStyle name="Standard 6 2 2 2 3 2 2 3 4" xfId="13389" xr:uid="{3C30D9B7-385A-4C32-9DD6-BDBB26669C43}"/>
    <cellStyle name="Standard 6 2 2 2 3 2 2 4" xfId="1432" xr:uid="{00000000-0005-0000-0000-00009F050000}"/>
    <cellStyle name="Standard 6 2 2 2 3 2 2 4 2" xfId="1433" xr:uid="{00000000-0005-0000-0000-0000A0050000}"/>
    <cellStyle name="Standard 6 2 2 2 3 2 2 4 2 2" xfId="1434" xr:uid="{00000000-0005-0000-0000-0000A1050000}"/>
    <cellStyle name="Standard 6 2 2 2 3 2 2 4 2 2 2" xfId="13395" xr:uid="{590B545B-677A-40C9-AE1C-AB49E37D431D}"/>
    <cellStyle name="Standard 6 2 2 2 3 2 2 4 2 3" xfId="13394" xr:uid="{E349F0D0-00DE-45BD-B17B-3EC475B7B877}"/>
    <cellStyle name="Standard 6 2 2 2 3 2 2 4 3" xfId="1435" xr:uid="{00000000-0005-0000-0000-0000A2050000}"/>
    <cellStyle name="Standard 6 2 2 2 3 2 2 4 3 2" xfId="13396" xr:uid="{541FCA4D-EDE3-4529-8690-BD742A141F3D}"/>
    <cellStyle name="Standard 6 2 2 2 3 2 2 4 4" xfId="13393" xr:uid="{58E31C62-D6C3-416A-B616-64E537811ECB}"/>
    <cellStyle name="Standard 6 2 2 2 3 2 2 5" xfId="1436" xr:uid="{00000000-0005-0000-0000-0000A3050000}"/>
    <cellStyle name="Standard 6 2 2 2 3 2 2 5 2" xfId="1437" xr:uid="{00000000-0005-0000-0000-0000A4050000}"/>
    <cellStyle name="Standard 6 2 2 2 3 2 2 5 2 2" xfId="1438" xr:uid="{00000000-0005-0000-0000-0000A5050000}"/>
    <cellStyle name="Standard 6 2 2 2 3 2 2 5 2 2 2" xfId="13399" xr:uid="{9C3A0CA0-9D42-4850-8B05-37657121F371}"/>
    <cellStyle name="Standard 6 2 2 2 3 2 2 5 2 3" xfId="13398" xr:uid="{44E93A36-2958-4B75-A58D-CA047C1B450C}"/>
    <cellStyle name="Standard 6 2 2 2 3 2 2 5 3" xfId="1439" xr:uid="{00000000-0005-0000-0000-0000A6050000}"/>
    <cellStyle name="Standard 6 2 2 2 3 2 2 5 3 2" xfId="13400" xr:uid="{A867942D-FAAD-4A04-BC9F-637885068158}"/>
    <cellStyle name="Standard 6 2 2 2 3 2 2 5 4" xfId="13397" xr:uid="{774DE0E1-F053-47FB-8FAD-1EB8EFFF6636}"/>
    <cellStyle name="Standard 6 2 2 2 3 2 2 6" xfId="1440" xr:uid="{00000000-0005-0000-0000-0000A7050000}"/>
    <cellStyle name="Standard 6 2 2 2 3 2 2 6 2" xfId="1441" xr:uid="{00000000-0005-0000-0000-0000A8050000}"/>
    <cellStyle name="Standard 6 2 2 2 3 2 2 6 2 2" xfId="1442" xr:uid="{00000000-0005-0000-0000-0000A9050000}"/>
    <cellStyle name="Standard 6 2 2 2 3 2 2 6 2 2 2" xfId="13403" xr:uid="{C76193E1-0E97-4585-8EF4-D8FC4F4756F4}"/>
    <cellStyle name="Standard 6 2 2 2 3 2 2 6 2 3" xfId="13402" xr:uid="{6D126754-D713-4321-A480-E42B18CD464D}"/>
    <cellStyle name="Standard 6 2 2 2 3 2 2 6 3" xfId="1443" xr:uid="{00000000-0005-0000-0000-0000AA050000}"/>
    <cellStyle name="Standard 6 2 2 2 3 2 2 6 3 2" xfId="13404" xr:uid="{D7D622C5-5BB8-4A4B-9C44-903F00AF833F}"/>
    <cellStyle name="Standard 6 2 2 2 3 2 2 6 4" xfId="13401" xr:uid="{67F644AA-8C94-411E-90AB-84F6D16F8364}"/>
    <cellStyle name="Standard 6 2 2 2 3 2 2 7" xfId="1444" xr:uid="{00000000-0005-0000-0000-0000AB050000}"/>
    <cellStyle name="Standard 6 2 2 2 3 2 2 7 2" xfId="1445" xr:uid="{00000000-0005-0000-0000-0000AC050000}"/>
    <cellStyle name="Standard 6 2 2 2 3 2 2 7 2 2" xfId="1446" xr:uid="{00000000-0005-0000-0000-0000AD050000}"/>
    <cellStyle name="Standard 6 2 2 2 3 2 2 7 2 2 2" xfId="13407" xr:uid="{49F6D309-BF27-4F07-86D1-74D1C2018D67}"/>
    <cellStyle name="Standard 6 2 2 2 3 2 2 7 2 3" xfId="13406" xr:uid="{5B4DC8B3-8AC0-4726-AF19-1BA01D65D059}"/>
    <cellStyle name="Standard 6 2 2 2 3 2 2 7 3" xfId="1447" xr:uid="{00000000-0005-0000-0000-0000AE050000}"/>
    <cellStyle name="Standard 6 2 2 2 3 2 2 7 3 2" xfId="13408" xr:uid="{306895BF-2D74-4390-8A93-D54628D18E87}"/>
    <cellStyle name="Standard 6 2 2 2 3 2 2 7 4" xfId="13405" xr:uid="{355AEA03-CD71-4F50-A9E0-EBA2441E9A25}"/>
    <cellStyle name="Standard 6 2 2 2 3 2 2 8" xfId="1448" xr:uid="{00000000-0005-0000-0000-0000AF050000}"/>
    <cellStyle name="Standard 6 2 2 2 3 2 2 8 2" xfId="1449" xr:uid="{00000000-0005-0000-0000-0000B0050000}"/>
    <cellStyle name="Standard 6 2 2 2 3 2 2 8 2 2" xfId="1450" xr:uid="{00000000-0005-0000-0000-0000B1050000}"/>
    <cellStyle name="Standard 6 2 2 2 3 2 2 8 2 2 2" xfId="13411" xr:uid="{2C631FD4-6829-486B-A88A-E8F0A58B61DE}"/>
    <cellStyle name="Standard 6 2 2 2 3 2 2 8 2 3" xfId="13410" xr:uid="{CC08EE59-081D-45C0-A3F7-7CB8E73C9D28}"/>
    <cellStyle name="Standard 6 2 2 2 3 2 2 8 3" xfId="1451" xr:uid="{00000000-0005-0000-0000-0000B2050000}"/>
    <cellStyle name="Standard 6 2 2 2 3 2 2 8 3 2" xfId="13412" xr:uid="{70BA6C45-7CB3-4096-80E4-1AE40934649E}"/>
    <cellStyle name="Standard 6 2 2 2 3 2 2 8 4" xfId="13409" xr:uid="{CD14F104-F866-4B1D-858A-C84BF5FF8C9C}"/>
    <cellStyle name="Standard 6 2 2 2 3 2 2 9" xfId="1452" xr:uid="{00000000-0005-0000-0000-0000B3050000}"/>
    <cellStyle name="Standard 6 2 2 2 3 2 2 9 2" xfId="1453" xr:uid="{00000000-0005-0000-0000-0000B4050000}"/>
    <cellStyle name="Standard 6 2 2 2 3 2 2 9 2 2" xfId="13414" xr:uid="{470E5A90-EA27-4DF5-9D41-EF9C33FF51C9}"/>
    <cellStyle name="Standard 6 2 2 2 3 2 2 9 3" xfId="13413" xr:uid="{ECE3E357-3D81-4998-ADD1-937C011F5876}"/>
    <cellStyle name="Standard 6 2 2 2 3 2 3" xfId="1454" xr:uid="{00000000-0005-0000-0000-0000B5050000}"/>
    <cellStyle name="Standard 6 2 2 2 3 2 3 10" xfId="13415" xr:uid="{3BC5BF35-1847-49F5-9547-0514402344EC}"/>
    <cellStyle name="Standard 6 2 2 2 3 2 3 2" xfId="1455" xr:uid="{00000000-0005-0000-0000-0000B6050000}"/>
    <cellStyle name="Standard 6 2 2 2 3 2 3 2 2" xfId="1456" xr:uid="{00000000-0005-0000-0000-0000B7050000}"/>
    <cellStyle name="Standard 6 2 2 2 3 2 3 2 2 2" xfId="1457" xr:uid="{00000000-0005-0000-0000-0000B8050000}"/>
    <cellStyle name="Standard 6 2 2 2 3 2 3 2 2 2 2" xfId="13418" xr:uid="{614829A3-F630-4643-ADC3-60276A25CD7A}"/>
    <cellStyle name="Standard 6 2 2 2 3 2 3 2 2 3" xfId="13417" xr:uid="{0B46DBF5-8DDF-466A-99FE-2503D3ED1A89}"/>
    <cellStyle name="Standard 6 2 2 2 3 2 3 2 3" xfId="1458" xr:uid="{00000000-0005-0000-0000-0000B9050000}"/>
    <cellStyle name="Standard 6 2 2 2 3 2 3 2 3 2" xfId="13419" xr:uid="{8C5EA32C-C6CC-46F3-A776-EEF5CA65E820}"/>
    <cellStyle name="Standard 6 2 2 2 3 2 3 2 4" xfId="13416" xr:uid="{49F7F091-FB7B-4314-92DD-6D8A0303DD4C}"/>
    <cellStyle name="Standard 6 2 2 2 3 2 3 3" xfId="1459" xr:uid="{00000000-0005-0000-0000-0000BA050000}"/>
    <cellStyle name="Standard 6 2 2 2 3 2 3 3 2" xfId="1460" xr:uid="{00000000-0005-0000-0000-0000BB050000}"/>
    <cellStyle name="Standard 6 2 2 2 3 2 3 3 2 2" xfId="1461" xr:uid="{00000000-0005-0000-0000-0000BC050000}"/>
    <cellStyle name="Standard 6 2 2 2 3 2 3 3 2 2 2" xfId="13422" xr:uid="{541AE2E4-0982-46F2-9949-07A43313448F}"/>
    <cellStyle name="Standard 6 2 2 2 3 2 3 3 2 3" xfId="13421" xr:uid="{219C0C7B-6191-4BB0-B85B-4F439E0DB176}"/>
    <cellStyle name="Standard 6 2 2 2 3 2 3 3 3" xfId="1462" xr:uid="{00000000-0005-0000-0000-0000BD050000}"/>
    <cellStyle name="Standard 6 2 2 2 3 2 3 3 3 2" xfId="13423" xr:uid="{46C79031-D3B7-44AA-9B36-73A1786B26B4}"/>
    <cellStyle name="Standard 6 2 2 2 3 2 3 3 4" xfId="13420" xr:uid="{1BF980F7-BC8D-43E6-B0ED-41D8E602B60B}"/>
    <cellStyle name="Standard 6 2 2 2 3 2 3 4" xfId="1463" xr:uid="{00000000-0005-0000-0000-0000BE050000}"/>
    <cellStyle name="Standard 6 2 2 2 3 2 3 4 2" xfId="1464" xr:uid="{00000000-0005-0000-0000-0000BF050000}"/>
    <cellStyle name="Standard 6 2 2 2 3 2 3 4 2 2" xfId="1465" xr:uid="{00000000-0005-0000-0000-0000C0050000}"/>
    <cellStyle name="Standard 6 2 2 2 3 2 3 4 2 2 2" xfId="13426" xr:uid="{C9B535C7-ACC3-4275-AC30-E4C67A4504C2}"/>
    <cellStyle name="Standard 6 2 2 2 3 2 3 4 2 3" xfId="13425" xr:uid="{29457D83-0E38-488F-AEF4-99C9AA62BB44}"/>
    <cellStyle name="Standard 6 2 2 2 3 2 3 4 3" xfId="1466" xr:uid="{00000000-0005-0000-0000-0000C1050000}"/>
    <cellStyle name="Standard 6 2 2 2 3 2 3 4 3 2" xfId="13427" xr:uid="{6DC73365-E516-4F44-A560-E4DDCB38FFDD}"/>
    <cellStyle name="Standard 6 2 2 2 3 2 3 4 4" xfId="13424" xr:uid="{6906C507-76B3-40FF-B811-C0CFEB7101A6}"/>
    <cellStyle name="Standard 6 2 2 2 3 2 3 5" xfId="1467" xr:uid="{00000000-0005-0000-0000-0000C2050000}"/>
    <cellStyle name="Standard 6 2 2 2 3 2 3 5 2" xfId="1468" xr:uid="{00000000-0005-0000-0000-0000C3050000}"/>
    <cellStyle name="Standard 6 2 2 2 3 2 3 5 2 2" xfId="1469" xr:uid="{00000000-0005-0000-0000-0000C4050000}"/>
    <cellStyle name="Standard 6 2 2 2 3 2 3 5 2 2 2" xfId="13430" xr:uid="{6395A7F8-F018-454C-A165-CA27654485C4}"/>
    <cellStyle name="Standard 6 2 2 2 3 2 3 5 2 3" xfId="13429" xr:uid="{CA09733B-5FEF-4C09-BF2A-F43A564E9EAB}"/>
    <cellStyle name="Standard 6 2 2 2 3 2 3 5 3" xfId="1470" xr:uid="{00000000-0005-0000-0000-0000C5050000}"/>
    <cellStyle name="Standard 6 2 2 2 3 2 3 5 3 2" xfId="13431" xr:uid="{2FE0A199-34A3-4046-9B00-DFCC502CB427}"/>
    <cellStyle name="Standard 6 2 2 2 3 2 3 5 4" xfId="13428" xr:uid="{E880E53D-334A-4423-B499-8847579F8D8C}"/>
    <cellStyle name="Standard 6 2 2 2 3 2 3 6" xfId="1471" xr:uid="{00000000-0005-0000-0000-0000C6050000}"/>
    <cellStyle name="Standard 6 2 2 2 3 2 3 6 2" xfId="1472" xr:uid="{00000000-0005-0000-0000-0000C7050000}"/>
    <cellStyle name="Standard 6 2 2 2 3 2 3 6 2 2" xfId="1473" xr:uid="{00000000-0005-0000-0000-0000C8050000}"/>
    <cellStyle name="Standard 6 2 2 2 3 2 3 6 2 2 2" xfId="13434" xr:uid="{869C81B8-3AFA-48EA-A36B-62422DCB84D7}"/>
    <cellStyle name="Standard 6 2 2 2 3 2 3 6 2 3" xfId="13433" xr:uid="{13C6CFFC-A90B-489A-9594-C715EFE9D6F7}"/>
    <cellStyle name="Standard 6 2 2 2 3 2 3 6 3" xfId="1474" xr:uid="{00000000-0005-0000-0000-0000C9050000}"/>
    <cellStyle name="Standard 6 2 2 2 3 2 3 6 3 2" xfId="13435" xr:uid="{0845026E-74CF-43BE-BF78-765423F75B24}"/>
    <cellStyle name="Standard 6 2 2 2 3 2 3 6 4" xfId="13432" xr:uid="{8930C678-ACE8-49DC-85C9-864BCAFDB5B9}"/>
    <cellStyle name="Standard 6 2 2 2 3 2 3 7" xfId="1475" xr:uid="{00000000-0005-0000-0000-0000CA050000}"/>
    <cellStyle name="Standard 6 2 2 2 3 2 3 7 2" xfId="1476" xr:uid="{00000000-0005-0000-0000-0000CB050000}"/>
    <cellStyle name="Standard 6 2 2 2 3 2 3 7 2 2" xfId="1477" xr:uid="{00000000-0005-0000-0000-0000CC050000}"/>
    <cellStyle name="Standard 6 2 2 2 3 2 3 7 2 2 2" xfId="13438" xr:uid="{65C14477-E16B-4F8E-9682-CFF55B831112}"/>
    <cellStyle name="Standard 6 2 2 2 3 2 3 7 2 3" xfId="13437" xr:uid="{6BE2EEF1-0E15-4850-A80F-45DFF0BF3B3B}"/>
    <cellStyle name="Standard 6 2 2 2 3 2 3 7 3" xfId="1478" xr:uid="{00000000-0005-0000-0000-0000CD050000}"/>
    <cellStyle name="Standard 6 2 2 2 3 2 3 7 3 2" xfId="13439" xr:uid="{4437C383-3E60-4296-80EF-A593000CF2BD}"/>
    <cellStyle name="Standard 6 2 2 2 3 2 3 7 4" xfId="13436" xr:uid="{A96E538A-60F0-457F-999A-EFC3F5EA5563}"/>
    <cellStyle name="Standard 6 2 2 2 3 2 3 8" xfId="1479" xr:uid="{00000000-0005-0000-0000-0000CE050000}"/>
    <cellStyle name="Standard 6 2 2 2 3 2 3 8 2" xfId="1480" xr:uid="{00000000-0005-0000-0000-0000CF050000}"/>
    <cellStyle name="Standard 6 2 2 2 3 2 3 8 2 2" xfId="13441" xr:uid="{19C2E090-DC63-4787-84C4-F325B5ADC2E0}"/>
    <cellStyle name="Standard 6 2 2 2 3 2 3 8 3" xfId="13440" xr:uid="{93431ED7-264D-4FD9-B72D-5A1C8C74A404}"/>
    <cellStyle name="Standard 6 2 2 2 3 2 3 9" xfId="1481" xr:uid="{00000000-0005-0000-0000-0000D0050000}"/>
    <cellStyle name="Standard 6 2 2 2 3 2 3 9 2" xfId="13442" xr:uid="{042EFAB2-E9D5-40F5-9A25-40E380C06759}"/>
    <cellStyle name="Standard 6 2 2 2 3 2 4" xfId="1482" xr:uid="{00000000-0005-0000-0000-0000D1050000}"/>
    <cellStyle name="Standard 6 2 2 2 3 2 4 2" xfId="1483" xr:uid="{00000000-0005-0000-0000-0000D2050000}"/>
    <cellStyle name="Standard 6 2 2 2 3 2 4 2 2" xfId="1484" xr:uid="{00000000-0005-0000-0000-0000D3050000}"/>
    <cellStyle name="Standard 6 2 2 2 3 2 4 2 2 2" xfId="13445" xr:uid="{81E97DCE-E98B-431A-BAA3-A3B06C6E7128}"/>
    <cellStyle name="Standard 6 2 2 2 3 2 4 2 3" xfId="13444" xr:uid="{ACAB18D5-6F86-43B2-B0BF-B436A1F2DC38}"/>
    <cellStyle name="Standard 6 2 2 2 3 2 4 3" xfId="1485" xr:uid="{00000000-0005-0000-0000-0000D4050000}"/>
    <cellStyle name="Standard 6 2 2 2 3 2 4 3 2" xfId="13446" xr:uid="{B50DAE15-46CF-4E0A-A98B-511EAC175B30}"/>
    <cellStyle name="Standard 6 2 2 2 3 2 4 4" xfId="13443" xr:uid="{2E256948-4295-4209-935C-4291BD449D03}"/>
    <cellStyle name="Standard 6 2 2 2 3 2 5" xfId="1486" xr:uid="{00000000-0005-0000-0000-0000D5050000}"/>
    <cellStyle name="Standard 6 2 2 2 3 2 5 2" xfId="1487" xr:uid="{00000000-0005-0000-0000-0000D6050000}"/>
    <cellStyle name="Standard 6 2 2 2 3 2 5 2 2" xfId="1488" xr:uid="{00000000-0005-0000-0000-0000D7050000}"/>
    <cellStyle name="Standard 6 2 2 2 3 2 5 2 2 2" xfId="13449" xr:uid="{8CE35B37-B740-4ED5-B319-0A8F2708C087}"/>
    <cellStyle name="Standard 6 2 2 2 3 2 5 2 3" xfId="13448" xr:uid="{C1508A4A-A0F4-4081-A354-350960BCCB6E}"/>
    <cellStyle name="Standard 6 2 2 2 3 2 5 3" xfId="1489" xr:uid="{00000000-0005-0000-0000-0000D8050000}"/>
    <cellStyle name="Standard 6 2 2 2 3 2 5 3 2" xfId="13450" xr:uid="{57B12427-5367-41F7-8D69-A47FD916D7D3}"/>
    <cellStyle name="Standard 6 2 2 2 3 2 5 4" xfId="13447" xr:uid="{17A282FE-5C65-4617-8500-35B3310E6181}"/>
    <cellStyle name="Standard 6 2 2 2 3 2 6" xfId="1490" xr:uid="{00000000-0005-0000-0000-0000D9050000}"/>
    <cellStyle name="Standard 6 2 2 2 3 2 6 2" xfId="1491" xr:uid="{00000000-0005-0000-0000-0000DA050000}"/>
    <cellStyle name="Standard 6 2 2 2 3 2 6 2 2" xfId="1492" xr:uid="{00000000-0005-0000-0000-0000DB050000}"/>
    <cellStyle name="Standard 6 2 2 2 3 2 6 2 2 2" xfId="13453" xr:uid="{25DAFE4E-AA83-437E-B784-17F59AFB1CAD}"/>
    <cellStyle name="Standard 6 2 2 2 3 2 6 2 3" xfId="13452" xr:uid="{EC485214-48C3-404F-A745-B255748DCB49}"/>
    <cellStyle name="Standard 6 2 2 2 3 2 6 3" xfId="1493" xr:uid="{00000000-0005-0000-0000-0000DC050000}"/>
    <cellStyle name="Standard 6 2 2 2 3 2 6 3 2" xfId="13454" xr:uid="{A01991B7-C41B-4BCE-9511-6C965334290B}"/>
    <cellStyle name="Standard 6 2 2 2 3 2 6 4" xfId="13451" xr:uid="{C2FE7F51-121D-4D4C-B3BE-2CCCE8626CA4}"/>
    <cellStyle name="Standard 6 2 2 2 3 2 7" xfId="1494" xr:uid="{00000000-0005-0000-0000-0000DD050000}"/>
    <cellStyle name="Standard 6 2 2 2 3 2 7 2" xfId="1495" xr:uid="{00000000-0005-0000-0000-0000DE050000}"/>
    <cellStyle name="Standard 6 2 2 2 3 2 7 2 2" xfId="1496" xr:uid="{00000000-0005-0000-0000-0000DF050000}"/>
    <cellStyle name="Standard 6 2 2 2 3 2 7 2 2 2" xfId="13457" xr:uid="{A5B8B89D-25E5-4E94-8D08-607CB6538F4D}"/>
    <cellStyle name="Standard 6 2 2 2 3 2 7 2 3" xfId="13456" xr:uid="{CD60589D-0F95-4369-9AD6-9A54218FAFD1}"/>
    <cellStyle name="Standard 6 2 2 2 3 2 7 3" xfId="1497" xr:uid="{00000000-0005-0000-0000-0000E0050000}"/>
    <cellStyle name="Standard 6 2 2 2 3 2 7 3 2" xfId="13458" xr:uid="{4091C171-891F-4C00-A174-49CB546B5DD7}"/>
    <cellStyle name="Standard 6 2 2 2 3 2 7 4" xfId="13455" xr:uid="{A6ADB552-EB4D-45DD-BC58-C25279235FE4}"/>
    <cellStyle name="Standard 6 2 2 2 3 2 8" xfId="1498" xr:uid="{00000000-0005-0000-0000-0000E1050000}"/>
    <cellStyle name="Standard 6 2 2 2 3 2 8 2" xfId="1499" xr:uid="{00000000-0005-0000-0000-0000E2050000}"/>
    <cellStyle name="Standard 6 2 2 2 3 2 8 2 2" xfId="1500" xr:uid="{00000000-0005-0000-0000-0000E3050000}"/>
    <cellStyle name="Standard 6 2 2 2 3 2 8 2 2 2" xfId="13461" xr:uid="{2F7CCECF-CD05-4091-83EF-FAD63B847D79}"/>
    <cellStyle name="Standard 6 2 2 2 3 2 8 2 3" xfId="13460" xr:uid="{6E12B187-1F30-4DAF-A96D-BA1F0A7C35A6}"/>
    <cellStyle name="Standard 6 2 2 2 3 2 8 3" xfId="1501" xr:uid="{00000000-0005-0000-0000-0000E4050000}"/>
    <cellStyle name="Standard 6 2 2 2 3 2 8 3 2" xfId="13462" xr:uid="{269784C3-13AA-4E6E-B4E9-2D78F8E9E0E9}"/>
    <cellStyle name="Standard 6 2 2 2 3 2 8 4" xfId="13459" xr:uid="{B854824E-5DC4-4591-9DF3-3A39BD071D96}"/>
    <cellStyle name="Standard 6 2 2 2 3 2 9" xfId="1502" xr:uid="{00000000-0005-0000-0000-0000E5050000}"/>
    <cellStyle name="Standard 6 2 2 2 3 2 9 2" xfId="1503" xr:uid="{00000000-0005-0000-0000-0000E6050000}"/>
    <cellStyle name="Standard 6 2 2 2 3 2 9 2 2" xfId="1504" xr:uid="{00000000-0005-0000-0000-0000E7050000}"/>
    <cellStyle name="Standard 6 2 2 2 3 2 9 2 2 2" xfId="13465" xr:uid="{D93DAE97-10C2-4B74-9202-91B5DF4B4051}"/>
    <cellStyle name="Standard 6 2 2 2 3 2 9 2 3" xfId="13464" xr:uid="{D75BC9F3-DDC0-4028-939A-543309800DD4}"/>
    <cellStyle name="Standard 6 2 2 2 3 2 9 3" xfId="1505" xr:uid="{00000000-0005-0000-0000-0000E8050000}"/>
    <cellStyle name="Standard 6 2 2 2 3 2 9 3 2" xfId="13466" xr:uid="{22763C43-CD4E-4018-8ACE-CBCC03BFEFEC}"/>
    <cellStyle name="Standard 6 2 2 2 3 2 9 4" xfId="13463" xr:uid="{7C3674B6-B549-454B-B98F-D25D8E4D6CF8}"/>
    <cellStyle name="Standard 6 2 2 2 3 20" xfId="1506" xr:uid="{00000000-0005-0000-0000-0000E9050000}"/>
    <cellStyle name="Standard 6 2 2 2 3 20 2" xfId="1507" xr:uid="{00000000-0005-0000-0000-0000EA050000}"/>
    <cellStyle name="Standard 6 2 2 2 3 20 2 2" xfId="13468" xr:uid="{D80EDB62-52B2-4219-8240-FA2CC684203E}"/>
    <cellStyle name="Standard 6 2 2 2 3 20 3" xfId="13467" xr:uid="{A98A8AE0-393C-4C37-8C4B-48A0BCC5CB9E}"/>
    <cellStyle name="Standard 6 2 2 2 3 21" xfId="1508" xr:uid="{00000000-0005-0000-0000-0000EB050000}"/>
    <cellStyle name="Standard 6 2 2 2 3 21 2" xfId="13469" xr:uid="{4DD66CAA-E742-4D9F-96C9-A51A872612CA}"/>
    <cellStyle name="Standard 6 2 2 2 3 22" xfId="1509" xr:uid="{00000000-0005-0000-0000-0000EC050000}"/>
    <cellStyle name="Standard 6 2 2 2 3 22 2" xfId="13470" xr:uid="{2E5E4FDC-2F72-4FDD-9FE4-B5A69C39DB65}"/>
    <cellStyle name="Standard 6 2 2 2 3 23" xfId="13314" xr:uid="{61797FBE-009A-4A84-ACB2-9A57FC30203B}"/>
    <cellStyle name="Standard 6 2 2 2 3 3" xfId="1510" xr:uid="{00000000-0005-0000-0000-0000ED050000}"/>
    <cellStyle name="Standard 6 2 2 2 3 3 10" xfId="1511" xr:uid="{00000000-0005-0000-0000-0000EE050000}"/>
    <cellStyle name="Standard 6 2 2 2 3 3 10 2" xfId="13472" xr:uid="{822FFA4D-F251-48DE-B835-2BA5D628A391}"/>
    <cellStyle name="Standard 6 2 2 2 3 3 11" xfId="13471" xr:uid="{0BF180A4-E1A5-4A4E-B9F3-CD99F02BAEAC}"/>
    <cellStyle name="Standard 6 2 2 2 3 3 2" xfId="1512" xr:uid="{00000000-0005-0000-0000-0000EF050000}"/>
    <cellStyle name="Standard 6 2 2 2 3 3 2 10" xfId="13473" xr:uid="{FA2C0990-76B7-4A59-987E-8E667D49518D}"/>
    <cellStyle name="Standard 6 2 2 2 3 3 2 2" xfId="1513" xr:uid="{00000000-0005-0000-0000-0000F0050000}"/>
    <cellStyle name="Standard 6 2 2 2 3 3 2 2 2" xfId="1514" xr:uid="{00000000-0005-0000-0000-0000F1050000}"/>
    <cellStyle name="Standard 6 2 2 2 3 3 2 2 2 2" xfId="1515" xr:uid="{00000000-0005-0000-0000-0000F2050000}"/>
    <cellStyle name="Standard 6 2 2 2 3 3 2 2 2 2 2" xfId="13476" xr:uid="{F1EF56B0-E1BA-4355-BEA2-D93FE236D299}"/>
    <cellStyle name="Standard 6 2 2 2 3 3 2 2 2 3" xfId="13475" xr:uid="{A01D13F8-46CD-4CEA-837F-1E154140C6CA}"/>
    <cellStyle name="Standard 6 2 2 2 3 3 2 2 3" xfId="1516" xr:uid="{00000000-0005-0000-0000-0000F3050000}"/>
    <cellStyle name="Standard 6 2 2 2 3 3 2 2 3 2" xfId="13477" xr:uid="{43224307-1A19-478F-B979-ACAD0F4ED7E8}"/>
    <cellStyle name="Standard 6 2 2 2 3 3 2 2 4" xfId="13474" xr:uid="{BCB96608-6D32-4EF9-BE26-C5FB9C739666}"/>
    <cellStyle name="Standard 6 2 2 2 3 3 2 3" xfId="1517" xr:uid="{00000000-0005-0000-0000-0000F4050000}"/>
    <cellStyle name="Standard 6 2 2 2 3 3 2 3 2" xfId="1518" xr:uid="{00000000-0005-0000-0000-0000F5050000}"/>
    <cellStyle name="Standard 6 2 2 2 3 3 2 3 2 2" xfId="1519" xr:uid="{00000000-0005-0000-0000-0000F6050000}"/>
    <cellStyle name="Standard 6 2 2 2 3 3 2 3 2 2 2" xfId="13480" xr:uid="{46C02900-630D-4BB3-A508-F0441A4E3F17}"/>
    <cellStyle name="Standard 6 2 2 2 3 3 2 3 2 3" xfId="13479" xr:uid="{740B10C1-1D17-49D7-8944-70B579E03724}"/>
    <cellStyle name="Standard 6 2 2 2 3 3 2 3 3" xfId="1520" xr:uid="{00000000-0005-0000-0000-0000F7050000}"/>
    <cellStyle name="Standard 6 2 2 2 3 3 2 3 3 2" xfId="13481" xr:uid="{4429F17F-6570-4AEF-84D7-E72A8ED93227}"/>
    <cellStyle name="Standard 6 2 2 2 3 3 2 3 4" xfId="13478" xr:uid="{CBCF19F2-F34F-4BFC-BF44-58E2A88C4674}"/>
    <cellStyle name="Standard 6 2 2 2 3 3 2 4" xfId="1521" xr:uid="{00000000-0005-0000-0000-0000F8050000}"/>
    <cellStyle name="Standard 6 2 2 2 3 3 2 4 2" xfId="1522" xr:uid="{00000000-0005-0000-0000-0000F9050000}"/>
    <cellStyle name="Standard 6 2 2 2 3 3 2 4 2 2" xfId="1523" xr:uid="{00000000-0005-0000-0000-0000FA050000}"/>
    <cellStyle name="Standard 6 2 2 2 3 3 2 4 2 2 2" xfId="13484" xr:uid="{B3DA4BD8-8D90-412B-8AB1-A251A0044B80}"/>
    <cellStyle name="Standard 6 2 2 2 3 3 2 4 2 3" xfId="13483" xr:uid="{509E3021-8150-4808-9691-E4B9CD5906AB}"/>
    <cellStyle name="Standard 6 2 2 2 3 3 2 4 3" xfId="1524" xr:uid="{00000000-0005-0000-0000-0000FB050000}"/>
    <cellStyle name="Standard 6 2 2 2 3 3 2 4 3 2" xfId="13485" xr:uid="{8407D328-E206-485B-9101-D1F1102835BB}"/>
    <cellStyle name="Standard 6 2 2 2 3 3 2 4 4" xfId="13482" xr:uid="{554FA1A1-5C95-4429-9F0C-66D82A2B795D}"/>
    <cellStyle name="Standard 6 2 2 2 3 3 2 5" xfId="1525" xr:uid="{00000000-0005-0000-0000-0000FC050000}"/>
    <cellStyle name="Standard 6 2 2 2 3 3 2 5 2" xfId="1526" xr:uid="{00000000-0005-0000-0000-0000FD050000}"/>
    <cellStyle name="Standard 6 2 2 2 3 3 2 5 2 2" xfId="1527" xr:uid="{00000000-0005-0000-0000-0000FE050000}"/>
    <cellStyle name="Standard 6 2 2 2 3 3 2 5 2 2 2" xfId="13488" xr:uid="{A61923D7-055A-4315-BEAF-FDF4193C6FA3}"/>
    <cellStyle name="Standard 6 2 2 2 3 3 2 5 2 3" xfId="13487" xr:uid="{3005DB79-94B4-482D-96DD-8650EB37B3E4}"/>
    <cellStyle name="Standard 6 2 2 2 3 3 2 5 3" xfId="1528" xr:uid="{00000000-0005-0000-0000-0000FF050000}"/>
    <cellStyle name="Standard 6 2 2 2 3 3 2 5 3 2" xfId="13489" xr:uid="{58E1D272-CFC3-4DFF-9F30-0250D852FFDE}"/>
    <cellStyle name="Standard 6 2 2 2 3 3 2 5 4" xfId="13486" xr:uid="{F05C0508-B4DB-4FC1-8B32-3AD74F7E0FBA}"/>
    <cellStyle name="Standard 6 2 2 2 3 3 2 6" xfId="1529" xr:uid="{00000000-0005-0000-0000-000000060000}"/>
    <cellStyle name="Standard 6 2 2 2 3 3 2 6 2" xfId="1530" xr:uid="{00000000-0005-0000-0000-000001060000}"/>
    <cellStyle name="Standard 6 2 2 2 3 3 2 6 2 2" xfId="1531" xr:uid="{00000000-0005-0000-0000-000002060000}"/>
    <cellStyle name="Standard 6 2 2 2 3 3 2 6 2 2 2" xfId="13492" xr:uid="{F67BBB4B-E864-4FE7-BB77-A0BF492029F6}"/>
    <cellStyle name="Standard 6 2 2 2 3 3 2 6 2 3" xfId="13491" xr:uid="{433EA556-8E99-4D81-95FF-22ECF29C22A3}"/>
    <cellStyle name="Standard 6 2 2 2 3 3 2 6 3" xfId="1532" xr:uid="{00000000-0005-0000-0000-000003060000}"/>
    <cellStyle name="Standard 6 2 2 2 3 3 2 6 3 2" xfId="13493" xr:uid="{918057CE-2EBD-43DC-917B-09BE76B0581D}"/>
    <cellStyle name="Standard 6 2 2 2 3 3 2 6 4" xfId="13490" xr:uid="{882C6934-60CE-4359-A215-443A8E9515DD}"/>
    <cellStyle name="Standard 6 2 2 2 3 3 2 7" xfId="1533" xr:uid="{00000000-0005-0000-0000-000004060000}"/>
    <cellStyle name="Standard 6 2 2 2 3 3 2 7 2" xfId="1534" xr:uid="{00000000-0005-0000-0000-000005060000}"/>
    <cellStyle name="Standard 6 2 2 2 3 3 2 7 2 2" xfId="1535" xr:uid="{00000000-0005-0000-0000-000006060000}"/>
    <cellStyle name="Standard 6 2 2 2 3 3 2 7 2 2 2" xfId="13496" xr:uid="{D962030E-32CB-49CA-979C-A28F9F272FAE}"/>
    <cellStyle name="Standard 6 2 2 2 3 3 2 7 2 3" xfId="13495" xr:uid="{9AD583B6-8114-4132-B1B3-6C9CF8CD51C1}"/>
    <cellStyle name="Standard 6 2 2 2 3 3 2 7 3" xfId="1536" xr:uid="{00000000-0005-0000-0000-000007060000}"/>
    <cellStyle name="Standard 6 2 2 2 3 3 2 7 3 2" xfId="13497" xr:uid="{E0AB7EF7-D179-44D7-9E11-1F9C86A7C71A}"/>
    <cellStyle name="Standard 6 2 2 2 3 3 2 7 4" xfId="13494" xr:uid="{B97F8740-62F7-4EEA-83F3-AAF4011632C9}"/>
    <cellStyle name="Standard 6 2 2 2 3 3 2 8" xfId="1537" xr:uid="{00000000-0005-0000-0000-000008060000}"/>
    <cellStyle name="Standard 6 2 2 2 3 3 2 8 2" xfId="1538" xr:uid="{00000000-0005-0000-0000-000009060000}"/>
    <cellStyle name="Standard 6 2 2 2 3 3 2 8 2 2" xfId="13499" xr:uid="{62D28DC5-47EC-446B-9EB1-8A5110A34F33}"/>
    <cellStyle name="Standard 6 2 2 2 3 3 2 8 3" xfId="13498" xr:uid="{1499861C-4FC9-4DAC-A310-887CA806015D}"/>
    <cellStyle name="Standard 6 2 2 2 3 3 2 9" xfId="1539" xr:uid="{00000000-0005-0000-0000-00000A060000}"/>
    <cellStyle name="Standard 6 2 2 2 3 3 2 9 2" xfId="13500" xr:uid="{9ECCF6C9-D8D3-4A59-AC3B-51004B241640}"/>
    <cellStyle name="Standard 6 2 2 2 3 3 3" xfId="1540" xr:uid="{00000000-0005-0000-0000-00000B060000}"/>
    <cellStyle name="Standard 6 2 2 2 3 3 3 2" xfId="1541" xr:uid="{00000000-0005-0000-0000-00000C060000}"/>
    <cellStyle name="Standard 6 2 2 2 3 3 3 2 2" xfId="1542" xr:uid="{00000000-0005-0000-0000-00000D060000}"/>
    <cellStyle name="Standard 6 2 2 2 3 3 3 2 2 2" xfId="13503" xr:uid="{B6CBBB45-BD38-4BA0-8F35-9A7052AA96C1}"/>
    <cellStyle name="Standard 6 2 2 2 3 3 3 2 3" xfId="13502" xr:uid="{7DFF256F-38B3-43E8-9405-766DBD487BC0}"/>
    <cellStyle name="Standard 6 2 2 2 3 3 3 3" xfId="1543" xr:uid="{00000000-0005-0000-0000-00000E060000}"/>
    <cellStyle name="Standard 6 2 2 2 3 3 3 3 2" xfId="13504" xr:uid="{6EA029AD-49C9-41D2-A985-C9CF0C7C3DD3}"/>
    <cellStyle name="Standard 6 2 2 2 3 3 3 4" xfId="13501" xr:uid="{43A930AA-9C21-4363-935B-BE5649D77FD8}"/>
    <cellStyle name="Standard 6 2 2 2 3 3 4" xfId="1544" xr:uid="{00000000-0005-0000-0000-00000F060000}"/>
    <cellStyle name="Standard 6 2 2 2 3 3 4 2" xfId="1545" xr:uid="{00000000-0005-0000-0000-000010060000}"/>
    <cellStyle name="Standard 6 2 2 2 3 3 4 2 2" xfId="1546" xr:uid="{00000000-0005-0000-0000-000011060000}"/>
    <cellStyle name="Standard 6 2 2 2 3 3 4 2 2 2" xfId="13507" xr:uid="{7407CB38-467B-442F-86E5-EE298005A2E5}"/>
    <cellStyle name="Standard 6 2 2 2 3 3 4 2 3" xfId="13506" xr:uid="{D6BE938B-DD1B-41DC-8858-AC2961AE33D6}"/>
    <cellStyle name="Standard 6 2 2 2 3 3 4 3" xfId="1547" xr:uid="{00000000-0005-0000-0000-000012060000}"/>
    <cellStyle name="Standard 6 2 2 2 3 3 4 3 2" xfId="13508" xr:uid="{332C6D5C-B77B-456F-B0C3-F69B49ED7819}"/>
    <cellStyle name="Standard 6 2 2 2 3 3 4 4" xfId="13505" xr:uid="{5D996C65-3CFD-46A9-915E-1302F0087439}"/>
    <cellStyle name="Standard 6 2 2 2 3 3 5" xfId="1548" xr:uid="{00000000-0005-0000-0000-000013060000}"/>
    <cellStyle name="Standard 6 2 2 2 3 3 5 2" xfId="1549" xr:uid="{00000000-0005-0000-0000-000014060000}"/>
    <cellStyle name="Standard 6 2 2 2 3 3 5 2 2" xfId="1550" xr:uid="{00000000-0005-0000-0000-000015060000}"/>
    <cellStyle name="Standard 6 2 2 2 3 3 5 2 2 2" xfId="13511" xr:uid="{B7AAE921-11AC-455B-8E54-F983520964E1}"/>
    <cellStyle name="Standard 6 2 2 2 3 3 5 2 3" xfId="13510" xr:uid="{E5C83072-0C64-4C5B-81FF-26E9F30A8E5C}"/>
    <cellStyle name="Standard 6 2 2 2 3 3 5 3" xfId="1551" xr:uid="{00000000-0005-0000-0000-000016060000}"/>
    <cellStyle name="Standard 6 2 2 2 3 3 5 3 2" xfId="13512" xr:uid="{9995775B-474E-487D-A82D-FB66816521AD}"/>
    <cellStyle name="Standard 6 2 2 2 3 3 5 4" xfId="13509" xr:uid="{72DD3818-2B93-4C19-9528-3FD3E61C1543}"/>
    <cellStyle name="Standard 6 2 2 2 3 3 6" xfId="1552" xr:uid="{00000000-0005-0000-0000-000017060000}"/>
    <cellStyle name="Standard 6 2 2 2 3 3 6 2" xfId="1553" xr:uid="{00000000-0005-0000-0000-000018060000}"/>
    <cellStyle name="Standard 6 2 2 2 3 3 6 2 2" xfId="1554" xr:uid="{00000000-0005-0000-0000-000019060000}"/>
    <cellStyle name="Standard 6 2 2 2 3 3 6 2 2 2" xfId="13515" xr:uid="{F7CA8E07-989B-445D-A3D5-BCE23D8D675F}"/>
    <cellStyle name="Standard 6 2 2 2 3 3 6 2 3" xfId="13514" xr:uid="{E001E081-2B2B-4CE3-AA04-804BEA8AAC90}"/>
    <cellStyle name="Standard 6 2 2 2 3 3 6 3" xfId="1555" xr:uid="{00000000-0005-0000-0000-00001A060000}"/>
    <cellStyle name="Standard 6 2 2 2 3 3 6 3 2" xfId="13516" xr:uid="{52E00EDA-45CE-4E1C-B2F2-FD51237112DD}"/>
    <cellStyle name="Standard 6 2 2 2 3 3 6 4" xfId="13513" xr:uid="{9A2469A8-CDFF-41C3-ACAC-6DF8D6CB91F8}"/>
    <cellStyle name="Standard 6 2 2 2 3 3 7" xfId="1556" xr:uid="{00000000-0005-0000-0000-00001B060000}"/>
    <cellStyle name="Standard 6 2 2 2 3 3 7 2" xfId="1557" xr:uid="{00000000-0005-0000-0000-00001C060000}"/>
    <cellStyle name="Standard 6 2 2 2 3 3 7 2 2" xfId="1558" xr:uid="{00000000-0005-0000-0000-00001D060000}"/>
    <cellStyle name="Standard 6 2 2 2 3 3 7 2 2 2" xfId="13519" xr:uid="{7A1088F1-D781-477C-85E7-4D6BCAEE4298}"/>
    <cellStyle name="Standard 6 2 2 2 3 3 7 2 3" xfId="13518" xr:uid="{A9E9BEB6-91CE-4CE6-8343-D2E500EECD0E}"/>
    <cellStyle name="Standard 6 2 2 2 3 3 7 3" xfId="1559" xr:uid="{00000000-0005-0000-0000-00001E060000}"/>
    <cellStyle name="Standard 6 2 2 2 3 3 7 3 2" xfId="13520" xr:uid="{5A704A15-F9B9-4203-B498-1F62EAB09377}"/>
    <cellStyle name="Standard 6 2 2 2 3 3 7 4" xfId="13517" xr:uid="{C9E71ECD-1077-4A80-99A0-A6A43CBF89AC}"/>
    <cellStyle name="Standard 6 2 2 2 3 3 8" xfId="1560" xr:uid="{00000000-0005-0000-0000-00001F060000}"/>
    <cellStyle name="Standard 6 2 2 2 3 3 8 2" xfId="1561" xr:uid="{00000000-0005-0000-0000-000020060000}"/>
    <cellStyle name="Standard 6 2 2 2 3 3 8 2 2" xfId="1562" xr:uid="{00000000-0005-0000-0000-000021060000}"/>
    <cellStyle name="Standard 6 2 2 2 3 3 8 2 2 2" xfId="13523" xr:uid="{22DB04D7-5147-4D96-9D5F-50A2CCB3860A}"/>
    <cellStyle name="Standard 6 2 2 2 3 3 8 2 3" xfId="13522" xr:uid="{3C94880D-440E-430B-A8CE-E9C29AF6B460}"/>
    <cellStyle name="Standard 6 2 2 2 3 3 8 3" xfId="1563" xr:uid="{00000000-0005-0000-0000-000022060000}"/>
    <cellStyle name="Standard 6 2 2 2 3 3 8 3 2" xfId="13524" xr:uid="{1DB0601E-A06D-440A-82CF-1C6C0EE1F4F9}"/>
    <cellStyle name="Standard 6 2 2 2 3 3 8 4" xfId="13521" xr:uid="{3F12FA2A-28CC-4935-B9C5-299DB4EA76F1}"/>
    <cellStyle name="Standard 6 2 2 2 3 3 9" xfId="1564" xr:uid="{00000000-0005-0000-0000-000023060000}"/>
    <cellStyle name="Standard 6 2 2 2 3 3 9 2" xfId="1565" xr:uid="{00000000-0005-0000-0000-000024060000}"/>
    <cellStyle name="Standard 6 2 2 2 3 3 9 2 2" xfId="13526" xr:uid="{2A4375D2-89EF-4F17-ABCF-5E30F7045CA3}"/>
    <cellStyle name="Standard 6 2 2 2 3 3 9 3" xfId="13525" xr:uid="{783E8DF6-0D3B-4BA2-90AE-0D6D8C1AEFB4}"/>
    <cellStyle name="Standard 6 2 2 2 3 4" xfId="1566" xr:uid="{00000000-0005-0000-0000-000025060000}"/>
    <cellStyle name="Standard 6 2 2 2 3 4 10" xfId="1567" xr:uid="{00000000-0005-0000-0000-000026060000}"/>
    <cellStyle name="Standard 6 2 2 2 3 4 10 2" xfId="13528" xr:uid="{01D1E29F-B0FB-467E-A843-EEC0E2F6FEA1}"/>
    <cellStyle name="Standard 6 2 2 2 3 4 11" xfId="13527" xr:uid="{D18BFF68-E8C3-49D1-B5A6-574E0211848C}"/>
    <cellStyle name="Standard 6 2 2 2 3 4 2" xfId="1568" xr:uid="{00000000-0005-0000-0000-000027060000}"/>
    <cellStyle name="Standard 6 2 2 2 3 4 2 10" xfId="13529" xr:uid="{B8082AFC-E9C7-4CAF-9D8E-F227F4651F91}"/>
    <cellStyle name="Standard 6 2 2 2 3 4 2 2" xfId="1569" xr:uid="{00000000-0005-0000-0000-000028060000}"/>
    <cellStyle name="Standard 6 2 2 2 3 4 2 2 2" xfId="1570" xr:uid="{00000000-0005-0000-0000-000029060000}"/>
    <cellStyle name="Standard 6 2 2 2 3 4 2 2 2 2" xfId="1571" xr:uid="{00000000-0005-0000-0000-00002A060000}"/>
    <cellStyle name="Standard 6 2 2 2 3 4 2 2 2 2 2" xfId="13532" xr:uid="{2CC6C2A7-63B1-40B0-B5B3-403362E92D60}"/>
    <cellStyle name="Standard 6 2 2 2 3 4 2 2 2 3" xfId="13531" xr:uid="{9E703D3A-39F7-4A32-9043-0187700719EE}"/>
    <cellStyle name="Standard 6 2 2 2 3 4 2 2 3" xfId="1572" xr:uid="{00000000-0005-0000-0000-00002B060000}"/>
    <cellStyle name="Standard 6 2 2 2 3 4 2 2 3 2" xfId="13533" xr:uid="{6A3547FA-1419-4D6B-A53D-9FE808BF150D}"/>
    <cellStyle name="Standard 6 2 2 2 3 4 2 2 4" xfId="13530" xr:uid="{E0368CD6-22EC-41DB-9177-28315418DE78}"/>
    <cellStyle name="Standard 6 2 2 2 3 4 2 3" xfId="1573" xr:uid="{00000000-0005-0000-0000-00002C060000}"/>
    <cellStyle name="Standard 6 2 2 2 3 4 2 3 2" xfId="1574" xr:uid="{00000000-0005-0000-0000-00002D060000}"/>
    <cellStyle name="Standard 6 2 2 2 3 4 2 3 2 2" xfId="1575" xr:uid="{00000000-0005-0000-0000-00002E060000}"/>
    <cellStyle name="Standard 6 2 2 2 3 4 2 3 2 2 2" xfId="13536" xr:uid="{6DB9CDAA-57AF-42A7-B780-65D67F4EE220}"/>
    <cellStyle name="Standard 6 2 2 2 3 4 2 3 2 3" xfId="13535" xr:uid="{E8D37E06-3920-4943-A25E-BBC90F76FBA2}"/>
    <cellStyle name="Standard 6 2 2 2 3 4 2 3 3" xfId="1576" xr:uid="{00000000-0005-0000-0000-00002F060000}"/>
    <cellStyle name="Standard 6 2 2 2 3 4 2 3 3 2" xfId="13537" xr:uid="{495967C6-81E3-4F4D-9B8B-65B5A12FF032}"/>
    <cellStyle name="Standard 6 2 2 2 3 4 2 3 4" xfId="13534" xr:uid="{15EF8909-9B54-41F9-A43C-7902DA56F31D}"/>
    <cellStyle name="Standard 6 2 2 2 3 4 2 4" xfId="1577" xr:uid="{00000000-0005-0000-0000-000030060000}"/>
    <cellStyle name="Standard 6 2 2 2 3 4 2 4 2" xfId="1578" xr:uid="{00000000-0005-0000-0000-000031060000}"/>
    <cellStyle name="Standard 6 2 2 2 3 4 2 4 2 2" xfId="1579" xr:uid="{00000000-0005-0000-0000-000032060000}"/>
    <cellStyle name="Standard 6 2 2 2 3 4 2 4 2 2 2" xfId="13540" xr:uid="{5741BF83-B40D-41E4-83A4-3A49D7599F83}"/>
    <cellStyle name="Standard 6 2 2 2 3 4 2 4 2 3" xfId="13539" xr:uid="{CED99ADC-C0AD-41E6-940A-F6D760356A9C}"/>
    <cellStyle name="Standard 6 2 2 2 3 4 2 4 3" xfId="1580" xr:uid="{00000000-0005-0000-0000-000033060000}"/>
    <cellStyle name="Standard 6 2 2 2 3 4 2 4 3 2" xfId="13541" xr:uid="{6E09601E-9782-4384-9CC8-54CA2024EDA9}"/>
    <cellStyle name="Standard 6 2 2 2 3 4 2 4 4" xfId="13538" xr:uid="{CEC6B3B0-370E-4BD9-A3D0-93DC8BE548C0}"/>
    <cellStyle name="Standard 6 2 2 2 3 4 2 5" xfId="1581" xr:uid="{00000000-0005-0000-0000-000034060000}"/>
    <cellStyle name="Standard 6 2 2 2 3 4 2 5 2" xfId="1582" xr:uid="{00000000-0005-0000-0000-000035060000}"/>
    <cellStyle name="Standard 6 2 2 2 3 4 2 5 2 2" xfId="1583" xr:uid="{00000000-0005-0000-0000-000036060000}"/>
    <cellStyle name="Standard 6 2 2 2 3 4 2 5 2 2 2" xfId="13544" xr:uid="{9CA37E83-3617-4B63-9018-553A40A07FE2}"/>
    <cellStyle name="Standard 6 2 2 2 3 4 2 5 2 3" xfId="13543" xr:uid="{AD2A1C6D-A4B7-470D-934F-EE3CC5C79990}"/>
    <cellStyle name="Standard 6 2 2 2 3 4 2 5 3" xfId="1584" xr:uid="{00000000-0005-0000-0000-000037060000}"/>
    <cellStyle name="Standard 6 2 2 2 3 4 2 5 3 2" xfId="13545" xr:uid="{20E96AE1-CA66-47FB-AB80-EE8965947F2F}"/>
    <cellStyle name="Standard 6 2 2 2 3 4 2 5 4" xfId="13542" xr:uid="{4F5E58DA-BE47-4492-9E54-10F249792BA7}"/>
    <cellStyle name="Standard 6 2 2 2 3 4 2 6" xfId="1585" xr:uid="{00000000-0005-0000-0000-000038060000}"/>
    <cellStyle name="Standard 6 2 2 2 3 4 2 6 2" xfId="1586" xr:uid="{00000000-0005-0000-0000-000039060000}"/>
    <cellStyle name="Standard 6 2 2 2 3 4 2 6 2 2" xfId="1587" xr:uid="{00000000-0005-0000-0000-00003A060000}"/>
    <cellStyle name="Standard 6 2 2 2 3 4 2 6 2 2 2" xfId="13548" xr:uid="{6B342294-E39D-409F-A8DC-E4219A901634}"/>
    <cellStyle name="Standard 6 2 2 2 3 4 2 6 2 3" xfId="13547" xr:uid="{ECE10C98-D0FB-4AAA-9635-E1D972E50240}"/>
    <cellStyle name="Standard 6 2 2 2 3 4 2 6 3" xfId="1588" xr:uid="{00000000-0005-0000-0000-00003B060000}"/>
    <cellStyle name="Standard 6 2 2 2 3 4 2 6 3 2" xfId="13549" xr:uid="{1E9C6772-05F0-432C-A167-B69033C639B2}"/>
    <cellStyle name="Standard 6 2 2 2 3 4 2 6 4" xfId="13546" xr:uid="{C3844075-DE21-42E8-8309-B04EB69167D9}"/>
    <cellStyle name="Standard 6 2 2 2 3 4 2 7" xfId="1589" xr:uid="{00000000-0005-0000-0000-00003C060000}"/>
    <cellStyle name="Standard 6 2 2 2 3 4 2 7 2" xfId="1590" xr:uid="{00000000-0005-0000-0000-00003D060000}"/>
    <cellStyle name="Standard 6 2 2 2 3 4 2 7 2 2" xfId="1591" xr:uid="{00000000-0005-0000-0000-00003E060000}"/>
    <cellStyle name="Standard 6 2 2 2 3 4 2 7 2 2 2" xfId="13552" xr:uid="{7E75A643-D073-4155-918C-5FEFB5C4345A}"/>
    <cellStyle name="Standard 6 2 2 2 3 4 2 7 2 3" xfId="13551" xr:uid="{3496BBAC-D75D-4880-8C7F-3FDA1667649B}"/>
    <cellStyle name="Standard 6 2 2 2 3 4 2 7 3" xfId="1592" xr:uid="{00000000-0005-0000-0000-00003F060000}"/>
    <cellStyle name="Standard 6 2 2 2 3 4 2 7 3 2" xfId="13553" xr:uid="{F920AC94-E40F-435B-BF0F-5BD33693341B}"/>
    <cellStyle name="Standard 6 2 2 2 3 4 2 7 4" xfId="13550" xr:uid="{5AB76E45-A97B-4569-A975-B174F782234B}"/>
    <cellStyle name="Standard 6 2 2 2 3 4 2 8" xfId="1593" xr:uid="{00000000-0005-0000-0000-000040060000}"/>
    <cellStyle name="Standard 6 2 2 2 3 4 2 8 2" xfId="1594" xr:uid="{00000000-0005-0000-0000-000041060000}"/>
    <cellStyle name="Standard 6 2 2 2 3 4 2 8 2 2" xfId="13555" xr:uid="{47B1E660-2EE9-4BE5-A5A2-E47FF339BF07}"/>
    <cellStyle name="Standard 6 2 2 2 3 4 2 8 3" xfId="13554" xr:uid="{E6779029-22E2-49F3-BCE9-05F8E6677DB6}"/>
    <cellStyle name="Standard 6 2 2 2 3 4 2 9" xfId="1595" xr:uid="{00000000-0005-0000-0000-000042060000}"/>
    <cellStyle name="Standard 6 2 2 2 3 4 2 9 2" xfId="13556" xr:uid="{6534D44C-04E7-426A-B512-2289FD293E0D}"/>
    <cellStyle name="Standard 6 2 2 2 3 4 3" xfId="1596" xr:uid="{00000000-0005-0000-0000-000043060000}"/>
    <cellStyle name="Standard 6 2 2 2 3 4 3 2" xfId="1597" xr:uid="{00000000-0005-0000-0000-000044060000}"/>
    <cellStyle name="Standard 6 2 2 2 3 4 3 2 2" xfId="1598" xr:uid="{00000000-0005-0000-0000-000045060000}"/>
    <cellStyle name="Standard 6 2 2 2 3 4 3 2 2 2" xfId="13559" xr:uid="{F18AA8DF-2CCD-46D1-90EC-F24D9128C38A}"/>
    <cellStyle name="Standard 6 2 2 2 3 4 3 2 3" xfId="13558" xr:uid="{8A504AA9-3638-42FE-84C5-5DE31DBCE070}"/>
    <cellStyle name="Standard 6 2 2 2 3 4 3 3" xfId="1599" xr:uid="{00000000-0005-0000-0000-000046060000}"/>
    <cellStyle name="Standard 6 2 2 2 3 4 3 3 2" xfId="13560" xr:uid="{017A762C-A855-4532-B42C-EC530ED87E1D}"/>
    <cellStyle name="Standard 6 2 2 2 3 4 3 4" xfId="13557" xr:uid="{DCE502E8-8A97-4B5D-957C-143895D460AB}"/>
    <cellStyle name="Standard 6 2 2 2 3 4 4" xfId="1600" xr:uid="{00000000-0005-0000-0000-000047060000}"/>
    <cellStyle name="Standard 6 2 2 2 3 4 4 2" xfId="1601" xr:uid="{00000000-0005-0000-0000-000048060000}"/>
    <cellStyle name="Standard 6 2 2 2 3 4 4 2 2" xfId="1602" xr:uid="{00000000-0005-0000-0000-000049060000}"/>
    <cellStyle name="Standard 6 2 2 2 3 4 4 2 2 2" xfId="13563" xr:uid="{28CF9C89-0614-4092-81B5-26D54178DE81}"/>
    <cellStyle name="Standard 6 2 2 2 3 4 4 2 3" xfId="13562" xr:uid="{79C5683F-11C7-4782-A14D-712DBF47CDDC}"/>
    <cellStyle name="Standard 6 2 2 2 3 4 4 3" xfId="1603" xr:uid="{00000000-0005-0000-0000-00004A060000}"/>
    <cellStyle name="Standard 6 2 2 2 3 4 4 3 2" xfId="13564" xr:uid="{FE6B75FD-524B-42B4-AF32-C08746BD8B68}"/>
    <cellStyle name="Standard 6 2 2 2 3 4 4 4" xfId="13561" xr:uid="{D118B058-2887-4A4C-B3A8-B9E935BC6D9E}"/>
    <cellStyle name="Standard 6 2 2 2 3 4 5" xfId="1604" xr:uid="{00000000-0005-0000-0000-00004B060000}"/>
    <cellStyle name="Standard 6 2 2 2 3 4 5 2" xfId="1605" xr:uid="{00000000-0005-0000-0000-00004C060000}"/>
    <cellStyle name="Standard 6 2 2 2 3 4 5 2 2" xfId="1606" xr:uid="{00000000-0005-0000-0000-00004D060000}"/>
    <cellStyle name="Standard 6 2 2 2 3 4 5 2 2 2" xfId="13567" xr:uid="{B90B588C-E846-44B5-9392-3E2D815F4204}"/>
    <cellStyle name="Standard 6 2 2 2 3 4 5 2 3" xfId="13566" xr:uid="{0E52C2F7-334C-4E9E-9CD5-DB015095C3E7}"/>
    <cellStyle name="Standard 6 2 2 2 3 4 5 3" xfId="1607" xr:uid="{00000000-0005-0000-0000-00004E060000}"/>
    <cellStyle name="Standard 6 2 2 2 3 4 5 3 2" xfId="13568" xr:uid="{A9C75DFE-E66C-451E-B5D0-27422BF662C6}"/>
    <cellStyle name="Standard 6 2 2 2 3 4 5 4" xfId="13565" xr:uid="{B3082F50-A3E7-4D08-AA7B-F8DD7098EA95}"/>
    <cellStyle name="Standard 6 2 2 2 3 4 6" xfId="1608" xr:uid="{00000000-0005-0000-0000-00004F060000}"/>
    <cellStyle name="Standard 6 2 2 2 3 4 6 2" xfId="1609" xr:uid="{00000000-0005-0000-0000-000050060000}"/>
    <cellStyle name="Standard 6 2 2 2 3 4 6 2 2" xfId="1610" xr:uid="{00000000-0005-0000-0000-000051060000}"/>
    <cellStyle name="Standard 6 2 2 2 3 4 6 2 2 2" xfId="13571" xr:uid="{628B96BB-409C-4C6E-A1B0-F57AE4BEC487}"/>
    <cellStyle name="Standard 6 2 2 2 3 4 6 2 3" xfId="13570" xr:uid="{E27A9769-CBB2-4A70-83BB-DB128FD1C2BA}"/>
    <cellStyle name="Standard 6 2 2 2 3 4 6 3" xfId="1611" xr:uid="{00000000-0005-0000-0000-000052060000}"/>
    <cellStyle name="Standard 6 2 2 2 3 4 6 3 2" xfId="13572" xr:uid="{34CFFB30-FFEF-4B93-8450-666E30B5FBF6}"/>
    <cellStyle name="Standard 6 2 2 2 3 4 6 4" xfId="13569" xr:uid="{73B4A191-9F9A-4175-AD4E-5CE3536728B7}"/>
    <cellStyle name="Standard 6 2 2 2 3 4 7" xfId="1612" xr:uid="{00000000-0005-0000-0000-000053060000}"/>
    <cellStyle name="Standard 6 2 2 2 3 4 7 2" xfId="1613" xr:uid="{00000000-0005-0000-0000-000054060000}"/>
    <cellStyle name="Standard 6 2 2 2 3 4 7 2 2" xfId="1614" xr:uid="{00000000-0005-0000-0000-000055060000}"/>
    <cellStyle name="Standard 6 2 2 2 3 4 7 2 2 2" xfId="13575" xr:uid="{C7B274C3-7BCC-460E-8B53-0CF1ED7485E4}"/>
    <cellStyle name="Standard 6 2 2 2 3 4 7 2 3" xfId="13574" xr:uid="{AD7C8A27-91CD-4C0B-8A38-AE811DD9110D}"/>
    <cellStyle name="Standard 6 2 2 2 3 4 7 3" xfId="1615" xr:uid="{00000000-0005-0000-0000-000056060000}"/>
    <cellStyle name="Standard 6 2 2 2 3 4 7 3 2" xfId="13576" xr:uid="{510A4F8B-F6B8-4FA9-84AF-341165BDC254}"/>
    <cellStyle name="Standard 6 2 2 2 3 4 7 4" xfId="13573" xr:uid="{9957C04F-D08F-4120-A5E2-E2C6B570DCBB}"/>
    <cellStyle name="Standard 6 2 2 2 3 4 8" xfId="1616" xr:uid="{00000000-0005-0000-0000-000057060000}"/>
    <cellStyle name="Standard 6 2 2 2 3 4 8 2" xfId="1617" xr:uid="{00000000-0005-0000-0000-000058060000}"/>
    <cellStyle name="Standard 6 2 2 2 3 4 8 2 2" xfId="1618" xr:uid="{00000000-0005-0000-0000-000059060000}"/>
    <cellStyle name="Standard 6 2 2 2 3 4 8 2 2 2" xfId="13579" xr:uid="{C7C6F015-780E-4168-9DB2-BC613C957EBD}"/>
    <cellStyle name="Standard 6 2 2 2 3 4 8 2 3" xfId="13578" xr:uid="{62773A70-AE83-4DDF-868B-0A575EBDB703}"/>
    <cellStyle name="Standard 6 2 2 2 3 4 8 3" xfId="1619" xr:uid="{00000000-0005-0000-0000-00005A060000}"/>
    <cellStyle name="Standard 6 2 2 2 3 4 8 3 2" xfId="13580" xr:uid="{FE635A9E-94D9-4F53-BC27-0BD4A1E8F887}"/>
    <cellStyle name="Standard 6 2 2 2 3 4 8 4" xfId="13577" xr:uid="{0DDF33EF-216B-466C-AE22-1000E648AFF6}"/>
    <cellStyle name="Standard 6 2 2 2 3 4 9" xfId="1620" xr:uid="{00000000-0005-0000-0000-00005B060000}"/>
    <cellStyle name="Standard 6 2 2 2 3 4 9 2" xfId="1621" xr:uid="{00000000-0005-0000-0000-00005C060000}"/>
    <cellStyle name="Standard 6 2 2 2 3 4 9 2 2" xfId="13582" xr:uid="{252B2865-2C0B-4B0A-9E30-AE53844B70AD}"/>
    <cellStyle name="Standard 6 2 2 2 3 4 9 3" xfId="13581" xr:uid="{3A3A6C85-C319-46D4-9F6C-A87174FA084A}"/>
    <cellStyle name="Standard 6 2 2 2 3 5" xfId="1622" xr:uid="{00000000-0005-0000-0000-00005D060000}"/>
    <cellStyle name="Standard 6 2 2 2 3 5 10" xfId="1623" xr:uid="{00000000-0005-0000-0000-00005E060000}"/>
    <cellStyle name="Standard 6 2 2 2 3 5 10 2" xfId="13584" xr:uid="{B9F8F5A4-E9D4-4492-941A-B47B443C0FAC}"/>
    <cellStyle name="Standard 6 2 2 2 3 5 11" xfId="13583" xr:uid="{31526662-4534-44A8-B5F5-EC785F2CD05D}"/>
    <cellStyle name="Standard 6 2 2 2 3 5 2" xfId="1624" xr:uid="{00000000-0005-0000-0000-00005F060000}"/>
    <cellStyle name="Standard 6 2 2 2 3 5 2 10" xfId="13585" xr:uid="{216129AD-AA4F-432B-8C6F-1128C13E866F}"/>
    <cellStyle name="Standard 6 2 2 2 3 5 2 2" xfId="1625" xr:uid="{00000000-0005-0000-0000-000060060000}"/>
    <cellStyle name="Standard 6 2 2 2 3 5 2 2 2" xfId="1626" xr:uid="{00000000-0005-0000-0000-000061060000}"/>
    <cellStyle name="Standard 6 2 2 2 3 5 2 2 2 2" xfId="1627" xr:uid="{00000000-0005-0000-0000-000062060000}"/>
    <cellStyle name="Standard 6 2 2 2 3 5 2 2 2 2 2" xfId="13588" xr:uid="{C4969769-DC69-49A2-8D00-0A3529B4D540}"/>
    <cellStyle name="Standard 6 2 2 2 3 5 2 2 2 3" xfId="13587" xr:uid="{82E4D47B-E416-42D8-8668-2CA31A476218}"/>
    <cellStyle name="Standard 6 2 2 2 3 5 2 2 3" xfId="1628" xr:uid="{00000000-0005-0000-0000-000063060000}"/>
    <cellStyle name="Standard 6 2 2 2 3 5 2 2 3 2" xfId="13589" xr:uid="{8BE86041-FF40-48E3-A30C-98C91AE40BDF}"/>
    <cellStyle name="Standard 6 2 2 2 3 5 2 2 4" xfId="13586" xr:uid="{47C55548-7628-4E8E-A0D8-D65530EC6ACC}"/>
    <cellStyle name="Standard 6 2 2 2 3 5 2 3" xfId="1629" xr:uid="{00000000-0005-0000-0000-000064060000}"/>
    <cellStyle name="Standard 6 2 2 2 3 5 2 3 2" xfId="1630" xr:uid="{00000000-0005-0000-0000-000065060000}"/>
    <cellStyle name="Standard 6 2 2 2 3 5 2 3 2 2" xfId="1631" xr:uid="{00000000-0005-0000-0000-000066060000}"/>
    <cellStyle name="Standard 6 2 2 2 3 5 2 3 2 2 2" xfId="13592" xr:uid="{918A7421-336C-431E-83AA-E967728AADD6}"/>
    <cellStyle name="Standard 6 2 2 2 3 5 2 3 2 3" xfId="13591" xr:uid="{EE059495-2FD9-468D-B1FE-A77DB1225574}"/>
    <cellStyle name="Standard 6 2 2 2 3 5 2 3 3" xfId="1632" xr:uid="{00000000-0005-0000-0000-000067060000}"/>
    <cellStyle name="Standard 6 2 2 2 3 5 2 3 3 2" xfId="13593" xr:uid="{1B471419-42A0-40C4-8287-C838983441DE}"/>
    <cellStyle name="Standard 6 2 2 2 3 5 2 3 4" xfId="13590" xr:uid="{C914AC48-F34A-4178-AEEF-2A62013E17AC}"/>
    <cellStyle name="Standard 6 2 2 2 3 5 2 4" xfId="1633" xr:uid="{00000000-0005-0000-0000-000068060000}"/>
    <cellStyle name="Standard 6 2 2 2 3 5 2 4 2" xfId="1634" xr:uid="{00000000-0005-0000-0000-000069060000}"/>
    <cellStyle name="Standard 6 2 2 2 3 5 2 4 2 2" xfId="1635" xr:uid="{00000000-0005-0000-0000-00006A060000}"/>
    <cellStyle name="Standard 6 2 2 2 3 5 2 4 2 2 2" xfId="13596" xr:uid="{971AC9A1-E9F1-42CA-B95F-8AC3C1B82E0D}"/>
    <cellStyle name="Standard 6 2 2 2 3 5 2 4 2 3" xfId="13595" xr:uid="{5D3F5559-9747-4F46-8BF6-9C1F7BF9A12F}"/>
    <cellStyle name="Standard 6 2 2 2 3 5 2 4 3" xfId="1636" xr:uid="{00000000-0005-0000-0000-00006B060000}"/>
    <cellStyle name="Standard 6 2 2 2 3 5 2 4 3 2" xfId="13597" xr:uid="{9EA9434E-3185-4714-A5D2-7939DFCA0722}"/>
    <cellStyle name="Standard 6 2 2 2 3 5 2 4 4" xfId="13594" xr:uid="{3A51B0AE-1A13-4FBD-AC35-477BE1236906}"/>
    <cellStyle name="Standard 6 2 2 2 3 5 2 5" xfId="1637" xr:uid="{00000000-0005-0000-0000-00006C060000}"/>
    <cellStyle name="Standard 6 2 2 2 3 5 2 5 2" xfId="1638" xr:uid="{00000000-0005-0000-0000-00006D060000}"/>
    <cellStyle name="Standard 6 2 2 2 3 5 2 5 2 2" xfId="1639" xr:uid="{00000000-0005-0000-0000-00006E060000}"/>
    <cellStyle name="Standard 6 2 2 2 3 5 2 5 2 2 2" xfId="13600" xr:uid="{9626B4D5-3833-47AD-B0CA-009566322E62}"/>
    <cellStyle name="Standard 6 2 2 2 3 5 2 5 2 3" xfId="13599" xr:uid="{056C1BAE-54BC-48E7-BFB5-515F2299D3F1}"/>
    <cellStyle name="Standard 6 2 2 2 3 5 2 5 3" xfId="1640" xr:uid="{00000000-0005-0000-0000-00006F060000}"/>
    <cellStyle name="Standard 6 2 2 2 3 5 2 5 3 2" xfId="13601" xr:uid="{43953206-E1A9-4C60-868C-898A623B0637}"/>
    <cellStyle name="Standard 6 2 2 2 3 5 2 5 4" xfId="13598" xr:uid="{29EEE2AA-A79E-43C6-9FFB-291EB7E7A7A2}"/>
    <cellStyle name="Standard 6 2 2 2 3 5 2 6" xfId="1641" xr:uid="{00000000-0005-0000-0000-000070060000}"/>
    <cellStyle name="Standard 6 2 2 2 3 5 2 6 2" xfId="1642" xr:uid="{00000000-0005-0000-0000-000071060000}"/>
    <cellStyle name="Standard 6 2 2 2 3 5 2 6 2 2" xfId="1643" xr:uid="{00000000-0005-0000-0000-000072060000}"/>
    <cellStyle name="Standard 6 2 2 2 3 5 2 6 2 2 2" xfId="13604" xr:uid="{0E63FDA4-18ED-422F-8714-F6134A4C1F25}"/>
    <cellStyle name="Standard 6 2 2 2 3 5 2 6 2 3" xfId="13603" xr:uid="{FFE16C78-D0D7-4004-A768-2F1A212A214E}"/>
    <cellStyle name="Standard 6 2 2 2 3 5 2 6 3" xfId="1644" xr:uid="{00000000-0005-0000-0000-000073060000}"/>
    <cellStyle name="Standard 6 2 2 2 3 5 2 6 3 2" xfId="13605" xr:uid="{AB1BE740-BCBE-4C14-9390-5DD86313DFBD}"/>
    <cellStyle name="Standard 6 2 2 2 3 5 2 6 4" xfId="13602" xr:uid="{6B784CDC-4079-4656-A37A-8EA4A28B3F45}"/>
    <cellStyle name="Standard 6 2 2 2 3 5 2 7" xfId="1645" xr:uid="{00000000-0005-0000-0000-000074060000}"/>
    <cellStyle name="Standard 6 2 2 2 3 5 2 7 2" xfId="1646" xr:uid="{00000000-0005-0000-0000-000075060000}"/>
    <cellStyle name="Standard 6 2 2 2 3 5 2 7 2 2" xfId="1647" xr:uid="{00000000-0005-0000-0000-000076060000}"/>
    <cellStyle name="Standard 6 2 2 2 3 5 2 7 2 2 2" xfId="13608" xr:uid="{B4D8FB17-B6B1-44A9-BB6E-A0F59D67370C}"/>
    <cellStyle name="Standard 6 2 2 2 3 5 2 7 2 3" xfId="13607" xr:uid="{CABC6A8F-B902-4910-9DD4-4D60F87E03C1}"/>
    <cellStyle name="Standard 6 2 2 2 3 5 2 7 3" xfId="1648" xr:uid="{00000000-0005-0000-0000-000077060000}"/>
    <cellStyle name="Standard 6 2 2 2 3 5 2 7 3 2" xfId="13609" xr:uid="{0137E144-4B59-4AE3-95D9-F0096BFCF604}"/>
    <cellStyle name="Standard 6 2 2 2 3 5 2 7 4" xfId="13606" xr:uid="{E9ABDECE-6DE8-43A2-B957-E466F11D5B6F}"/>
    <cellStyle name="Standard 6 2 2 2 3 5 2 8" xfId="1649" xr:uid="{00000000-0005-0000-0000-000078060000}"/>
    <cellStyle name="Standard 6 2 2 2 3 5 2 8 2" xfId="1650" xr:uid="{00000000-0005-0000-0000-000079060000}"/>
    <cellStyle name="Standard 6 2 2 2 3 5 2 8 2 2" xfId="13611" xr:uid="{5F4E6599-FCAC-4116-BE27-E8D4EFCACA13}"/>
    <cellStyle name="Standard 6 2 2 2 3 5 2 8 3" xfId="13610" xr:uid="{1AB9E412-6738-4CA9-99FD-BA37CF21EAA6}"/>
    <cellStyle name="Standard 6 2 2 2 3 5 2 9" xfId="1651" xr:uid="{00000000-0005-0000-0000-00007A060000}"/>
    <cellStyle name="Standard 6 2 2 2 3 5 2 9 2" xfId="13612" xr:uid="{622F1D22-EBCE-4B74-8701-313ABBC35EFC}"/>
    <cellStyle name="Standard 6 2 2 2 3 5 3" xfId="1652" xr:uid="{00000000-0005-0000-0000-00007B060000}"/>
    <cellStyle name="Standard 6 2 2 2 3 5 3 2" xfId="1653" xr:uid="{00000000-0005-0000-0000-00007C060000}"/>
    <cellStyle name="Standard 6 2 2 2 3 5 3 2 2" xfId="1654" xr:uid="{00000000-0005-0000-0000-00007D060000}"/>
    <cellStyle name="Standard 6 2 2 2 3 5 3 2 2 2" xfId="13615" xr:uid="{DBFF2049-D4AC-4A59-9358-77F9A4E1D31F}"/>
    <cellStyle name="Standard 6 2 2 2 3 5 3 2 3" xfId="13614" xr:uid="{AEEC564F-5EF7-4CC1-9C2C-F6678BFB6801}"/>
    <cellStyle name="Standard 6 2 2 2 3 5 3 3" xfId="1655" xr:uid="{00000000-0005-0000-0000-00007E060000}"/>
    <cellStyle name="Standard 6 2 2 2 3 5 3 3 2" xfId="13616" xr:uid="{5FB23218-27D0-4E2C-A1C0-0DA21F39A507}"/>
    <cellStyle name="Standard 6 2 2 2 3 5 3 4" xfId="13613" xr:uid="{34D2C170-EE07-4FDB-88FA-D9E4F653B28A}"/>
    <cellStyle name="Standard 6 2 2 2 3 5 4" xfId="1656" xr:uid="{00000000-0005-0000-0000-00007F060000}"/>
    <cellStyle name="Standard 6 2 2 2 3 5 4 2" xfId="1657" xr:uid="{00000000-0005-0000-0000-000080060000}"/>
    <cellStyle name="Standard 6 2 2 2 3 5 4 2 2" xfId="1658" xr:uid="{00000000-0005-0000-0000-000081060000}"/>
    <cellStyle name="Standard 6 2 2 2 3 5 4 2 2 2" xfId="13619" xr:uid="{2596C9AD-1D2F-475A-A174-040BF2F46658}"/>
    <cellStyle name="Standard 6 2 2 2 3 5 4 2 3" xfId="13618" xr:uid="{1E51AB30-A266-4CE1-8156-6F72E1075927}"/>
    <cellStyle name="Standard 6 2 2 2 3 5 4 3" xfId="1659" xr:uid="{00000000-0005-0000-0000-000082060000}"/>
    <cellStyle name="Standard 6 2 2 2 3 5 4 3 2" xfId="13620" xr:uid="{A080CB7E-1233-4DF4-A030-343F3D88A098}"/>
    <cellStyle name="Standard 6 2 2 2 3 5 4 4" xfId="13617" xr:uid="{E1B67CC9-9B44-4FF4-88A6-DC3BC3063EF3}"/>
    <cellStyle name="Standard 6 2 2 2 3 5 5" xfId="1660" xr:uid="{00000000-0005-0000-0000-000083060000}"/>
    <cellStyle name="Standard 6 2 2 2 3 5 5 2" xfId="1661" xr:uid="{00000000-0005-0000-0000-000084060000}"/>
    <cellStyle name="Standard 6 2 2 2 3 5 5 2 2" xfId="1662" xr:uid="{00000000-0005-0000-0000-000085060000}"/>
    <cellStyle name="Standard 6 2 2 2 3 5 5 2 2 2" xfId="13623" xr:uid="{8C038E12-9E35-4956-B532-51273A9620A0}"/>
    <cellStyle name="Standard 6 2 2 2 3 5 5 2 3" xfId="13622" xr:uid="{53999FA5-D533-409B-B977-1E29952FB32C}"/>
    <cellStyle name="Standard 6 2 2 2 3 5 5 3" xfId="1663" xr:uid="{00000000-0005-0000-0000-000086060000}"/>
    <cellStyle name="Standard 6 2 2 2 3 5 5 3 2" xfId="13624" xr:uid="{EED52330-B45F-48FA-BBBE-08AE5104095D}"/>
    <cellStyle name="Standard 6 2 2 2 3 5 5 4" xfId="13621" xr:uid="{4539478A-3989-48A5-AF83-3561075D196B}"/>
    <cellStyle name="Standard 6 2 2 2 3 5 6" xfId="1664" xr:uid="{00000000-0005-0000-0000-000087060000}"/>
    <cellStyle name="Standard 6 2 2 2 3 5 6 2" xfId="1665" xr:uid="{00000000-0005-0000-0000-000088060000}"/>
    <cellStyle name="Standard 6 2 2 2 3 5 6 2 2" xfId="1666" xr:uid="{00000000-0005-0000-0000-000089060000}"/>
    <cellStyle name="Standard 6 2 2 2 3 5 6 2 2 2" xfId="13627" xr:uid="{97D66AB2-C4B3-46E1-98B5-FD147F749E38}"/>
    <cellStyle name="Standard 6 2 2 2 3 5 6 2 3" xfId="13626" xr:uid="{8A9395FD-CF4A-42BB-84BA-75257989CC87}"/>
    <cellStyle name="Standard 6 2 2 2 3 5 6 3" xfId="1667" xr:uid="{00000000-0005-0000-0000-00008A060000}"/>
    <cellStyle name="Standard 6 2 2 2 3 5 6 3 2" xfId="13628" xr:uid="{2157FB6D-89EA-46E3-BD82-939F8FF3AD8C}"/>
    <cellStyle name="Standard 6 2 2 2 3 5 6 4" xfId="13625" xr:uid="{5164B1BF-8459-4989-82E1-9230FBDF1E12}"/>
    <cellStyle name="Standard 6 2 2 2 3 5 7" xfId="1668" xr:uid="{00000000-0005-0000-0000-00008B060000}"/>
    <cellStyle name="Standard 6 2 2 2 3 5 7 2" xfId="1669" xr:uid="{00000000-0005-0000-0000-00008C060000}"/>
    <cellStyle name="Standard 6 2 2 2 3 5 7 2 2" xfId="1670" xr:uid="{00000000-0005-0000-0000-00008D060000}"/>
    <cellStyle name="Standard 6 2 2 2 3 5 7 2 2 2" xfId="13631" xr:uid="{33E88B34-61A7-41D4-AC82-49CE9207B7A8}"/>
    <cellStyle name="Standard 6 2 2 2 3 5 7 2 3" xfId="13630" xr:uid="{258DEF9B-C8B7-44B9-A40E-32E87C9C707E}"/>
    <cellStyle name="Standard 6 2 2 2 3 5 7 3" xfId="1671" xr:uid="{00000000-0005-0000-0000-00008E060000}"/>
    <cellStyle name="Standard 6 2 2 2 3 5 7 3 2" xfId="13632" xr:uid="{5DF65D6C-7639-490E-8202-CAC23296F5A7}"/>
    <cellStyle name="Standard 6 2 2 2 3 5 7 4" xfId="13629" xr:uid="{5CD0C76A-865F-4CA3-A120-3F5E4F2A5CD5}"/>
    <cellStyle name="Standard 6 2 2 2 3 5 8" xfId="1672" xr:uid="{00000000-0005-0000-0000-00008F060000}"/>
    <cellStyle name="Standard 6 2 2 2 3 5 8 2" xfId="1673" xr:uid="{00000000-0005-0000-0000-000090060000}"/>
    <cellStyle name="Standard 6 2 2 2 3 5 8 2 2" xfId="1674" xr:uid="{00000000-0005-0000-0000-000091060000}"/>
    <cellStyle name="Standard 6 2 2 2 3 5 8 2 2 2" xfId="13635" xr:uid="{B21CFEAA-0960-4F66-B720-73C8E344D2E2}"/>
    <cellStyle name="Standard 6 2 2 2 3 5 8 2 3" xfId="13634" xr:uid="{3B60AB78-7629-45F5-A03A-AF2305498397}"/>
    <cellStyle name="Standard 6 2 2 2 3 5 8 3" xfId="1675" xr:uid="{00000000-0005-0000-0000-000092060000}"/>
    <cellStyle name="Standard 6 2 2 2 3 5 8 3 2" xfId="13636" xr:uid="{ECFE57A9-AA1D-4782-904F-4A829D03747B}"/>
    <cellStyle name="Standard 6 2 2 2 3 5 8 4" xfId="13633" xr:uid="{0ED09AA0-B9A2-4021-BC2F-FC329CD6CA40}"/>
    <cellStyle name="Standard 6 2 2 2 3 5 9" xfId="1676" xr:uid="{00000000-0005-0000-0000-000093060000}"/>
    <cellStyle name="Standard 6 2 2 2 3 5 9 2" xfId="1677" xr:uid="{00000000-0005-0000-0000-000094060000}"/>
    <cellStyle name="Standard 6 2 2 2 3 5 9 2 2" xfId="13638" xr:uid="{CA34B985-3F05-4F9B-B553-8E0CDA346ED5}"/>
    <cellStyle name="Standard 6 2 2 2 3 5 9 3" xfId="13637" xr:uid="{B9445738-6E37-4430-979C-80DC1ACC243B}"/>
    <cellStyle name="Standard 6 2 2 2 3 6" xfId="1678" xr:uid="{00000000-0005-0000-0000-000095060000}"/>
    <cellStyle name="Standard 6 2 2 2 3 6 10" xfId="1679" xr:uid="{00000000-0005-0000-0000-000096060000}"/>
    <cellStyle name="Standard 6 2 2 2 3 6 10 2" xfId="13640" xr:uid="{33C1E3F7-A821-48E4-AD7A-B6FD3B09205A}"/>
    <cellStyle name="Standard 6 2 2 2 3 6 11" xfId="13639" xr:uid="{84CF1147-A865-4465-83F9-877DAB1CCF9F}"/>
    <cellStyle name="Standard 6 2 2 2 3 6 2" xfId="1680" xr:uid="{00000000-0005-0000-0000-000097060000}"/>
    <cellStyle name="Standard 6 2 2 2 3 6 2 10" xfId="13641" xr:uid="{BCEDB9F5-1F52-46D2-B36E-3EDDB0E79F86}"/>
    <cellStyle name="Standard 6 2 2 2 3 6 2 2" xfId="1681" xr:uid="{00000000-0005-0000-0000-000098060000}"/>
    <cellStyle name="Standard 6 2 2 2 3 6 2 2 2" xfId="1682" xr:uid="{00000000-0005-0000-0000-000099060000}"/>
    <cellStyle name="Standard 6 2 2 2 3 6 2 2 2 2" xfId="1683" xr:uid="{00000000-0005-0000-0000-00009A060000}"/>
    <cellStyle name="Standard 6 2 2 2 3 6 2 2 2 2 2" xfId="13644" xr:uid="{4BC2F15C-A472-4E04-ACFD-464E17A0BF74}"/>
    <cellStyle name="Standard 6 2 2 2 3 6 2 2 2 3" xfId="13643" xr:uid="{D05A6D83-1D0B-46C9-A8B7-586D730EB604}"/>
    <cellStyle name="Standard 6 2 2 2 3 6 2 2 3" xfId="1684" xr:uid="{00000000-0005-0000-0000-00009B060000}"/>
    <cellStyle name="Standard 6 2 2 2 3 6 2 2 3 2" xfId="13645" xr:uid="{3EB2A0EE-19A8-4B2B-A0F6-AC3DCFF060ED}"/>
    <cellStyle name="Standard 6 2 2 2 3 6 2 2 4" xfId="13642" xr:uid="{BD53C7C9-AB91-4A5C-A6A6-597273C5A158}"/>
    <cellStyle name="Standard 6 2 2 2 3 6 2 3" xfId="1685" xr:uid="{00000000-0005-0000-0000-00009C060000}"/>
    <cellStyle name="Standard 6 2 2 2 3 6 2 3 2" xfId="1686" xr:uid="{00000000-0005-0000-0000-00009D060000}"/>
    <cellStyle name="Standard 6 2 2 2 3 6 2 3 2 2" xfId="1687" xr:uid="{00000000-0005-0000-0000-00009E060000}"/>
    <cellStyle name="Standard 6 2 2 2 3 6 2 3 2 2 2" xfId="13648" xr:uid="{172CEC0B-290D-401E-AB42-D1C565F843D6}"/>
    <cellStyle name="Standard 6 2 2 2 3 6 2 3 2 3" xfId="13647" xr:uid="{526F1C8E-158E-448B-9937-E5A0F1749091}"/>
    <cellStyle name="Standard 6 2 2 2 3 6 2 3 3" xfId="1688" xr:uid="{00000000-0005-0000-0000-00009F060000}"/>
    <cellStyle name="Standard 6 2 2 2 3 6 2 3 3 2" xfId="13649" xr:uid="{32771F49-2DB1-4BD5-8CF6-F435ADE568E7}"/>
    <cellStyle name="Standard 6 2 2 2 3 6 2 3 4" xfId="13646" xr:uid="{B8434790-A6EB-4133-8D0D-2A16296F1131}"/>
    <cellStyle name="Standard 6 2 2 2 3 6 2 4" xfId="1689" xr:uid="{00000000-0005-0000-0000-0000A0060000}"/>
    <cellStyle name="Standard 6 2 2 2 3 6 2 4 2" xfId="1690" xr:uid="{00000000-0005-0000-0000-0000A1060000}"/>
    <cellStyle name="Standard 6 2 2 2 3 6 2 4 2 2" xfId="1691" xr:uid="{00000000-0005-0000-0000-0000A2060000}"/>
    <cellStyle name="Standard 6 2 2 2 3 6 2 4 2 2 2" xfId="13652" xr:uid="{F1D488C4-C36C-4E3C-9A26-854514C4F113}"/>
    <cellStyle name="Standard 6 2 2 2 3 6 2 4 2 3" xfId="13651" xr:uid="{6A1D4FD4-36AB-4BE1-93E8-033D146237C3}"/>
    <cellStyle name="Standard 6 2 2 2 3 6 2 4 3" xfId="1692" xr:uid="{00000000-0005-0000-0000-0000A3060000}"/>
    <cellStyle name="Standard 6 2 2 2 3 6 2 4 3 2" xfId="13653" xr:uid="{78D5BEF4-B8A9-4225-B63D-A96A30C832DC}"/>
    <cellStyle name="Standard 6 2 2 2 3 6 2 4 4" xfId="13650" xr:uid="{A83B98AC-7038-4045-B946-042440EA17D2}"/>
    <cellStyle name="Standard 6 2 2 2 3 6 2 5" xfId="1693" xr:uid="{00000000-0005-0000-0000-0000A4060000}"/>
    <cellStyle name="Standard 6 2 2 2 3 6 2 5 2" xfId="1694" xr:uid="{00000000-0005-0000-0000-0000A5060000}"/>
    <cellStyle name="Standard 6 2 2 2 3 6 2 5 2 2" xfId="1695" xr:uid="{00000000-0005-0000-0000-0000A6060000}"/>
    <cellStyle name="Standard 6 2 2 2 3 6 2 5 2 2 2" xfId="13656" xr:uid="{D4C4C908-B698-4F8D-9BBD-BEA5C83DB654}"/>
    <cellStyle name="Standard 6 2 2 2 3 6 2 5 2 3" xfId="13655" xr:uid="{228808A4-848F-4B5F-A298-8BB25A187510}"/>
    <cellStyle name="Standard 6 2 2 2 3 6 2 5 3" xfId="1696" xr:uid="{00000000-0005-0000-0000-0000A7060000}"/>
    <cellStyle name="Standard 6 2 2 2 3 6 2 5 3 2" xfId="13657" xr:uid="{40AEC29D-F6F7-4E92-BD2D-4DE51B004677}"/>
    <cellStyle name="Standard 6 2 2 2 3 6 2 5 4" xfId="13654" xr:uid="{248EF916-79AF-4669-9779-D08464F657E3}"/>
    <cellStyle name="Standard 6 2 2 2 3 6 2 6" xfId="1697" xr:uid="{00000000-0005-0000-0000-0000A8060000}"/>
    <cellStyle name="Standard 6 2 2 2 3 6 2 6 2" xfId="1698" xr:uid="{00000000-0005-0000-0000-0000A9060000}"/>
    <cellStyle name="Standard 6 2 2 2 3 6 2 6 2 2" xfId="1699" xr:uid="{00000000-0005-0000-0000-0000AA060000}"/>
    <cellStyle name="Standard 6 2 2 2 3 6 2 6 2 2 2" xfId="13660" xr:uid="{8E863E39-7D98-415C-9EF2-0DFEBF0A9A08}"/>
    <cellStyle name="Standard 6 2 2 2 3 6 2 6 2 3" xfId="13659" xr:uid="{54289FD1-F9FA-4DF1-BADE-04BB94C55CAB}"/>
    <cellStyle name="Standard 6 2 2 2 3 6 2 6 3" xfId="1700" xr:uid="{00000000-0005-0000-0000-0000AB060000}"/>
    <cellStyle name="Standard 6 2 2 2 3 6 2 6 3 2" xfId="13661" xr:uid="{7B72DBFA-9861-417E-BD88-F5AA278715FD}"/>
    <cellStyle name="Standard 6 2 2 2 3 6 2 6 4" xfId="13658" xr:uid="{E91D1C3E-1B73-4433-B049-9F3A81D13FD8}"/>
    <cellStyle name="Standard 6 2 2 2 3 6 2 7" xfId="1701" xr:uid="{00000000-0005-0000-0000-0000AC060000}"/>
    <cellStyle name="Standard 6 2 2 2 3 6 2 7 2" xfId="1702" xr:uid="{00000000-0005-0000-0000-0000AD060000}"/>
    <cellStyle name="Standard 6 2 2 2 3 6 2 7 2 2" xfId="1703" xr:uid="{00000000-0005-0000-0000-0000AE060000}"/>
    <cellStyle name="Standard 6 2 2 2 3 6 2 7 2 2 2" xfId="13664" xr:uid="{CF7FA16E-0D64-41E1-AC4E-6A7A55DC8947}"/>
    <cellStyle name="Standard 6 2 2 2 3 6 2 7 2 3" xfId="13663" xr:uid="{1900A484-C374-4A9F-9C4E-9DB4A8408FB2}"/>
    <cellStyle name="Standard 6 2 2 2 3 6 2 7 3" xfId="1704" xr:uid="{00000000-0005-0000-0000-0000AF060000}"/>
    <cellStyle name="Standard 6 2 2 2 3 6 2 7 3 2" xfId="13665" xr:uid="{761F5E16-7CA9-4ACC-BE06-55BD412913F9}"/>
    <cellStyle name="Standard 6 2 2 2 3 6 2 7 4" xfId="13662" xr:uid="{FCAD7884-03CB-40EC-8586-9C996F9DE9AC}"/>
    <cellStyle name="Standard 6 2 2 2 3 6 2 8" xfId="1705" xr:uid="{00000000-0005-0000-0000-0000B0060000}"/>
    <cellStyle name="Standard 6 2 2 2 3 6 2 8 2" xfId="1706" xr:uid="{00000000-0005-0000-0000-0000B1060000}"/>
    <cellStyle name="Standard 6 2 2 2 3 6 2 8 2 2" xfId="13667" xr:uid="{647B0D49-BD26-41DF-B92B-CF4370989937}"/>
    <cellStyle name="Standard 6 2 2 2 3 6 2 8 3" xfId="13666" xr:uid="{CE789D0D-90C8-4402-8CB9-3D6BF7B1738D}"/>
    <cellStyle name="Standard 6 2 2 2 3 6 2 9" xfId="1707" xr:uid="{00000000-0005-0000-0000-0000B2060000}"/>
    <cellStyle name="Standard 6 2 2 2 3 6 2 9 2" xfId="13668" xr:uid="{4820A1D5-C8CD-4944-98CD-59679119F621}"/>
    <cellStyle name="Standard 6 2 2 2 3 6 3" xfId="1708" xr:uid="{00000000-0005-0000-0000-0000B3060000}"/>
    <cellStyle name="Standard 6 2 2 2 3 6 3 2" xfId="1709" xr:uid="{00000000-0005-0000-0000-0000B4060000}"/>
    <cellStyle name="Standard 6 2 2 2 3 6 3 2 2" xfId="1710" xr:uid="{00000000-0005-0000-0000-0000B5060000}"/>
    <cellStyle name="Standard 6 2 2 2 3 6 3 2 2 2" xfId="13671" xr:uid="{137F2817-F140-4A43-AE43-AB8B47F4B53A}"/>
    <cellStyle name="Standard 6 2 2 2 3 6 3 2 3" xfId="13670" xr:uid="{22913B12-2B35-4DDA-95B1-66497DCA971D}"/>
    <cellStyle name="Standard 6 2 2 2 3 6 3 3" xfId="1711" xr:uid="{00000000-0005-0000-0000-0000B6060000}"/>
    <cellStyle name="Standard 6 2 2 2 3 6 3 3 2" xfId="13672" xr:uid="{3B308039-4D7E-403E-9AD9-7BC99B1F0D3B}"/>
    <cellStyle name="Standard 6 2 2 2 3 6 3 4" xfId="13669" xr:uid="{097D0724-4883-454D-A3AD-92382F6F0E92}"/>
    <cellStyle name="Standard 6 2 2 2 3 6 4" xfId="1712" xr:uid="{00000000-0005-0000-0000-0000B7060000}"/>
    <cellStyle name="Standard 6 2 2 2 3 6 4 2" xfId="1713" xr:uid="{00000000-0005-0000-0000-0000B8060000}"/>
    <cellStyle name="Standard 6 2 2 2 3 6 4 2 2" xfId="1714" xr:uid="{00000000-0005-0000-0000-0000B9060000}"/>
    <cellStyle name="Standard 6 2 2 2 3 6 4 2 2 2" xfId="13675" xr:uid="{DF96A241-12DF-4E10-ACFF-89E95D097FFD}"/>
    <cellStyle name="Standard 6 2 2 2 3 6 4 2 3" xfId="13674" xr:uid="{7A55F031-8A93-4E68-BF70-5300BE31617B}"/>
    <cellStyle name="Standard 6 2 2 2 3 6 4 3" xfId="1715" xr:uid="{00000000-0005-0000-0000-0000BA060000}"/>
    <cellStyle name="Standard 6 2 2 2 3 6 4 3 2" xfId="13676" xr:uid="{999EA525-F6E8-4D56-88B6-5A39C2BC5D13}"/>
    <cellStyle name="Standard 6 2 2 2 3 6 4 4" xfId="13673" xr:uid="{7104381F-B5A1-4D60-BE23-F2CEB6BE9B58}"/>
    <cellStyle name="Standard 6 2 2 2 3 6 5" xfId="1716" xr:uid="{00000000-0005-0000-0000-0000BB060000}"/>
    <cellStyle name="Standard 6 2 2 2 3 6 5 2" xfId="1717" xr:uid="{00000000-0005-0000-0000-0000BC060000}"/>
    <cellStyle name="Standard 6 2 2 2 3 6 5 2 2" xfId="1718" xr:uid="{00000000-0005-0000-0000-0000BD060000}"/>
    <cellStyle name="Standard 6 2 2 2 3 6 5 2 2 2" xfId="13679" xr:uid="{3DBC6DBC-0E99-4D6A-9E7B-AD6206B1607A}"/>
    <cellStyle name="Standard 6 2 2 2 3 6 5 2 3" xfId="13678" xr:uid="{FBBA565D-8E76-4B4B-8E84-5875E8FD154B}"/>
    <cellStyle name="Standard 6 2 2 2 3 6 5 3" xfId="1719" xr:uid="{00000000-0005-0000-0000-0000BE060000}"/>
    <cellStyle name="Standard 6 2 2 2 3 6 5 3 2" xfId="13680" xr:uid="{584D2EB4-8753-4170-BEA5-EB24D7B22CAD}"/>
    <cellStyle name="Standard 6 2 2 2 3 6 5 4" xfId="13677" xr:uid="{22D1C2D8-CD1A-4E81-ABFA-1AB2A08F472D}"/>
    <cellStyle name="Standard 6 2 2 2 3 6 6" xfId="1720" xr:uid="{00000000-0005-0000-0000-0000BF060000}"/>
    <cellStyle name="Standard 6 2 2 2 3 6 6 2" xfId="1721" xr:uid="{00000000-0005-0000-0000-0000C0060000}"/>
    <cellStyle name="Standard 6 2 2 2 3 6 6 2 2" xfId="1722" xr:uid="{00000000-0005-0000-0000-0000C1060000}"/>
    <cellStyle name="Standard 6 2 2 2 3 6 6 2 2 2" xfId="13683" xr:uid="{49F67457-BE79-4B05-8EC8-281289A02E36}"/>
    <cellStyle name="Standard 6 2 2 2 3 6 6 2 3" xfId="13682" xr:uid="{0F9D73B6-F9DD-495E-9549-1BD3ECB67F5F}"/>
    <cellStyle name="Standard 6 2 2 2 3 6 6 3" xfId="1723" xr:uid="{00000000-0005-0000-0000-0000C2060000}"/>
    <cellStyle name="Standard 6 2 2 2 3 6 6 3 2" xfId="13684" xr:uid="{D00A79B4-13B7-4AF5-B82F-C08E52617314}"/>
    <cellStyle name="Standard 6 2 2 2 3 6 6 4" xfId="13681" xr:uid="{78F424E1-BA6C-458D-9590-D73979DE1738}"/>
    <cellStyle name="Standard 6 2 2 2 3 6 7" xfId="1724" xr:uid="{00000000-0005-0000-0000-0000C3060000}"/>
    <cellStyle name="Standard 6 2 2 2 3 6 7 2" xfId="1725" xr:uid="{00000000-0005-0000-0000-0000C4060000}"/>
    <cellStyle name="Standard 6 2 2 2 3 6 7 2 2" xfId="1726" xr:uid="{00000000-0005-0000-0000-0000C5060000}"/>
    <cellStyle name="Standard 6 2 2 2 3 6 7 2 2 2" xfId="13687" xr:uid="{5119783A-889F-4A1A-B79D-A58867CFDE78}"/>
    <cellStyle name="Standard 6 2 2 2 3 6 7 2 3" xfId="13686" xr:uid="{CC93A47A-CCA5-487D-95A2-AFD183B3E250}"/>
    <cellStyle name="Standard 6 2 2 2 3 6 7 3" xfId="1727" xr:uid="{00000000-0005-0000-0000-0000C6060000}"/>
    <cellStyle name="Standard 6 2 2 2 3 6 7 3 2" xfId="13688" xr:uid="{D575F089-D207-4C9D-94D1-8C6A3C717F25}"/>
    <cellStyle name="Standard 6 2 2 2 3 6 7 4" xfId="13685" xr:uid="{23AF95A0-3BAD-40E5-9AEC-B74BC674ACB2}"/>
    <cellStyle name="Standard 6 2 2 2 3 6 8" xfId="1728" xr:uid="{00000000-0005-0000-0000-0000C7060000}"/>
    <cellStyle name="Standard 6 2 2 2 3 6 8 2" xfId="1729" xr:uid="{00000000-0005-0000-0000-0000C8060000}"/>
    <cellStyle name="Standard 6 2 2 2 3 6 8 2 2" xfId="1730" xr:uid="{00000000-0005-0000-0000-0000C9060000}"/>
    <cellStyle name="Standard 6 2 2 2 3 6 8 2 2 2" xfId="13691" xr:uid="{F2B003A7-1429-434D-819D-01DEE50021FB}"/>
    <cellStyle name="Standard 6 2 2 2 3 6 8 2 3" xfId="13690" xr:uid="{0C06C33E-BDE7-41E7-96E1-60FFEDEB62DF}"/>
    <cellStyle name="Standard 6 2 2 2 3 6 8 3" xfId="1731" xr:uid="{00000000-0005-0000-0000-0000CA060000}"/>
    <cellStyle name="Standard 6 2 2 2 3 6 8 3 2" xfId="13692" xr:uid="{E08927D1-85EC-4BAC-94D4-4DAC28873A39}"/>
    <cellStyle name="Standard 6 2 2 2 3 6 8 4" xfId="13689" xr:uid="{D3F5285E-74B9-499D-9D62-F9617FB154EE}"/>
    <cellStyle name="Standard 6 2 2 2 3 6 9" xfId="1732" xr:uid="{00000000-0005-0000-0000-0000CB060000}"/>
    <cellStyle name="Standard 6 2 2 2 3 6 9 2" xfId="1733" xr:uid="{00000000-0005-0000-0000-0000CC060000}"/>
    <cellStyle name="Standard 6 2 2 2 3 6 9 2 2" xfId="13694" xr:uid="{40BDACA3-31AB-4005-B862-2086CBEF5CB1}"/>
    <cellStyle name="Standard 6 2 2 2 3 6 9 3" xfId="13693" xr:uid="{94CC9F48-F929-40A0-A0D5-DA24081436AD}"/>
    <cellStyle name="Standard 6 2 2 2 3 7" xfId="1734" xr:uid="{00000000-0005-0000-0000-0000CD060000}"/>
    <cellStyle name="Standard 6 2 2 2 3 7 10" xfId="1735" xr:uid="{00000000-0005-0000-0000-0000CE060000}"/>
    <cellStyle name="Standard 6 2 2 2 3 7 10 2" xfId="13696" xr:uid="{7EC56A45-38E5-4898-B9CC-B3F43710837A}"/>
    <cellStyle name="Standard 6 2 2 2 3 7 11" xfId="13695" xr:uid="{666D4529-E081-4F22-A869-68E344261CD3}"/>
    <cellStyle name="Standard 6 2 2 2 3 7 2" xfId="1736" xr:uid="{00000000-0005-0000-0000-0000CF060000}"/>
    <cellStyle name="Standard 6 2 2 2 3 7 2 10" xfId="13697" xr:uid="{472371E1-7AFA-475E-AFAA-00B6CD8D6B22}"/>
    <cellStyle name="Standard 6 2 2 2 3 7 2 2" xfId="1737" xr:uid="{00000000-0005-0000-0000-0000D0060000}"/>
    <cellStyle name="Standard 6 2 2 2 3 7 2 2 2" xfId="1738" xr:uid="{00000000-0005-0000-0000-0000D1060000}"/>
    <cellStyle name="Standard 6 2 2 2 3 7 2 2 2 2" xfId="1739" xr:uid="{00000000-0005-0000-0000-0000D2060000}"/>
    <cellStyle name="Standard 6 2 2 2 3 7 2 2 2 2 2" xfId="13700" xr:uid="{B669211A-2D1E-4EBC-9E8B-49F20069D434}"/>
    <cellStyle name="Standard 6 2 2 2 3 7 2 2 2 3" xfId="13699" xr:uid="{E5F6DD71-5581-412A-BBE4-71C718E82553}"/>
    <cellStyle name="Standard 6 2 2 2 3 7 2 2 3" xfId="1740" xr:uid="{00000000-0005-0000-0000-0000D3060000}"/>
    <cellStyle name="Standard 6 2 2 2 3 7 2 2 3 2" xfId="13701" xr:uid="{D1900FDE-39C5-4B42-8C07-C15DB9556397}"/>
    <cellStyle name="Standard 6 2 2 2 3 7 2 2 4" xfId="13698" xr:uid="{947F75FB-ADEF-4115-8153-CAF8F8E7E0CA}"/>
    <cellStyle name="Standard 6 2 2 2 3 7 2 3" xfId="1741" xr:uid="{00000000-0005-0000-0000-0000D4060000}"/>
    <cellStyle name="Standard 6 2 2 2 3 7 2 3 2" xfId="1742" xr:uid="{00000000-0005-0000-0000-0000D5060000}"/>
    <cellStyle name="Standard 6 2 2 2 3 7 2 3 2 2" xfId="1743" xr:uid="{00000000-0005-0000-0000-0000D6060000}"/>
    <cellStyle name="Standard 6 2 2 2 3 7 2 3 2 2 2" xfId="13704" xr:uid="{058A876B-6ABB-4935-8291-E5B7DD272088}"/>
    <cellStyle name="Standard 6 2 2 2 3 7 2 3 2 3" xfId="13703" xr:uid="{D8EAA348-ADC6-4A3D-BC45-A6DCB28B76B8}"/>
    <cellStyle name="Standard 6 2 2 2 3 7 2 3 3" xfId="1744" xr:uid="{00000000-0005-0000-0000-0000D7060000}"/>
    <cellStyle name="Standard 6 2 2 2 3 7 2 3 3 2" xfId="13705" xr:uid="{A0B8E630-A6F7-4CE8-A41F-A4CC62964221}"/>
    <cellStyle name="Standard 6 2 2 2 3 7 2 3 4" xfId="13702" xr:uid="{8D2A2F7A-DD0D-4618-82BA-108036654DF4}"/>
    <cellStyle name="Standard 6 2 2 2 3 7 2 4" xfId="1745" xr:uid="{00000000-0005-0000-0000-0000D8060000}"/>
    <cellStyle name="Standard 6 2 2 2 3 7 2 4 2" xfId="1746" xr:uid="{00000000-0005-0000-0000-0000D9060000}"/>
    <cellStyle name="Standard 6 2 2 2 3 7 2 4 2 2" xfId="1747" xr:uid="{00000000-0005-0000-0000-0000DA060000}"/>
    <cellStyle name="Standard 6 2 2 2 3 7 2 4 2 2 2" xfId="13708" xr:uid="{1D44233B-D580-4263-93AB-284FEAF60A5D}"/>
    <cellStyle name="Standard 6 2 2 2 3 7 2 4 2 3" xfId="13707" xr:uid="{8F9BF9C0-B3D7-46D8-85F6-4FE87AD7F44B}"/>
    <cellStyle name="Standard 6 2 2 2 3 7 2 4 3" xfId="1748" xr:uid="{00000000-0005-0000-0000-0000DB060000}"/>
    <cellStyle name="Standard 6 2 2 2 3 7 2 4 3 2" xfId="13709" xr:uid="{2656B94B-E755-4DF5-BEC9-B11567CFAC26}"/>
    <cellStyle name="Standard 6 2 2 2 3 7 2 4 4" xfId="13706" xr:uid="{62E98DEB-490D-4689-AE57-C9057376E519}"/>
    <cellStyle name="Standard 6 2 2 2 3 7 2 5" xfId="1749" xr:uid="{00000000-0005-0000-0000-0000DC060000}"/>
    <cellStyle name="Standard 6 2 2 2 3 7 2 5 2" xfId="1750" xr:uid="{00000000-0005-0000-0000-0000DD060000}"/>
    <cellStyle name="Standard 6 2 2 2 3 7 2 5 2 2" xfId="1751" xr:uid="{00000000-0005-0000-0000-0000DE060000}"/>
    <cellStyle name="Standard 6 2 2 2 3 7 2 5 2 2 2" xfId="13712" xr:uid="{72BD4F6D-A5C3-4D2C-882A-0E2003D8298F}"/>
    <cellStyle name="Standard 6 2 2 2 3 7 2 5 2 3" xfId="13711" xr:uid="{59E996FD-2AD3-4B1F-8E0A-8B10FD419D79}"/>
    <cellStyle name="Standard 6 2 2 2 3 7 2 5 3" xfId="1752" xr:uid="{00000000-0005-0000-0000-0000DF060000}"/>
    <cellStyle name="Standard 6 2 2 2 3 7 2 5 3 2" xfId="13713" xr:uid="{185CF343-2F4D-4BA0-98BD-E422FF655882}"/>
    <cellStyle name="Standard 6 2 2 2 3 7 2 5 4" xfId="13710" xr:uid="{753A4A8F-931E-423A-A609-4B8E3ED9B0E6}"/>
    <cellStyle name="Standard 6 2 2 2 3 7 2 6" xfId="1753" xr:uid="{00000000-0005-0000-0000-0000E0060000}"/>
    <cellStyle name="Standard 6 2 2 2 3 7 2 6 2" xfId="1754" xr:uid="{00000000-0005-0000-0000-0000E1060000}"/>
    <cellStyle name="Standard 6 2 2 2 3 7 2 6 2 2" xfId="1755" xr:uid="{00000000-0005-0000-0000-0000E2060000}"/>
    <cellStyle name="Standard 6 2 2 2 3 7 2 6 2 2 2" xfId="13716" xr:uid="{86116D13-3A8B-48D2-997F-A3A21C88E0AE}"/>
    <cellStyle name="Standard 6 2 2 2 3 7 2 6 2 3" xfId="13715" xr:uid="{910FA449-A8F5-44B7-B80E-0F6D9E6EB667}"/>
    <cellStyle name="Standard 6 2 2 2 3 7 2 6 3" xfId="1756" xr:uid="{00000000-0005-0000-0000-0000E3060000}"/>
    <cellStyle name="Standard 6 2 2 2 3 7 2 6 3 2" xfId="13717" xr:uid="{02FC438C-F58B-4132-8ED5-EDFBD75BA914}"/>
    <cellStyle name="Standard 6 2 2 2 3 7 2 6 4" xfId="13714" xr:uid="{B28F2BC6-50C5-47D9-9C1E-B93D707DFF2D}"/>
    <cellStyle name="Standard 6 2 2 2 3 7 2 7" xfId="1757" xr:uid="{00000000-0005-0000-0000-0000E4060000}"/>
    <cellStyle name="Standard 6 2 2 2 3 7 2 7 2" xfId="1758" xr:uid="{00000000-0005-0000-0000-0000E5060000}"/>
    <cellStyle name="Standard 6 2 2 2 3 7 2 7 2 2" xfId="1759" xr:uid="{00000000-0005-0000-0000-0000E6060000}"/>
    <cellStyle name="Standard 6 2 2 2 3 7 2 7 2 2 2" xfId="13720" xr:uid="{19D1D2DE-8818-488D-B187-FFD8CC904C4F}"/>
    <cellStyle name="Standard 6 2 2 2 3 7 2 7 2 3" xfId="13719" xr:uid="{5BD3707A-6280-4615-9D53-1D539789011E}"/>
    <cellStyle name="Standard 6 2 2 2 3 7 2 7 3" xfId="1760" xr:uid="{00000000-0005-0000-0000-0000E7060000}"/>
    <cellStyle name="Standard 6 2 2 2 3 7 2 7 3 2" xfId="13721" xr:uid="{9145DE15-FA24-44E9-818A-11946176B344}"/>
    <cellStyle name="Standard 6 2 2 2 3 7 2 7 4" xfId="13718" xr:uid="{A5E742CA-62FD-4481-94DA-BA7CA4C13A03}"/>
    <cellStyle name="Standard 6 2 2 2 3 7 2 8" xfId="1761" xr:uid="{00000000-0005-0000-0000-0000E8060000}"/>
    <cellStyle name="Standard 6 2 2 2 3 7 2 8 2" xfId="1762" xr:uid="{00000000-0005-0000-0000-0000E9060000}"/>
    <cellStyle name="Standard 6 2 2 2 3 7 2 8 2 2" xfId="13723" xr:uid="{18728022-8ADD-4145-9222-467A7BC121E3}"/>
    <cellStyle name="Standard 6 2 2 2 3 7 2 8 3" xfId="13722" xr:uid="{71634A31-7C22-4F35-ABD0-D4DFEAEFB18F}"/>
    <cellStyle name="Standard 6 2 2 2 3 7 2 9" xfId="1763" xr:uid="{00000000-0005-0000-0000-0000EA060000}"/>
    <cellStyle name="Standard 6 2 2 2 3 7 2 9 2" xfId="13724" xr:uid="{87F2BE2E-788F-44E1-83D4-D8DB2F8385E0}"/>
    <cellStyle name="Standard 6 2 2 2 3 7 3" xfId="1764" xr:uid="{00000000-0005-0000-0000-0000EB060000}"/>
    <cellStyle name="Standard 6 2 2 2 3 7 3 2" xfId="1765" xr:uid="{00000000-0005-0000-0000-0000EC060000}"/>
    <cellStyle name="Standard 6 2 2 2 3 7 3 2 2" xfId="1766" xr:uid="{00000000-0005-0000-0000-0000ED060000}"/>
    <cellStyle name="Standard 6 2 2 2 3 7 3 2 2 2" xfId="13727" xr:uid="{4A30578A-27C5-4D98-811E-A262C2CAD4F2}"/>
    <cellStyle name="Standard 6 2 2 2 3 7 3 2 3" xfId="13726" xr:uid="{1A9E58E3-2C71-4EC7-BEBF-08361E9FFC82}"/>
    <cellStyle name="Standard 6 2 2 2 3 7 3 3" xfId="1767" xr:uid="{00000000-0005-0000-0000-0000EE060000}"/>
    <cellStyle name="Standard 6 2 2 2 3 7 3 3 2" xfId="13728" xr:uid="{80BCD4B3-4D74-44B6-B367-9E85E9CC56E7}"/>
    <cellStyle name="Standard 6 2 2 2 3 7 3 4" xfId="13725" xr:uid="{0D5BA082-0215-4832-A1CE-78E703D06CBB}"/>
    <cellStyle name="Standard 6 2 2 2 3 7 4" xfId="1768" xr:uid="{00000000-0005-0000-0000-0000EF060000}"/>
    <cellStyle name="Standard 6 2 2 2 3 7 4 2" xfId="1769" xr:uid="{00000000-0005-0000-0000-0000F0060000}"/>
    <cellStyle name="Standard 6 2 2 2 3 7 4 2 2" xfId="1770" xr:uid="{00000000-0005-0000-0000-0000F1060000}"/>
    <cellStyle name="Standard 6 2 2 2 3 7 4 2 2 2" xfId="13731" xr:uid="{9DE7C314-733A-4C89-9138-0BAA490E6960}"/>
    <cellStyle name="Standard 6 2 2 2 3 7 4 2 3" xfId="13730" xr:uid="{762B4F2F-D202-499E-94BA-255287CEC102}"/>
    <cellStyle name="Standard 6 2 2 2 3 7 4 3" xfId="1771" xr:uid="{00000000-0005-0000-0000-0000F2060000}"/>
    <cellStyle name="Standard 6 2 2 2 3 7 4 3 2" xfId="13732" xr:uid="{194DE293-C1EC-415E-AA37-C0A24817E045}"/>
    <cellStyle name="Standard 6 2 2 2 3 7 4 4" xfId="13729" xr:uid="{9E3DB730-DF6A-4E7E-8F91-F2BC493F193C}"/>
    <cellStyle name="Standard 6 2 2 2 3 7 5" xfId="1772" xr:uid="{00000000-0005-0000-0000-0000F3060000}"/>
    <cellStyle name="Standard 6 2 2 2 3 7 5 2" xfId="1773" xr:uid="{00000000-0005-0000-0000-0000F4060000}"/>
    <cellStyle name="Standard 6 2 2 2 3 7 5 2 2" xfId="1774" xr:uid="{00000000-0005-0000-0000-0000F5060000}"/>
    <cellStyle name="Standard 6 2 2 2 3 7 5 2 2 2" xfId="13735" xr:uid="{36181D07-AC8B-421E-BAF7-EE99515E0FB9}"/>
    <cellStyle name="Standard 6 2 2 2 3 7 5 2 3" xfId="13734" xr:uid="{C70C08D4-F83A-4C06-A00C-15F2D79F1673}"/>
    <cellStyle name="Standard 6 2 2 2 3 7 5 3" xfId="1775" xr:uid="{00000000-0005-0000-0000-0000F6060000}"/>
    <cellStyle name="Standard 6 2 2 2 3 7 5 3 2" xfId="13736" xr:uid="{640E113D-2A5D-4ED8-9406-62995B758EBC}"/>
    <cellStyle name="Standard 6 2 2 2 3 7 5 4" xfId="13733" xr:uid="{D291588F-CCA2-463B-8F83-7B53AB3D0730}"/>
    <cellStyle name="Standard 6 2 2 2 3 7 6" xfId="1776" xr:uid="{00000000-0005-0000-0000-0000F7060000}"/>
    <cellStyle name="Standard 6 2 2 2 3 7 6 2" xfId="1777" xr:uid="{00000000-0005-0000-0000-0000F8060000}"/>
    <cellStyle name="Standard 6 2 2 2 3 7 6 2 2" xfId="1778" xr:uid="{00000000-0005-0000-0000-0000F9060000}"/>
    <cellStyle name="Standard 6 2 2 2 3 7 6 2 2 2" xfId="13739" xr:uid="{0E6B70A2-44F5-4EE6-B4BA-4F4431B8C8A9}"/>
    <cellStyle name="Standard 6 2 2 2 3 7 6 2 3" xfId="13738" xr:uid="{DD1E32EF-EBB6-446F-B387-D29D4D6A439D}"/>
    <cellStyle name="Standard 6 2 2 2 3 7 6 3" xfId="1779" xr:uid="{00000000-0005-0000-0000-0000FA060000}"/>
    <cellStyle name="Standard 6 2 2 2 3 7 6 3 2" xfId="13740" xr:uid="{18FB51C1-9FB3-490A-9708-64666AF7C240}"/>
    <cellStyle name="Standard 6 2 2 2 3 7 6 4" xfId="13737" xr:uid="{033D11DA-43C8-4F9C-BA72-D3574847226A}"/>
    <cellStyle name="Standard 6 2 2 2 3 7 7" xfId="1780" xr:uid="{00000000-0005-0000-0000-0000FB060000}"/>
    <cellStyle name="Standard 6 2 2 2 3 7 7 2" xfId="1781" xr:uid="{00000000-0005-0000-0000-0000FC060000}"/>
    <cellStyle name="Standard 6 2 2 2 3 7 7 2 2" xfId="1782" xr:uid="{00000000-0005-0000-0000-0000FD060000}"/>
    <cellStyle name="Standard 6 2 2 2 3 7 7 2 2 2" xfId="13743" xr:uid="{80B81BA4-9743-460F-BAD4-E653BC013F79}"/>
    <cellStyle name="Standard 6 2 2 2 3 7 7 2 3" xfId="13742" xr:uid="{B2560ADF-23FB-41CD-BCA3-DA10839A80F0}"/>
    <cellStyle name="Standard 6 2 2 2 3 7 7 3" xfId="1783" xr:uid="{00000000-0005-0000-0000-0000FE060000}"/>
    <cellStyle name="Standard 6 2 2 2 3 7 7 3 2" xfId="13744" xr:uid="{9F5AD9CE-63E3-4CC9-ABC5-3F01117956D3}"/>
    <cellStyle name="Standard 6 2 2 2 3 7 7 4" xfId="13741" xr:uid="{B2C9BFA9-9510-4302-8D00-A07824C8D9A4}"/>
    <cellStyle name="Standard 6 2 2 2 3 7 8" xfId="1784" xr:uid="{00000000-0005-0000-0000-0000FF060000}"/>
    <cellStyle name="Standard 6 2 2 2 3 7 8 2" xfId="1785" xr:uid="{00000000-0005-0000-0000-000000070000}"/>
    <cellStyle name="Standard 6 2 2 2 3 7 8 2 2" xfId="1786" xr:uid="{00000000-0005-0000-0000-000001070000}"/>
    <cellStyle name="Standard 6 2 2 2 3 7 8 2 2 2" xfId="13747" xr:uid="{DE3359B9-4484-417A-9991-41D81E5CE628}"/>
    <cellStyle name="Standard 6 2 2 2 3 7 8 2 3" xfId="13746" xr:uid="{4C06C8ED-6DA1-43F6-80A5-C3965D3DBC95}"/>
    <cellStyle name="Standard 6 2 2 2 3 7 8 3" xfId="1787" xr:uid="{00000000-0005-0000-0000-000002070000}"/>
    <cellStyle name="Standard 6 2 2 2 3 7 8 3 2" xfId="13748" xr:uid="{70FCF528-6855-4456-8260-3E872C41D10B}"/>
    <cellStyle name="Standard 6 2 2 2 3 7 8 4" xfId="13745" xr:uid="{A195A62C-14A2-4E33-82AB-D907367398FB}"/>
    <cellStyle name="Standard 6 2 2 2 3 7 9" xfId="1788" xr:uid="{00000000-0005-0000-0000-000003070000}"/>
    <cellStyle name="Standard 6 2 2 2 3 7 9 2" xfId="1789" xr:uid="{00000000-0005-0000-0000-000004070000}"/>
    <cellStyle name="Standard 6 2 2 2 3 7 9 2 2" xfId="13750" xr:uid="{29804A14-FE48-4271-8BD8-D5DC76752699}"/>
    <cellStyle name="Standard 6 2 2 2 3 7 9 3" xfId="13749" xr:uid="{094EED78-AFD6-471E-B7C2-88BF586C8E77}"/>
    <cellStyle name="Standard 6 2 2 2 3 8" xfId="1790" xr:uid="{00000000-0005-0000-0000-000005070000}"/>
    <cellStyle name="Standard 6 2 2 2 3 8 10" xfId="13751" xr:uid="{E79E52C2-A9D2-4C17-B18C-660D7E69965A}"/>
    <cellStyle name="Standard 6 2 2 2 3 8 2" xfId="1791" xr:uid="{00000000-0005-0000-0000-000006070000}"/>
    <cellStyle name="Standard 6 2 2 2 3 8 2 2" xfId="1792" xr:uid="{00000000-0005-0000-0000-000007070000}"/>
    <cellStyle name="Standard 6 2 2 2 3 8 2 2 2" xfId="1793" xr:uid="{00000000-0005-0000-0000-000008070000}"/>
    <cellStyle name="Standard 6 2 2 2 3 8 2 2 2 2" xfId="13754" xr:uid="{A46F3278-4A95-4CE7-B27B-6F02220D753D}"/>
    <cellStyle name="Standard 6 2 2 2 3 8 2 2 3" xfId="13753" xr:uid="{2D1300FD-F91A-423C-B18D-1DD5E3FAF922}"/>
    <cellStyle name="Standard 6 2 2 2 3 8 2 3" xfId="1794" xr:uid="{00000000-0005-0000-0000-000009070000}"/>
    <cellStyle name="Standard 6 2 2 2 3 8 2 3 2" xfId="13755" xr:uid="{F7F38BE9-59D0-4BD7-9D2B-CB717B3304CE}"/>
    <cellStyle name="Standard 6 2 2 2 3 8 2 4" xfId="13752" xr:uid="{E2783970-021F-4DA0-9A8E-A3F7CE7FC30F}"/>
    <cellStyle name="Standard 6 2 2 2 3 8 3" xfId="1795" xr:uid="{00000000-0005-0000-0000-00000A070000}"/>
    <cellStyle name="Standard 6 2 2 2 3 8 3 2" xfId="1796" xr:uid="{00000000-0005-0000-0000-00000B070000}"/>
    <cellStyle name="Standard 6 2 2 2 3 8 3 2 2" xfId="1797" xr:uid="{00000000-0005-0000-0000-00000C070000}"/>
    <cellStyle name="Standard 6 2 2 2 3 8 3 2 2 2" xfId="13758" xr:uid="{AA01AB70-D16B-4F60-B79C-EB8DD635109C}"/>
    <cellStyle name="Standard 6 2 2 2 3 8 3 2 3" xfId="13757" xr:uid="{3335A058-A37F-49C0-97E5-73D38A9ADD05}"/>
    <cellStyle name="Standard 6 2 2 2 3 8 3 3" xfId="1798" xr:uid="{00000000-0005-0000-0000-00000D070000}"/>
    <cellStyle name="Standard 6 2 2 2 3 8 3 3 2" xfId="13759" xr:uid="{1462A5FE-A14D-4809-984F-DBA677467CFF}"/>
    <cellStyle name="Standard 6 2 2 2 3 8 3 4" xfId="13756" xr:uid="{1CD0704A-2DE9-4DA9-AFA3-97DFB145ACEE}"/>
    <cellStyle name="Standard 6 2 2 2 3 8 4" xfId="1799" xr:uid="{00000000-0005-0000-0000-00000E070000}"/>
    <cellStyle name="Standard 6 2 2 2 3 8 4 2" xfId="1800" xr:uid="{00000000-0005-0000-0000-00000F070000}"/>
    <cellStyle name="Standard 6 2 2 2 3 8 4 2 2" xfId="1801" xr:uid="{00000000-0005-0000-0000-000010070000}"/>
    <cellStyle name="Standard 6 2 2 2 3 8 4 2 2 2" xfId="13762" xr:uid="{4896AEDD-B713-4E9E-97F5-CCFAC2BAD08B}"/>
    <cellStyle name="Standard 6 2 2 2 3 8 4 2 3" xfId="13761" xr:uid="{D95106AE-48D3-4FC4-A8BB-138C3FA1C076}"/>
    <cellStyle name="Standard 6 2 2 2 3 8 4 3" xfId="1802" xr:uid="{00000000-0005-0000-0000-000011070000}"/>
    <cellStyle name="Standard 6 2 2 2 3 8 4 3 2" xfId="13763" xr:uid="{1F1C506B-4027-4D6C-9495-F921C0F8C4C3}"/>
    <cellStyle name="Standard 6 2 2 2 3 8 4 4" xfId="13760" xr:uid="{99B8F411-CF0C-44A2-832C-C66C99F4122A}"/>
    <cellStyle name="Standard 6 2 2 2 3 8 5" xfId="1803" xr:uid="{00000000-0005-0000-0000-000012070000}"/>
    <cellStyle name="Standard 6 2 2 2 3 8 5 2" xfId="1804" xr:uid="{00000000-0005-0000-0000-000013070000}"/>
    <cellStyle name="Standard 6 2 2 2 3 8 5 2 2" xfId="1805" xr:uid="{00000000-0005-0000-0000-000014070000}"/>
    <cellStyle name="Standard 6 2 2 2 3 8 5 2 2 2" xfId="13766" xr:uid="{794B0BB9-A524-4624-A10E-71A3A60C7803}"/>
    <cellStyle name="Standard 6 2 2 2 3 8 5 2 3" xfId="13765" xr:uid="{ADA0C76E-6CDE-473B-A09C-0CFDEC181F3A}"/>
    <cellStyle name="Standard 6 2 2 2 3 8 5 3" xfId="1806" xr:uid="{00000000-0005-0000-0000-000015070000}"/>
    <cellStyle name="Standard 6 2 2 2 3 8 5 3 2" xfId="13767" xr:uid="{FB3943DA-A228-4B71-B145-F9DCF5573CC7}"/>
    <cellStyle name="Standard 6 2 2 2 3 8 5 4" xfId="13764" xr:uid="{829F14CA-668D-4BA1-A343-CD21C9265018}"/>
    <cellStyle name="Standard 6 2 2 2 3 8 6" xfId="1807" xr:uid="{00000000-0005-0000-0000-000016070000}"/>
    <cellStyle name="Standard 6 2 2 2 3 8 6 2" xfId="1808" xr:uid="{00000000-0005-0000-0000-000017070000}"/>
    <cellStyle name="Standard 6 2 2 2 3 8 6 2 2" xfId="1809" xr:uid="{00000000-0005-0000-0000-000018070000}"/>
    <cellStyle name="Standard 6 2 2 2 3 8 6 2 2 2" xfId="13770" xr:uid="{D3FBF9F0-2FCE-449A-9E27-DE78E9F7602E}"/>
    <cellStyle name="Standard 6 2 2 2 3 8 6 2 3" xfId="13769" xr:uid="{708AB920-6415-4FC3-81EE-280963EBB094}"/>
    <cellStyle name="Standard 6 2 2 2 3 8 6 3" xfId="1810" xr:uid="{00000000-0005-0000-0000-000019070000}"/>
    <cellStyle name="Standard 6 2 2 2 3 8 6 3 2" xfId="13771" xr:uid="{A1E05861-C6B0-4977-AEE3-859D4C5F58FD}"/>
    <cellStyle name="Standard 6 2 2 2 3 8 6 4" xfId="13768" xr:uid="{D65B0B03-33FE-45FB-B62F-4F4B68966514}"/>
    <cellStyle name="Standard 6 2 2 2 3 8 7" xfId="1811" xr:uid="{00000000-0005-0000-0000-00001A070000}"/>
    <cellStyle name="Standard 6 2 2 2 3 8 7 2" xfId="1812" xr:uid="{00000000-0005-0000-0000-00001B070000}"/>
    <cellStyle name="Standard 6 2 2 2 3 8 7 2 2" xfId="1813" xr:uid="{00000000-0005-0000-0000-00001C070000}"/>
    <cellStyle name="Standard 6 2 2 2 3 8 7 2 2 2" xfId="13774" xr:uid="{73EA50F0-F3CB-4EE9-8230-30EA0D215A90}"/>
    <cellStyle name="Standard 6 2 2 2 3 8 7 2 3" xfId="13773" xr:uid="{5E9E58F2-FC74-416B-AF8B-305116916B98}"/>
    <cellStyle name="Standard 6 2 2 2 3 8 7 3" xfId="1814" xr:uid="{00000000-0005-0000-0000-00001D070000}"/>
    <cellStyle name="Standard 6 2 2 2 3 8 7 3 2" xfId="13775" xr:uid="{22C94DC9-A045-4250-B0DD-E54C060EEC83}"/>
    <cellStyle name="Standard 6 2 2 2 3 8 7 4" xfId="13772" xr:uid="{4E987D21-2476-4F76-8654-4A1C702FBB39}"/>
    <cellStyle name="Standard 6 2 2 2 3 8 8" xfId="1815" xr:uid="{00000000-0005-0000-0000-00001E070000}"/>
    <cellStyle name="Standard 6 2 2 2 3 8 8 2" xfId="1816" xr:uid="{00000000-0005-0000-0000-00001F070000}"/>
    <cellStyle name="Standard 6 2 2 2 3 8 8 2 2" xfId="13777" xr:uid="{8A776605-CA12-4D2E-9241-5FD011968D0D}"/>
    <cellStyle name="Standard 6 2 2 2 3 8 8 3" xfId="13776" xr:uid="{39E97ADF-925C-40A5-959F-DE641DCAC1EF}"/>
    <cellStyle name="Standard 6 2 2 2 3 8 9" xfId="1817" xr:uid="{00000000-0005-0000-0000-000020070000}"/>
    <cellStyle name="Standard 6 2 2 2 3 8 9 2" xfId="13778" xr:uid="{2DAEE03D-5F09-4C57-88D8-7E2B2CA192BE}"/>
    <cellStyle name="Standard 6 2 2 2 3 9" xfId="1818" xr:uid="{00000000-0005-0000-0000-000021070000}"/>
    <cellStyle name="Standard 6 2 2 2 3 9 2" xfId="1819" xr:uid="{00000000-0005-0000-0000-000022070000}"/>
    <cellStyle name="Standard 6 2 2 2 3 9 2 2" xfId="1820" xr:uid="{00000000-0005-0000-0000-000023070000}"/>
    <cellStyle name="Standard 6 2 2 2 3 9 2 2 2" xfId="1821" xr:uid="{00000000-0005-0000-0000-000024070000}"/>
    <cellStyle name="Standard 6 2 2 2 3 9 2 2 2 2" xfId="13782" xr:uid="{2226314F-AFFF-4B48-BDC9-ACEC6DF6B8EC}"/>
    <cellStyle name="Standard 6 2 2 2 3 9 2 2 3" xfId="13781" xr:uid="{70DA9BB8-298E-44F7-826C-B54A7185FD8C}"/>
    <cellStyle name="Standard 6 2 2 2 3 9 2 3" xfId="1822" xr:uid="{00000000-0005-0000-0000-000025070000}"/>
    <cellStyle name="Standard 6 2 2 2 3 9 2 3 2" xfId="13783" xr:uid="{85B54D9D-86B5-48C0-A362-1F697E146DF7}"/>
    <cellStyle name="Standard 6 2 2 2 3 9 2 4" xfId="13780" xr:uid="{984E5878-F5F7-430D-8B09-37ED556D3DFD}"/>
    <cellStyle name="Standard 6 2 2 2 3 9 3" xfId="1823" xr:uid="{00000000-0005-0000-0000-000026070000}"/>
    <cellStyle name="Standard 6 2 2 2 3 9 3 2" xfId="1824" xr:uid="{00000000-0005-0000-0000-000027070000}"/>
    <cellStyle name="Standard 6 2 2 2 3 9 3 2 2" xfId="1825" xr:uid="{00000000-0005-0000-0000-000028070000}"/>
    <cellStyle name="Standard 6 2 2 2 3 9 3 2 2 2" xfId="13786" xr:uid="{7634F180-9F89-48F8-A3B8-48BBE3C29C7E}"/>
    <cellStyle name="Standard 6 2 2 2 3 9 3 2 3" xfId="13785" xr:uid="{D1451E36-F7ED-4BA4-9F9A-E91AE871F4E6}"/>
    <cellStyle name="Standard 6 2 2 2 3 9 3 3" xfId="1826" xr:uid="{00000000-0005-0000-0000-000029070000}"/>
    <cellStyle name="Standard 6 2 2 2 3 9 3 3 2" xfId="13787" xr:uid="{A5A508D8-D9EC-4BB3-B3F8-206E700894B0}"/>
    <cellStyle name="Standard 6 2 2 2 3 9 3 4" xfId="13784" xr:uid="{90918888-A799-4F33-852E-48C2F005A453}"/>
    <cellStyle name="Standard 6 2 2 2 3 9 4" xfId="1827" xr:uid="{00000000-0005-0000-0000-00002A070000}"/>
    <cellStyle name="Standard 6 2 2 2 3 9 4 2" xfId="1828" xr:uid="{00000000-0005-0000-0000-00002B070000}"/>
    <cellStyle name="Standard 6 2 2 2 3 9 4 2 2" xfId="1829" xr:uid="{00000000-0005-0000-0000-00002C070000}"/>
    <cellStyle name="Standard 6 2 2 2 3 9 4 2 2 2" xfId="13790" xr:uid="{59B18EF2-71C1-4018-9105-B2F975EB0502}"/>
    <cellStyle name="Standard 6 2 2 2 3 9 4 2 3" xfId="13789" xr:uid="{9D4771E3-670C-436A-B1D8-3A172CA7D39C}"/>
    <cellStyle name="Standard 6 2 2 2 3 9 4 3" xfId="1830" xr:uid="{00000000-0005-0000-0000-00002D070000}"/>
    <cellStyle name="Standard 6 2 2 2 3 9 4 3 2" xfId="13791" xr:uid="{EEC55B9E-98BF-436E-BD7E-1D6857421FB7}"/>
    <cellStyle name="Standard 6 2 2 2 3 9 4 4" xfId="13788" xr:uid="{76074CCC-CC2B-4992-B729-2DAB1801319C}"/>
    <cellStyle name="Standard 6 2 2 2 3 9 5" xfId="1831" xr:uid="{00000000-0005-0000-0000-00002E070000}"/>
    <cellStyle name="Standard 6 2 2 2 3 9 5 2" xfId="1832" xr:uid="{00000000-0005-0000-0000-00002F070000}"/>
    <cellStyle name="Standard 6 2 2 2 3 9 5 2 2" xfId="1833" xr:uid="{00000000-0005-0000-0000-000030070000}"/>
    <cellStyle name="Standard 6 2 2 2 3 9 5 2 2 2" xfId="13794" xr:uid="{6D295751-4C04-4412-9CA5-87573474E09F}"/>
    <cellStyle name="Standard 6 2 2 2 3 9 5 2 3" xfId="13793" xr:uid="{D6232A7F-8560-40C4-B3C3-1FD3AF56D767}"/>
    <cellStyle name="Standard 6 2 2 2 3 9 5 3" xfId="1834" xr:uid="{00000000-0005-0000-0000-000031070000}"/>
    <cellStyle name="Standard 6 2 2 2 3 9 5 3 2" xfId="13795" xr:uid="{15B8053C-8DDB-4811-BB30-C8EEE46100C8}"/>
    <cellStyle name="Standard 6 2 2 2 3 9 5 4" xfId="13792" xr:uid="{98280B88-AC04-4A74-96B1-E027F9C63080}"/>
    <cellStyle name="Standard 6 2 2 2 3 9 6" xfId="1835" xr:uid="{00000000-0005-0000-0000-000032070000}"/>
    <cellStyle name="Standard 6 2 2 2 3 9 6 2" xfId="1836" xr:uid="{00000000-0005-0000-0000-000033070000}"/>
    <cellStyle name="Standard 6 2 2 2 3 9 6 2 2" xfId="1837" xr:uid="{00000000-0005-0000-0000-000034070000}"/>
    <cellStyle name="Standard 6 2 2 2 3 9 6 2 2 2" xfId="13798" xr:uid="{604A79E7-8F1D-4B23-BCA2-4BE2E9BE6ABB}"/>
    <cellStyle name="Standard 6 2 2 2 3 9 6 2 3" xfId="13797" xr:uid="{F966A1F9-1DFE-4B29-BBF0-E687E76CB576}"/>
    <cellStyle name="Standard 6 2 2 2 3 9 6 3" xfId="1838" xr:uid="{00000000-0005-0000-0000-000035070000}"/>
    <cellStyle name="Standard 6 2 2 2 3 9 6 3 2" xfId="13799" xr:uid="{C32CD33A-69A0-447F-8E6C-7E8B838F82D6}"/>
    <cellStyle name="Standard 6 2 2 2 3 9 6 4" xfId="13796" xr:uid="{4FA6898F-FA8B-4A34-820A-353A6ABD40EA}"/>
    <cellStyle name="Standard 6 2 2 2 3 9 7" xfId="1839" xr:uid="{00000000-0005-0000-0000-000036070000}"/>
    <cellStyle name="Standard 6 2 2 2 3 9 7 2" xfId="1840" xr:uid="{00000000-0005-0000-0000-000037070000}"/>
    <cellStyle name="Standard 6 2 2 2 3 9 7 2 2" xfId="13801" xr:uid="{C7204FE9-C506-4E29-BABD-634BE45B40EB}"/>
    <cellStyle name="Standard 6 2 2 2 3 9 7 3" xfId="13800" xr:uid="{446CCDCD-1CD2-42CC-97C8-A012CB08563B}"/>
    <cellStyle name="Standard 6 2 2 2 3 9 8" xfId="1841" xr:uid="{00000000-0005-0000-0000-000038070000}"/>
    <cellStyle name="Standard 6 2 2 2 3 9 8 2" xfId="13802" xr:uid="{B4AA5E10-9064-44C8-81C3-513903949976}"/>
    <cellStyle name="Standard 6 2 2 2 3 9 9" xfId="13779" xr:uid="{1643F23A-DE7C-42AA-9E2D-500B88786BDF}"/>
    <cellStyle name="Standard 6 2 2 2 4" xfId="1842" xr:uid="{00000000-0005-0000-0000-000039070000}"/>
    <cellStyle name="Standard 6 2 2 2 4 10" xfId="1843" xr:uid="{00000000-0005-0000-0000-00003A070000}"/>
    <cellStyle name="Standard 6 2 2 2 4 10 2" xfId="1844" xr:uid="{00000000-0005-0000-0000-00003B070000}"/>
    <cellStyle name="Standard 6 2 2 2 4 10 2 2" xfId="13805" xr:uid="{F2A1D8A9-16E7-42F6-9410-CB02886243B6}"/>
    <cellStyle name="Standard 6 2 2 2 4 10 3" xfId="13804" xr:uid="{836B34AE-B50B-4C5A-896D-B95C28CE3C22}"/>
    <cellStyle name="Standard 6 2 2 2 4 11" xfId="1845" xr:uid="{00000000-0005-0000-0000-00003C070000}"/>
    <cellStyle name="Standard 6 2 2 2 4 11 2" xfId="13806" xr:uid="{BB426F03-E255-4516-818D-623CE1083788}"/>
    <cellStyle name="Standard 6 2 2 2 4 12" xfId="13803" xr:uid="{F98BB53A-E2F6-40F2-AA26-B57FB368D5E3}"/>
    <cellStyle name="Standard 6 2 2 2 4 2" xfId="1846" xr:uid="{00000000-0005-0000-0000-00003D070000}"/>
    <cellStyle name="Standard 6 2 2 2 4 2 10" xfId="1847" xr:uid="{00000000-0005-0000-0000-00003E070000}"/>
    <cellStyle name="Standard 6 2 2 2 4 2 10 2" xfId="13808" xr:uid="{918D7741-BB4C-44EF-861F-71AE11BCF986}"/>
    <cellStyle name="Standard 6 2 2 2 4 2 11" xfId="13807" xr:uid="{7C066B19-B9FC-4D37-98C4-FFEFD94D39AB}"/>
    <cellStyle name="Standard 6 2 2 2 4 2 2" xfId="1848" xr:uid="{00000000-0005-0000-0000-00003F070000}"/>
    <cellStyle name="Standard 6 2 2 2 4 2 2 10" xfId="13809" xr:uid="{C3DA4686-EEC8-4942-8848-F356ADF66F5B}"/>
    <cellStyle name="Standard 6 2 2 2 4 2 2 2" xfId="1849" xr:uid="{00000000-0005-0000-0000-000040070000}"/>
    <cellStyle name="Standard 6 2 2 2 4 2 2 2 2" xfId="1850" xr:uid="{00000000-0005-0000-0000-000041070000}"/>
    <cellStyle name="Standard 6 2 2 2 4 2 2 2 2 2" xfId="1851" xr:uid="{00000000-0005-0000-0000-000042070000}"/>
    <cellStyle name="Standard 6 2 2 2 4 2 2 2 2 2 2" xfId="13812" xr:uid="{6D0BCF8C-D3C6-4744-AF72-D8E2B55BC2DC}"/>
    <cellStyle name="Standard 6 2 2 2 4 2 2 2 2 3" xfId="13811" xr:uid="{5494731B-D100-4D00-AD6D-59308F6D75D5}"/>
    <cellStyle name="Standard 6 2 2 2 4 2 2 2 3" xfId="1852" xr:uid="{00000000-0005-0000-0000-000043070000}"/>
    <cellStyle name="Standard 6 2 2 2 4 2 2 2 3 2" xfId="13813" xr:uid="{32FED04C-BB3E-4763-B781-3AD9ED8C6A71}"/>
    <cellStyle name="Standard 6 2 2 2 4 2 2 2 4" xfId="13810" xr:uid="{121EDB1D-CB82-480C-84F3-53CCCDCF9143}"/>
    <cellStyle name="Standard 6 2 2 2 4 2 2 3" xfId="1853" xr:uid="{00000000-0005-0000-0000-000044070000}"/>
    <cellStyle name="Standard 6 2 2 2 4 2 2 3 2" xfId="1854" xr:uid="{00000000-0005-0000-0000-000045070000}"/>
    <cellStyle name="Standard 6 2 2 2 4 2 2 3 2 2" xfId="1855" xr:uid="{00000000-0005-0000-0000-000046070000}"/>
    <cellStyle name="Standard 6 2 2 2 4 2 2 3 2 2 2" xfId="13816" xr:uid="{84755E05-57AE-4158-AE46-3FB40627398B}"/>
    <cellStyle name="Standard 6 2 2 2 4 2 2 3 2 3" xfId="13815" xr:uid="{BBA71416-CBAD-4CC4-A054-05EFE739ECD1}"/>
    <cellStyle name="Standard 6 2 2 2 4 2 2 3 3" xfId="1856" xr:uid="{00000000-0005-0000-0000-000047070000}"/>
    <cellStyle name="Standard 6 2 2 2 4 2 2 3 3 2" xfId="13817" xr:uid="{F2829CEB-051B-4D99-92A0-6071C2A51CEB}"/>
    <cellStyle name="Standard 6 2 2 2 4 2 2 3 4" xfId="13814" xr:uid="{A2D808E4-3D4D-41DD-8F9D-8E248018CF22}"/>
    <cellStyle name="Standard 6 2 2 2 4 2 2 4" xfId="1857" xr:uid="{00000000-0005-0000-0000-000048070000}"/>
    <cellStyle name="Standard 6 2 2 2 4 2 2 4 2" xfId="1858" xr:uid="{00000000-0005-0000-0000-000049070000}"/>
    <cellStyle name="Standard 6 2 2 2 4 2 2 4 2 2" xfId="1859" xr:uid="{00000000-0005-0000-0000-00004A070000}"/>
    <cellStyle name="Standard 6 2 2 2 4 2 2 4 2 2 2" xfId="13820" xr:uid="{406BFFD9-4675-4E89-A7A4-A27661577D4D}"/>
    <cellStyle name="Standard 6 2 2 2 4 2 2 4 2 3" xfId="13819" xr:uid="{3418D805-E4BC-4BAC-A331-F7D84DAF78B6}"/>
    <cellStyle name="Standard 6 2 2 2 4 2 2 4 3" xfId="1860" xr:uid="{00000000-0005-0000-0000-00004B070000}"/>
    <cellStyle name="Standard 6 2 2 2 4 2 2 4 3 2" xfId="13821" xr:uid="{3D01541A-C598-42B2-A500-87251E445294}"/>
    <cellStyle name="Standard 6 2 2 2 4 2 2 4 4" xfId="13818" xr:uid="{1D08474B-BC53-4FC3-9435-A919B3EFA318}"/>
    <cellStyle name="Standard 6 2 2 2 4 2 2 5" xfId="1861" xr:uid="{00000000-0005-0000-0000-00004C070000}"/>
    <cellStyle name="Standard 6 2 2 2 4 2 2 5 2" xfId="1862" xr:uid="{00000000-0005-0000-0000-00004D070000}"/>
    <cellStyle name="Standard 6 2 2 2 4 2 2 5 2 2" xfId="1863" xr:uid="{00000000-0005-0000-0000-00004E070000}"/>
    <cellStyle name="Standard 6 2 2 2 4 2 2 5 2 2 2" xfId="13824" xr:uid="{A8968E61-D9CC-4D10-AC70-757909AB4132}"/>
    <cellStyle name="Standard 6 2 2 2 4 2 2 5 2 3" xfId="13823" xr:uid="{0FAFE4A9-4644-45BF-986D-37166805BE9B}"/>
    <cellStyle name="Standard 6 2 2 2 4 2 2 5 3" xfId="1864" xr:uid="{00000000-0005-0000-0000-00004F070000}"/>
    <cellStyle name="Standard 6 2 2 2 4 2 2 5 3 2" xfId="13825" xr:uid="{296E9DC3-1B04-4B08-9056-635713F0DCF3}"/>
    <cellStyle name="Standard 6 2 2 2 4 2 2 5 4" xfId="13822" xr:uid="{816B9BB1-21C5-4771-A8D8-412EFDF3777F}"/>
    <cellStyle name="Standard 6 2 2 2 4 2 2 6" xfId="1865" xr:uid="{00000000-0005-0000-0000-000050070000}"/>
    <cellStyle name="Standard 6 2 2 2 4 2 2 6 2" xfId="1866" xr:uid="{00000000-0005-0000-0000-000051070000}"/>
    <cellStyle name="Standard 6 2 2 2 4 2 2 6 2 2" xfId="1867" xr:uid="{00000000-0005-0000-0000-000052070000}"/>
    <cellStyle name="Standard 6 2 2 2 4 2 2 6 2 2 2" xfId="13828" xr:uid="{76612750-6B3B-4FAE-85B0-5EEEABE5AEA3}"/>
    <cellStyle name="Standard 6 2 2 2 4 2 2 6 2 3" xfId="13827" xr:uid="{F34A30BE-0A8B-4CBA-9F42-D5F41C2BAD55}"/>
    <cellStyle name="Standard 6 2 2 2 4 2 2 6 3" xfId="1868" xr:uid="{00000000-0005-0000-0000-000053070000}"/>
    <cellStyle name="Standard 6 2 2 2 4 2 2 6 3 2" xfId="13829" xr:uid="{C164D5B3-1551-4067-A465-281493BB35D5}"/>
    <cellStyle name="Standard 6 2 2 2 4 2 2 6 4" xfId="13826" xr:uid="{B0263359-F922-41F0-9882-82E0CBFDDF6A}"/>
    <cellStyle name="Standard 6 2 2 2 4 2 2 7" xfId="1869" xr:uid="{00000000-0005-0000-0000-000054070000}"/>
    <cellStyle name="Standard 6 2 2 2 4 2 2 7 2" xfId="1870" xr:uid="{00000000-0005-0000-0000-000055070000}"/>
    <cellStyle name="Standard 6 2 2 2 4 2 2 7 2 2" xfId="1871" xr:uid="{00000000-0005-0000-0000-000056070000}"/>
    <cellStyle name="Standard 6 2 2 2 4 2 2 7 2 2 2" xfId="13832" xr:uid="{702B84DD-0D51-46DC-8BF1-F51C5095CD7F}"/>
    <cellStyle name="Standard 6 2 2 2 4 2 2 7 2 3" xfId="13831" xr:uid="{FE8F846C-D06E-48DA-9F73-CF82C7997501}"/>
    <cellStyle name="Standard 6 2 2 2 4 2 2 7 3" xfId="1872" xr:uid="{00000000-0005-0000-0000-000057070000}"/>
    <cellStyle name="Standard 6 2 2 2 4 2 2 7 3 2" xfId="13833" xr:uid="{5C6AB3F8-60EE-4E5B-8739-8932712744EB}"/>
    <cellStyle name="Standard 6 2 2 2 4 2 2 7 4" xfId="13830" xr:uid="{A680FB66-9301-4022-81C8-21F0CA705273}"/>
    <cellStyle name="Standard 6 2 2 2 4 2 2 8" xfId="1873" xr:uid="{00000000-0005-0000-0000-000058070000}"/>
    <cellStyle name="Standard 6 2 2 2 4 2 2 8 2" xfId="1874" xr:uid="{00000000-0005-0000-0000-000059070000}"/>
    <cellStyle name="Standard 6 2 2 2 4 2 2 8 2 2" xfId="13835" xr:uid="{D1F6C3F8-3728-42A4-92CF-5C1689192D0B}"/>
    <cellStyle name="Standard 6 2 2 2 4 2 2 8 3" xfId="13834" xr:uid="{C905C32B-9CFE-4690-AC6E-82FE6A2CD2AB}"/>
    <cellStyle name="Standard 6 2 2 2 4 2 2 9" xfId="1875" xr:uid="{00000000-0005-0000-0000-00005A070000}"/>
    <cellStyle name="Standard 6 2 2 2 4 2 2 9 2" xfId="13836" xr:uid="{D8034C86-AA7E-45C5-87F0-F005B7C4D14A}"/>
    <cellStyle name="Standard 6 2 2 2 4 2 3" xfId="1876" xr:uid="{00000000-0005-0000-0000-00005B070000}"/>
    <cellStyle name="Standard 6 2 2 2 4 2 3 2" xfId="1877" xr:uid="{00000000-0005-0000-0000-00005C070000}"/>
    <cellStyle name="Standard 6 2 2 2 4 2 3 2 2" xfId="1878" xr:uid="{00000000-0005-0000-0000-00005D070000}"/>
    <cellStyle name="Standard 6 2 2 2 4 2 3 2 2 2" xfId="13839" xr:uid="{5F4A042E-E311-4281-A58E-8925ED335434}"/>
    <cellStyle name="Standard 6 2 2 2 4 2 3 2 3" xfId="13838" xr:uid="{115FFB01-66B0-4437-B5F3-E33F485861A0}"/>
    <cellStyle name="Standard 6 2 2 2 4 2 3 3" xfId="1879" xr:uid="{00000000-0005-0000-0000-00005E070000}"/>
    <cellStyle name="Standard 6 2 2 2 4 2 3 3 2" xfId="13840" xr:uid="{BB3CF023-49B2-464D-98F9-813CD78FCAD0}"/>
    <cellStyle name="Standard 6 2 2 2 4 2 3 4" xfId="13837" xr:uid="{46CC86D6-0800-4A4B-905F-CF0C4ACBEC58}"/>
    <cellStyle name="Standard 6 2 2 2 4 2 4" xfId="1880" xr:uid="{00000000-0005-0000-0000-00005F070000}"/>
    <cellStyle name="Standard 6 2 2 2 4 2 4 2" xfId="1881" xr:uid="{00000000-0005-0000-0000-000060070000}"/>
    <cellStyle name="Standard 6 2 2 2 4 2 4 2 2" xfId="1882" xr:uid="{00000000-0005-0000-0000-000061070000}"/>
    <cellStyle name="Standard 6 2 2 2 4 2 4 2 2 2" xfId="13843" xr:uid="{55925F48-B2E5-426C-9259-BE1D2C3EF4C7}"/>
    <cellStyle name="Standard 6 2 2 2 4 2 4 2 3" xfId="13842" xr:uid="{CD09FE55-9584-4522-B3BB-F2CADBB91C72}"/>
    <cellStyle name="Standard 6 2 2 2 4 2 4 3" xfId="1883" xr:uid="{00000000-0005-0000-0000-000062070000}"/>
    <cellStyle name="Standard 6 2 2 2 4 2 4 3 2" xfId="13844" xr:uid="{BF96D5E9-2642-4113-9D61-DF68BA723074}"/>
    <cellStyle name="Standard 6 2 2 2 4 2 4 4" xfId="13841" xr:uid="{7748081C-97E3-4780-98DA-7F1632308A3E}"/>
    <cellStyle name="Standard 6 2 2 2 4 2 5" xfId="1884" xr:uid="{00000000-0005-0000-0000-000063070000}"/>
    <cellStyle name="Standard 6 2 2 2 4 2 5 2" xfId="1885" xr:uid="{00000000-0005-0000-0000-000064070000}"/>
    <cellStyle name="Standard 6 2 2 2 4 2 5 2 2" xfId="1886" xr:uid="{00000000-0005-0000-0000-000065070000}"/>
    <cellStyle name="Standard 6 2 2 2 4 2 5 2 2 2" xfId="13847" xr:uid="{A2502AD9-55B6-419F-A638-929400D88F95}"/>
    <cellStyle name="Standard 6 2 2 2 4 2 5 2 3" xfId="13846" xr:uid="{C5F88447-B897-4383-B92C-DC1F188664EC}"/>
    <cellStyle name="Standard 6 2 2 2 4 2 5 3" xfId="1887" xr:uid="{00000000-0005-0000-0000-000066070000}"/>
    <cellStyle name="Standard 6 2 2 2 4 2 5 3 2" xfId="13848" xr:uid="{30A6C2DA-DC06-4548-B1FE-D3E6FD1145F3}"/>
    <cellStyle name="Standard 6 2 2 2 4 2 5 4" xfId="13845" xr:uid="{765181CA-EF5A-43E7-91B5-75C778B92519}"/>
    <cellStyle name="Standard 6 2 2 2 4 2 6" xfId="1888" xr:uid="{00000000-0005-0000-0000-000067070000}"/>
    <cellStyle name="Standard 6 2 2 2 4 2 6 2" xfId="1889" xr:uid="{00000000-0005-0000-0000-000068070000}"/>
    <cellStyle name="Standard 6 2 2 2 4 2 6 2 2" xfId="1890" xr:uid="{00000000-0005-0000-0000-000069070000}"/>
    <cellStyle name="Standard 6 2 2 2 4 2 6 2 2 2" xfId="13851" xr:uid="{30068904-8990-4101-B673-BDD7E6D86DB4}"/>
    <cellStyle name="Standard 6 2 2 2 4 2 6 2 3" xfId="13850" xr:uid="{CDDD43B5-BE97-422F-98E9-5BB189619F96}"/>
    <cellStyle name="Standard 6 2 2 2 4 2 6 3" xfId="1891" xr:uid="{00000000-0005-0000-0000-00006A070000}"/>
    <cellStyle name="Standard 6 2 2 2 4 2 6 3 2" xfId="13852" xr:uid="{D7208ABE-542D-4578-BC14-E9F519D92323}"/>
    <cellStyle name="Standard 6 2 2 2 4 2 6 4" xfId="13849" xr:uid="{3586A67F-64B2-4566-A472-E028088F2234}"/>
    <cellStyle name="Standard 6 2 2 2 4 2 7" xfId="1892" xr:uid="{00000000-0005-0000-0000-00006B070000}"/>
    <cellStyle name="Standard 6 2 2 2 4 2 7 2" xfId="1893" xr:uid="{00000000-0005-0000-0000-00006C070000}"/>
    <cellStyle name="Standard 6 2 2 2 4 2 7 2 2" xfId="1894" xr:uid="{00000000-0005-0000-0000-00006D070000}"/>
    <cellStyle name="Standard 6 2 2 2 4 2 7 2 2 2" xfId="13855" xr:uid="{D433DF24-6686-40E7-AAA6-92B208C08B99}"/>
    <cellStyle name="Standard 6 2 2 2 4 2 7 2 3" xfId="13854" xr:uid="{D3B1BF06-8CDF-47D2-A628-6C9646B4E144}"/>
    <cellStyle name="Standard 6 2 2 2 4 2 7 3" xfId="1895" xr:uid="{00000000-0005-0000-0000-00006E070000}"/>
    <cellStyle name="Standard 6 2 2 2 4 2 7 3 2" xfId="13856" xr:uid="{141A1BCE-EBC8-4573-8F20-32216EC1965E}"/>
    <cellStyle name="Standard 6 2 2 2 4 2 7 4" xfId="13853" xr:uid="{9E953640-07F4-4148-BFAF-BDF826FD2D46}"/>
    <cellStyle name="Standard 6 2 2 2 4 2 8" xfId="1896" xr:uid="{00000000-0005-0000-0000-00006F070000}"/>
    <cellStyle name="Standard 6 2 2 2 4 2 8 2" xfId="1897" xr:uid="{00000000-0005-0000-0000-000070070000}"/>
    <cellStyle name="Standard 6 2 2 2 4 2 8 2 2" xfId="1898" xr:uid="{00000000-0005-0000-0000-000071070000}"/>
    <cellStyle name="Standard 6 2 2 2 4 2 8 2 2 2" xfId="13859" xr:uid="{74DAAF54-3656-46C5-A67B-E0427314669F}"/>
    <cellStyle name="Standard 6 2 2 2 4 2 8 2 3" xfId="13858" xr:uid="{777BEACB-66E0-4CE9-A57A-0FBA06C20847}"/>
    <cellStyle name="Standard 6 2 2 2 4 2 8 3" xfId="1899" xr:uid="{00000000-0005-0000-0000-000072070000}"/>
    <cellStyle name="Standard 6 2 2 2 4 2 8 3 2" xfId="13860" xr:uid="{EF550DF4-E369-4B89-91EF-9DDAEEE2CCDD}"/>
    <cellStyle name="Standard 6 2 2 2 4 2 8 4" xfId="13857" xr:uid="{3E734CAF-43B4-45E0-9A6E-D38696382D61}"/>
    <cellStyle name="Standard 6 2 2 2 4 2 9" xfId="1900" xr:uid="{00000000-0005-0000-0000-000073070000}"/>
    <cellStyle name="Standard 6 2 2 2 4 2 9 2" xfId="1901" xr:uid="{00000000-0005-0000-0000-000074070000}"/>
    <cellStyle name="Standard 6 2 2 2 4 2 9 2 2" xfId="13862" xr:uid="{609129E1-E48A-49B8-B2C9-112071A1F95A}"/>
    <cellStyle name="Standard 6 2 2 2 4 2 9 3" xfId="13861" xr:uid="{355E855C-9D4A-4037-94F2-813ACAF9CF7D}"/>
    <cellStyle name="Standard 6 2 2 2 4 3" xfId="1902" xr:uid="{00000000-0005-0000-0000-000075070000}"/>
    <cellStyle name="Standard 6 2 2 2 4 3 10" xfId="13863" xr:uid="{A3A22E4F-1605-467D-908A-F60C5742C453}"/>
    <cellStyle name="Standard 6 2 2 2 4 3 2" xfId="1903" xr:uid="{00000000-0005-0000-0000-000076070000}"/>
    <cellStyle name="Standard 6 2 2 2 4 3 2 2" xfId="1904" xr:uid="{00000000-0005-0000-0000-000077070000}"/>
    <cellStyle name="Standard 6 2 2 2 4 3 2 2 2" xfId="1905" xr:uid="{00000000-0005-0000-0000-000078070000}"/>
    <cellStyle name="Standard 6 2 2 2 4 3 2 2 2 2" xfId="13866" xr:uid="{F5F5B883-96EE-411E-AB8C-B843781FBD86}"/>
    <cellStyle name="Standard 6 2 2 2 4 3 2 2 3" xfId="13865" xr:uid="{62961E9E-470B-43ED-9673-5509A42DC040}"/>
    <cellStyle name="Standard 6 2 2 2 4 3 2 3" xfId="1906" xr:uid="{00000000-0005-0000-0000-000079070000}"/>
    <cellStyle name="Standard 6 2 2 2 4 3 2 3 2" xfId="13867" xr:uid="{91E4CFBA-F610-4638-9B96-832E55C676FD}"/>
    <cellStyle name="Standard 6 2 2 2 4 3 2 4" xfId="13864" xr:uid="{59CCEC36-D967-407F-9A1C-C5B9CB724EA1}"/>
    <cellStyle name="Standard 6 2 2 2 4 3 3" xfId="1907" xr:uid="{00000000-0005-0000-0000-00007A070000}"/>
    <cellStyle name="Standard 6 2 2 2 4 3 3 2" xfId="1908" xr:uid="{00000000-0005-0000-0000-00007B070000}"/>
    <cellStyle name="Standard 6 2 2 2 4 3 3 2 2" xfId="1909" xr:uid="{00000000-0005-0000-0000-00007C070000}"/>
    <cellStyle name="Standard 6 2 2 2 4 3 3 2 2 2" xfId="13870" xr:uid="{87B9C659-1E73-4FF8-A294-9FAD0CF0691D}"/>
    <cellStyle name="Standard 6 2 2 2 4 3 3 2 3" xfId="13869" xr:uid="{EC75DE4B-BD3D-49AF-9C26-64217992CA0A}"/>
    <cellStyle name="Standard 6 2 2 2 4 3 3 3" xfId="1910" xr:uid="{00000000-0005-0000-0000-00007D070000}"/>
    <cellStyle name="Standard 6 2 2 2 4 3 3 3 2" xfId="13871" xr:uid="{93F42252-8928-4C2A-9F1A-644271DDC239}"/>
    <cellStyle name="Standard 6 2 2 2 4 3 3 4" xfId="13868" xr:uid="{78F2A7BF-BEF6-4E9E-BCE4-69F737497E3F}"/>
    <cellStyle name="Standard 6 2 2 2 4 3 4" xfId="1911" xr:uid="{00000000-0005-0000-0000-00007E070000}"/>
    <cellStyle name="Standard 6 2 2 2 4 3 4 2" xfId="1912" xr:uid="{00000000-0005-0000-0000-00007F070000}"/>
    <cellStyle name="Standard 6 2 2 2 4 3 4 2 2" xfId="1913" xr:uid="{00000000-0005-0000-0000-000080070000}"/>
    <cellStyle name="Standard 6 2 2 2 4 3 4 2 2 2" xfId="13874" xr:uid="{29880AE2-2F99-4967-AC0A-512A02698626}"/>
    <cellStyle name="Standard 6 2 2 2 4 3 4 2 3" xfId="13873" xr:uid="{3FF8B30A-69C1-4B8F-B53B-9061DF2B3A4A}"/>
    <cellStyle name="Standard 6 2 2 2 4 3 4 3" xfId="1914" xr:uid="{00000000-0005-0000-0000-000081070000}"/>
    <cellStyle name="Standard 6 2 2 2 4 3 4 3 2" xfId="13875" xr:uid="{422F7C29-19D6-49FB-89FD-61D1C078F3CC}"/>
    <cellStyle name="Standard 6 2 2 2 4 3 4 4" xfId="13872" xr:uid="{E2B860F8-18EB-4CF6-9897-AF445F1A2D82}"/>
    <cellStyle name="Standard 6 2 2 2 4 3 5" xfId="1915" xr:uid="{00000000-0005-0000-0000-000082070000}"/>
    <cellStyle name="Standard 6 2 2 2 4 3 5 2" xfId="1916" xr:uid="{00000000-0005-0000-0000-000083070000}"/>
    <cellStyle name="Standard 6 2 2 2 4 3 5 2 2" xfId="1917" xr:uid="{00000000-0005-0000-0000-000084070000}"/>
    <cellStyle name="Standard 6 2 2 2 4 3 5 2 2 2" xfId="13878" xr:uid="{202D9444-C437-4551-BC2A-A5E3160DB2CC}"/>
    <cellStyle name="Standard 6 2 2 2 4 3 5 2 3" xfId="13877" xr:uid="{F4915F5E-D058-45F2-8FB8-C16EDA08A6C0}"/>
    <cellStyle name="Standard 6 2 2 2 4 3 5 3" xfId="1918" xr:uid="{00000000-0005-0000-0000-000085070000}"/>
    <cellStyle name="Standard 6 2 2 2 4 3 5 3 2" xfId="13879" xr:uid="{0F691B2D-D1E6-4679-9EBD-304F536D8014}"/>
    <cellStyle name="Standard 6 2 2 2 4 3 5 4" xfId="13876" xr:uid="{31B656AF-CE5B-4FA1-BA13-CE61EFF65155}"/>
    <cellStyle name="Standard 6 2 2 2 4 3 6" xfId="1919" xr:uid="{00000000-0005-0000-0000-000086070000}"/>
    <cellStyle name="Standard 6 2 2 2 4 3 6 2" xfId="1920" xr:uid="{00000000-0005-0000-0000-000087070000}"/>
    <cellStyle name="Standard 6 2 2 2 4 3 6 2 2" xfId="1921" xr:uid="{00000000-0005-0000-0000-000088070000}"/>
    <cellStyle name="Standard 6 2 2 2 4 3 6 2 2 2" xfId="13882" xr:uid="{5FFC8E0C-305B-48E8-9489-679D90FFBD32}"/>
    <cellStyle name="Standard 6 2 2 2 4 3 6 2 3" xfId="13881" xr:uid="{D04098D8-DB85-40B7-A892-9F1D1B210F6C}"/>
    <cellStyle name="Standard 6 2 2 2 4 3 6 3" xfId="1922" xr:uid="{00000000-0005-0000-0000-000089070000}"/>
    <cellStyle name="Standard 6 2 2 2 4 3 6 3 2" xfId="13883" xr:uid="{1700B825-84E4-4DEB-ABE8-372410C6C18B}"/>
    <cellStyle name="Standard 6 2 2 2 4 3 6 4" xfId="13880" xr:uid="{AF15336F-0202-45F6-B0E5-911E1AA2D16B}"/>
    <cellStyle name="Standard 6 2 2 2 4 3 7" xfId="1923" xr:uid="{00000000-0005-0000-0000-00008A070000}"/>
    <cellStyle name="Standard 6 2 2 2 4 3 7 2" xfId="1924" xr:uid="{00000000-0005-0000-0000-00008B070000}"/>
    <cellStyle name="Standard 6 2 2 2 4 3 7 2 2" xfId="1925" xr:uid="{00000000-0005-0000-0000-00008C070000}"/>
    <cellStyle name="Standard 6 2 2 2 4 3 7 2 2 2" xfId="13886" xr:uid="{C0E0A2B9-E671-444A-AF29-AA0F487D322F}"/>
    <cellStyle name="Standard 6 2 2 2 4 3 7 2 3" xfId="13885" xr:uid="{3656EECA-303B-41A3-A165-519548479A84}"/>
    <cellStyle name="Standard 6 2 2 2 4 3 7 3" xfId="1926" xr:uid="{00000000-0005-0000-0000-00008D070000}"/>
    <cellStyle name="Standard 6 2 2 2 4 3 7 3 2" xfId="13887" xr:uid="{0FD193ED-C2F4-48A8-8C9D-3E0ED9C70DC5}"/>
    <cellStyle name="Standard 6 2 2 2 4 3 7 4" xfId="13884" xr:uid="{6EB1CA2D-2FCD-4F99-AA02-7CA550FA3DF2}"/>
    <cellStyle name="Standard 6 2 2 2 4 3 8" xfId="1927" xr:uid="{00000000-0005-0000-0000-00008E070000}"/>
    <cellStyle name="Standard 6 2 2 2 4 3 8 2" xfId="1928" xr:uid="{00000000-0005-0000-0000-00008F070000}"/>
    <cellStyle name="Standard 6 2 2 2 4 3 8 2 2" xfId="13889" xr:uid="{3798F722-1F36-4440-8591-285DB90C9E82}"/>
    <cellStyle name="Standard 6 2 2 2 4 3 8 3" xfId="13888" xr:uid="{3CE6ADB8-89BD-488B-9BE6-86FBB1C543DA}"/>
    <cellStyle name="Standard 6 2 2 2 4 3 9" xfId="1929" xr:uid="{00000000-0005-0000-0000-000090070000}"/>
    <cellStyle name="Standard 6 2 2 2 4 3 9 2" xfId="13890" xr:uid="{E594AB3F-70FC-42E2-BE85-FDA5AB65AA29}"/>
    <cellStyle name="Standard 6 2 2 2 4 4" xfId="1930" xr:uid="{00000000-0005-0000-0000-000091070000}"/>
    <cellStyle name="Standard 6 2 2 2 4 4 2" xfId="1931" xr:uid="{00000000-0005-0000-0000-000092070000}"/>
    <cellStyle name="Standard 6 2 2 2 4 4 2 2" xfId="1932" xr:uid="{00000000-0005-0000-0000-000093070000}"/>
    <cellStyle name="Standard 6 2 2 2 4 4 2 2 2" xfId="13893" xr:uid="{AEE26276-06CE-42B1-961D-7B3D69D4AC04}"/>
    <cellStyle name="Standard 6 2 2 2 4 4 2 3" xfId="13892" xr:uid="{DB8A1BC7-9825-4DA7-BE04-2CD4E2139D4F}"/>
    <cellStyle name="Standard 6 2 2 2 4 4 3" xfId="1933" xr:uid="{00000000-0005-0000-0000-000094070000}"/>
    <cellStyle name="Standard 6 2 2 2 4 4 3 2" xfId="13894" xr:uid="{4234F9D3-5A27-4CF5-B8F1-8442583EDD7E}"/>
    <cellStyle name="Standard 6 2 2 2 4 4 4" xfId="13891" xr:uid="{D8CE33B5-CD0D-4F0B-959F-1DC4F52178C3}"/>
    <cellStyle name="Standard 6 2 2 2 4 5" xfId="1934" xr:uid="{00000000-0005-0000-0000-000095070000}"/>
    <cellStyle name="Standard 6 2 2 2 4 5 2" xfId="1935" xr:uid="{00000000-0005-0000-0000-000096070000}"/>
    <cellStyle name="Standard 6 2 2 2 4 5 2 2" xfId="1936" xr:uid="{00000000-0005-0000-0000-000097070000}"/>
    <cellStyle name="Standard 6 2 2 2 4 5 2 2 2" xfId="13897" xr:uid="{0B5D56F3-B5A8-4464-8646-5C85303E5569}"/>
    <cellStyle name="Standard 6 2 2 2 4 5 2 3" xfId="13896" xr:uid="{3D2B07C2-E745-48F4-8D56-BB5A09A40ADE}"/>
    <cellStyle name="Standard 6 2 2 2 4 5 3" xfId="1937" xr:uid="{00000000-0005-0000-0000-000098070000}"/>
    <cellStyle name="Standard 6 2 2 2 4 5 3 2" xfId="13898" xr:uid="{73204B95-0CCA-4D49-882E-AEAE6B518CA9}"/>
    <cellStyle name="Standard 6 2 2 2 4 5 4" xfId="13895" xr:uid="{E3CA5723-BDF2-4811-88A6-5D6F4018B5A7}"/>
    <cellStyle name="Standard 6 2 2 2 4 6" xfId="1938" xr:uid="{00000000-0005-0000-0000-000099070000}"/>
    <cellStyle name="Standard 6 2 2 2 4 6 2" xfId="1939" xr:uid="{00000000-0005-0000-0000-00009A070000}"/>
    <cellStyle name="Standard 6 2 2 2 4 6 2 2" xfId="1940" xr:uid="{00000000-0005-0000-0000-00009B070000}"/>
    <cellStyle name="Standard 6 2 2 2 4 6 2 2 2" xfId="13901" xr:uid="{CE8F6E3C-1473-4BD2-AAB7-E1E121521059}"/>
    <cellStyle name="Standard 6 2 2 2 4 6 2 3" xfId="13900" xr:uid="{B54C205D-E5F9-4D79-9C9A-6E6C5C08AA98}"/>
    <cellStyle name="Standard 6 2 2 2 4 6 3" xfId="1941" xr:uid="{00000000-0005-0000-0000-00009C070000}"/>
    <cellStyle name="Standard 6 2 2 2 4 6 3 2" xfId="13902" xr:uid="{F8BA0C88-1746-41D3-A638-8B9FC3EA7049}"/>
    <cellStyle name="Standard 6 2 2 2 4 6 4" xfId="13899" xr:uid="{F9444A39-0324-43B4-B6D4-A4BC3E9E5035}"/>
    <cellStyle name="Standard 6 2 2 2 4 7" xfId="1942" xr:uid="{00000000-0005-0000-0000-00009D070000}"/>
    <cellStyle name="Standard 6 2 2 2 4 7 2" xfId="1943" xr:uid="{00000000-0005-0000-0000-00009E070000}"/>
    <cellStyle name="Standard 6 2 2 2 4 7 2 2" xfId="1944" xr:uid="{00000000-0005-0000-0000-00009F070000}"/>
    <cellStyle name="Standard 6 2 2 2 4 7 2 2 2" xfId="13905" xr:uid="{C348915B-CB1D-4534-A0B5-4A9B8D669EF7}"/>
    <cellStyle name="Standard 6 2 2 2 4 7 2 3" xfId="13904" xr:uid="{CA58BDA1-0158-4599-A9EB-1A19847B5C1A}"/>
    <cellStyle name="Standard 6 2 2 2 4 7 3" xfId="1945" xr:uid="{00000000-0005-0000-0000-0000A0070000}"/>
    <cellStyle name="Standard 6 2 2 2 4 7 3 2" xfId="13906" xr:uid="{2E0010FA-C221-4DC6-B127-1AB3E6A8C06C}"/>
    <cellStyle name="Standard 6 2 2 2 4 7 4" xfId="13903" xr:uid="{78D78FD3-1A90-47E2-80C8-F9F6F9C0070E}"/>
    <cellStyle name="Standard 6 2 2 2 4 8" xfId="1946" xr:uid="{00000000-0005-0000-0000-0000A1070000}"/>
    <cellStyle name="Standard 6 2 2 2 4 8 2" xfId="1947" xr:uid="{00000000-0005-0000-0000-0000A2070000}"/>
    <cellStyle name="Standard 6 2 2 2 4 8 2 2" xfId="1948" xr:uid="{00000000-0005-0000-0000-0000A3070000}"/>
    <cellStyle name="Standard 6 2 2 2 4 8 2 2 2" xfId="13909" xr:uid="{3A934C05-6C44-4642-8848-D343B03E42C3}"/>
    <cellStyle name="Standard 6 2 2 2 4 8 2 3" xfId="13908" xr:uid="{16813F57-D754-42E9-A347-4466C2ED94DB}"/>
    <cellStyle name="Standard 6 2 2 2 4 8 3" xfId="1949" xr:uid="{00000000-0005-0000-0000-0000A4070000}"/>
    <cellStyle name="Standard 6 2 2 2 4 8 3 2" xfId="13910" xr:uid="{CFE71E53-81FA-4936-AA90-8DAFD8C673C8}"/>
    <cellStyle name="Standard 6 2 2 2 4 8 4" xfId="13907" xr:uid="{BDDD452B-A546-4DC2-96C1-B2F29FB21F4D}"/>
    <cellStyle name="Standard 6 2 2 2 4 9" xfId="1950" xr:uid="{00000000-0005-0000-0000-0000A5070000}"/>
    <cellStyle name="Standard 6 2 2 2 4 9 2" xfId="1951" xr:uid="{00000000-0005-0000-0000-0000A6070000}"/>
    <cellStyle name="Standard 6 2 2 2 4 9 2 2" xfId="1952" xr:uid="{00000000-0005-0000-0000-0000A7070000}"/>
    <cellStyle name="Standard 6 2 2 2 4 9 2 2 2" xfId="13913" xr:uid="{F5C73233-6168-4A6B-8D50-631A03AE3F81}"/>
    <cellStyle name="Standard 6 2 2 2 4 9 2 3" xfId="13912" xr:uid="{E734E5EE-9D69-40C1-B999-386D5770A65A}"/>
    <cellStyle name="Standard 6 2 2 2 4 9 3" xfId="1953" xr:uid="{00000000-0005-0000-0000-0000A8070000}"/>
    <cellStyle name="Standard 6 2 2 2 4 9 3 2" xfId="13914" xr:uid="{6DFECB29-5FE4-4696-96C7-A78DB5581F08}"/>
    <cellStyle name="Standard 6 2 2 2 4 9 4" xfId="13911" xr:uid="{2E626936-B05C-47CE-8168-1F3BAF6BFC02}"/>
    <cellStyle name="Standard 6 2 2 2 5" xfId="1954" xr:uid="{00000000-0005-0000-0000-0000A9070000}"/>
    <cellStyle name="Standard 6 2 2 2 5 10" xfId="1955" xr:uid="{00000000-0005-0000-0000-0000AA070000}"/>
    <cellStyle name="Standard 6 2 2 2 5 10 2" xfId="13916" xr:uid="{DD677375-B54B-4F36-B2FE-BD0E3B2EE2A3}"/>
    <cellStyle name="Standard 6 2 2 2 5 11" xfId="13915" xr:uid="{95A592B1-17C2-42E5-96A8-9F9AE9773A3E}"/>
    <cellStyle name="Standard 6 2 2 2 5 2" xfId="1956" xr:uid="{00000000-0005-0000-0000-0000AB070000}"/>
    <cellStyle name="Standard 6 2 2 2 5 2 10" xfId="13917" xr:uid="{7173E277-0BD1-47CD-8380-2F47E233E977}"/>
    <cellStyle name="Standard 6 2 2 2 5 2 2" xfId="1957" xr:uid="{00000000-0005-0000-0000-0000AC070000}"/>
    <cellStyle name="Standard 6 2 2 2 5 2 2 2" xfId="1958" xr:uid="{00000000-0005-0000-0000-0000AD070000}"/>
    <cellStyle name="Standard 6 2 2 2 5 2 2 2 2" xfId="1959" xr:uid="{00000000-0005-0000-0000-0000AE070000}"/>
    <cellStyle name="Standard 6 2 2 2 5 2 2 2 2 2" xfId="13920" xr:uid="{85C14CAA-1FC0-4FD7-A125-33CF01FF2EC1}"/>
    <cellStyle name="Standard 6 2 2 2 5 2 2 2 3" xfId="13919" xr:uid="{5B35EFE7-559E-44A6-B9E5-7697EC01051B}"/>
    <cellStyle name="Standard 6 2 2 2 5 2 2 3" xfId="1960" xr:uid="{00000000-0005-0000-0000-0000AF070000}"/>
    <cellStyle name="Standard 6 2 2 2 5 2 2 3 2" xfId="13921" xr:uid="{02B6613D-DE49-450C-AF7D-554C6976E7CB}"/>
    <cellStyle name="Standard 6 2 2 2 5 2 2 4" xfId="13918" xr:uid="{6923C011-16CF-4C35-B1EB-852398A044FD}"/>
    <cellStyle name="Standard 6 2 2 2 5 2 3" xfId="1961" xr:uid="{00000000-0005-0000-0000-0000B0070000}"/>
    <cellStyle name="Standard 6 2 2 2 5 2 3 2" xfId="1962" xr:uid="{00000000-0005-0000-0000-0000B1070000}"/>
    <cellStyle name="Standard 6 2 2 2 5 2 3 2 2" xfId="1963" xr:uid="{00000000-0005-0000-0000-0000B2070000}"/>
    <cellStyle name="Standard 6 2 2 2 5 2 3 2 2 2" xfId="13924" xr:uid="{AB3C9CE9-257E-4989-AA95-6E9D9A832217}"/>
    <cellStyle name="Standard 6 2 2 2 5 2 3 2 3" xfId="13923" xr:uid="{547BAA10-8148-4D53-AD28-B945EA578D72}"/>
    <cellStyle name="Standard 6 2 2 2 5 2 3 3" xfId="1964" xr:uid="{00000000-0005-0000-0000-0000B3070000}"/>
    <cellStyle name="Standard 6 2 2 2 5 2 3 3 2" xfId="13925" xr:uid="{E42DC1D0-5704-4031-9242-8AFBBC4FEF67}"/>
    <cellStyle name="Standard 6 2 2 2 5 2 3 4" xfId="13922" xr:uid="{2651F086-36F9-4613-8461-AC7795382FA0}"/>
    <cellStyle name="Standard 6 2 2 2 5 2 4" xfId="1965" xr:uid="{00000000-0005-0000-0000-0000B4070000}"/>
    <cellStyle name="Standard 6 2 2 2 5 2 4 2" xfId="1966" xr:uid="{00000000-0005-0000-0000-0000B5070000}"/>
    <cellStyle name="Standard 6 2 2 2 5 2 4 2 2" xfId="1967" xr:uid="{00000000-0005-0000-0000-0000B6070000}"/>
    <cellStyle name="Standard 6 2 2 2 5 2 4 2 2 2" xfId="13928" xr:uid="{88C5D236-1468-4648-816F-80E2DD84A24C}"/>
    <cellStyle name="Standard 6 2 2 2 5 2 4 2 3" xfId="13927" xr:uid="{51AEC01F-3658-4D31-9C37-E00D5AB3D5DE}"/>
    <cellStyle name="Standard 6 2 2 2 5 2 4 3" xfId="1968" xr:uid="{00000000-0005-0000-0000-0000B7070000}"/>
    <cellStyle name="Standard 6 2 2 2 5 2 4 3 2" xfId="13929" xr:uid="{62FB780B-22BE-4F45-8DE0-92738435FB27}"/>
    <cellStyle name="Standard 6 2 2 2 5 2 4 4" xfId="13926" xr:uid="{B2D5C212-D739-41A1-B5FD-1D725E5268A9}"/>
    <cellStyle name="Standard 6 2 2 2 5 2 5" xfId="1969" xr:uid="{00000000-0005-0000-0000-0000B8070000}"/>
    <cellStyle name="Standard 6 2 2 2 5 2 5 2" xfId="1970" xr:uid="{00000000-0005-0000-0000-0000B9070000}"/>
    <cellStyle name="Standard 6 2 2 2 5 2 5 2 2" xfId="1971" xr:uid="{00000000-0005-0000-0000-0000BA070000}"/>
    <cellStyle name="Standard 6 2 2 2 5 2 5 2 2 2" xfId="13932" xr:uid="{8276AC22-D6F9-4F99-8D92-D72AE6547D7E}"/>
    <cellStyle name="Standard 6 2 2 2 5 2 5 2 3" xfId="13931" xr:uid="{6B892F78-1596-4316-8DB9-4428C8A02D53}"/>
    <cellStyle name="Standard 6 2 2 2 5 2 5 3" xfId="1972" xr:uid="{00000000-0005-0000-0000-0000BB070000}"/>
    <cellStyle name="Standard 6 2 2 2 5 2 5 3 2" xfId="13933" xr:uid="{5430C300-5680-45DA-9F9D-624A7EA301AC}"/>
    <cellStyle name="Standard 6 2 2 2 5 2 5 4" xfId="13930" xr:uid="{A04D0E78-34C8-416B-8C81-C7201EF22BA2}"/>
    <cellStyle name="Standard 6 2 2 2 5 2 6" xfId="1973" xr:uid="{00000000-0005-0000-0000-0000BC070000}"/>
    <cellStyle name="Standard 6 2 2 2 5 2 6 2" xfId="1974" xr:uid="{00000000-0005-0000-0000-0000BD070000}"/>
    <cellStyle name="Standard 6 2 2 2 5 2 6 2 2" xfId="1975" xr:uid="{00000000-0005-0000-0000-0000BE070000}"/>
    <cellStyle name="Standard 6 2 2 2 5 2 6 2 2 2" xfId="13936" xr:uid="{7DF987F8-A654-406F-8045-05BC4F6C1579}"/>
    <cellStyle name="Standard 6 2 2 2 5 2 6 2 3" xfId="13935" xr:uid="{A6F798A2-E6CE-4077-B6E0-5DEB9E490FD3}"/>
    <cellStyle name="Standard 6 2 2 2 5 2 6 3" xfId="1976" xr:uid="{00000000-0005-0000-0000-0000BF070000}"/>
    <cellStyle name="Standard 6 2 2 2 5 2 6 3 2" xfId="13937" xr:uid="{F7A635EE-8DB4-4288-89B5-3CF78548F825}"/>
    <cellStyle name="Standard 6 2 2 2 5 2 6 4" xfId="13934" xr:uid="{006901F5-FF0D-4917-B156-B99A0D213B86}"/>
    <cellStyle name="Standard 6 2 2 2 5 2 7" xfId="1977" xr:uid="{00000000-0005-0000-0000-0000C0070000}"/>
    <cellStyle name="Standard 6 2 2 2 5 2 7 2" xfId="1978" xr:uid="{00000000-0005-0000-0000-0000C1070000}"/>
    <cellStyle name="Standard 6 2 2 2 5 2 7 2 2" xfId="1979" xr:uid="{00000000-0005-0000-0000-0000C2070000}"/>
    <cellStyle name="Standard 6 2 2 2 5 2 7 2 2 2" xfId="13940" xr:uid="{0BE5F193-2007-45C0-B732-737080A30F84}"/>
    <cellStyle name="Standard 6 2 2 2 5 2 7 2 3" xfId="13939" xr:uid="{34DB636B-624B-481C-886E-6767B99A6CF2}"/>
    <cellStyle name="Standard 6 2 2 2 5 2 7 3" xfId="1980" xr:uid="{00000000-0005-0000-0000-0000C3070000}"/>
    <cellStyle name="Standard 6 2 2 2 5 2 7 3 2" xfId="13941" xr:uid="{F2559A10-6EE5-4996-BBA7-8204313F9A87}"/>
    <cellStyle name="Standard 6 2 2 2 5 2 7 4" xfId="13938" xr:uid="{82962964-CB9F-4997-978C-1E3F00D0A59A}"/>
    <cellStyle name="Standard 6 2 2 2 5 2 8" xfId="1981" xr:uid="{00000000-0005-0000-0000-0000C4070000}"/>
    <cellStyle name="Standard 6 2 2 2 5 2 8 2" xfId="1982" xr:uid="{00000000-0005-0000-0000-0000C5070000}"/>
    <cellStyle name="Standard 6 2 2 2 5 2 8 2 2" xfId="13943" xr:uid="{60CC754C-8040-478C-9EA2-799306C9374E}"/>
    <cellStyle name="Standard 6 2 2 2 5 2 8 3" xfId="13942" xr:uid="{119247A3-656C-4F59-B708-7F1AE7B3B161}"/>
    <cellStyle name="Standard 6 2 2 2 5 2 9" xfId="1983" xr:uid="{00000000-0005-0000-0000-0000C6070000}"/>
    <cellStyle name="Standard 6 2 2 2 5 2 9 2" xfId="13944" xr:uid="{287C12D3-9828-4B84-897D-6CBF8534C21C}"/>
    <cellStyle name="Standard 6 2 2 2 5 3" xfId="1984" xr:uid="{00000000-0005-0000-0000-0000C7070000}"/>
    <cellStyle name="Standard 6 2 2 2 5 3 2" xfId="1985" xr:uid="{00000000-0005-0000-0000-0000C8070000}"/>
    <cellStyle name="Standard 6 2 2 2 5 3 2 2" xfId="1986" xr:uid="{00000000-0005-0000-0000-0000C9070000}"/>
    <cellStyle name="Standard 6 2 2 2 5 3 2 2 2" xfId="13947" xr:uid="{8CFD35B8-4B92-42D5-B21F-E937CA901C5A}"/>
    <cellStyle name="Standard 6 2 2 2 5 3 2 3" xfId="13946" xr:uid="{01C493D4-2393-4F60-BADC-9AC8FD93F223}"/>
    <cellStyle name="Standard 6 2 2 2 5 3 3" xfId="1987" xr:uid="{00000000-0005-0000-0000-0000CA070000}"/>
    <cellStyle name="Standard 6 2 2 2 5 3 3 2" xfId="13948" xr:uid="{CBCBE215-31D5-4DB7-B212-4FEF59045811}"/>
    <cellStyle name="Standard 6 2 2 2 5 3 4" xfId="13945" xr:uid="{826BF364-4DC2-4F4A-BE1A-B2EFE0D214B6}"/>
    <cellStyle name="Standard 6 2 2 2 5 4" xfId="1988" xr:uid="{00000000-0005-0000-0000-0000CB070000}"/>
    <cellStyle name="Standard 6 2 2 2 5 4 2" xfId="1989" xr:uid="{00000000-0005-0000-0000-0000CC070000}"/>
    <cellStyle name="Standard 6 2 2 2 5 4 2 2" xfId="1990" xr:uid="{00000000-0005-0000-0000-0000CD070000}"/>
    <cellStyle name="Standard 6 2 2 2 5 4 2 2 2" xfId="13951" xr:uid="{958B5955-2575-41F8-9E79-0F02BE186863}"/>
    <cellStyle name="Standard 6 2 2 2 5 4 2 3" xfId="13950" xr:uid="{8E2F0A99-3223-4CE9-ABB2-192D20260B01}"/>
    <cellStyle name="Standard 6 2 2 2 5 4 3" xfId="1991" xr:uid="{00000000-0005-0000-0000-0000CE070000}"/>
    <cellStyle name="Standard 6 2 2 2 5 4 3 2" xfId="13952" xr:uid="{5D77764F-FACC-4910-86B4-993465FD62B6}"/>
    <cellStyle name="Standard 6 2 2 2 5 4 4" xfId="13949" xr:uid="{83E80C1F-DE9D-4854-8EDE-97DA55C905FA}"/>
    <cellStyle name="Standard 6 2 2 2 5 5" xfId="1992" xr:uid="{00000000-0005-0000-0000-0000CF070000}"/>
    <cellStyle name="Standard 6 2 2 2 5 5 2" xfId="1993" xr:uid="{00000000-0005-0000-0000-0000D0070000}"/>
    <cellStyle name="Standard 6 2 2 2 5 5 2 2" xfId="1994" xr:uid="{00000000-0005-0000-0000-0000D1070000}"/>
    <cellStyle name="Standard 6 2 2 2 5 5 2 2 2" xfId="13955" xr:uid="{5CA05D94-BCC1-4186-825E-C7F57D922EE3}"/>
    <cellStyle name="Standard 6 2 2 2 5 5 2 3" xfId="13954" xr:uid="{F76857B6-781B-4027-A640-83D49854A26E}"/>
    <cellStyle name="Standard 6 2 2 2 5 5 3" xfId="1995" xr:uid="{00000000-0005-0000-0000-0000D2070000}"/>
    <cellStyle name="Standard 6 2 2 2 5 5 3 2" xfId="13956" xr:uid="{FC11319F-5FE4-4263-BACF-DAA7C0DB0AEE}"/>
    <cellStyle name="Standard 6 2 2 2 5 5 4" xfId="13953" xr:uid="{CD9C7BD8-7CD1-486D-AEBC-2C705E349F7D}"/>
    <cellStyle name="Standard 6 2 2 2 5 6" xfId="1996" xr:uid="{00000000-0005-0000-0000-0000D3070000}"/>
    <cellStyle name="Standard 6 2 2 2 5 6 2" xfId="1997" xr:uid="{00000000-0005-0000-0000-0000D4070000}"/>
    <cellStyle name="Standard 6 2 2 2 5 6 2 2" xfId="1998" xr:uid="{00000000-0005-0000-0000-0000D5070000}"/>
    <cellStyle name="Standard 6 2 2 2 5 6 2 2 2" xfId="13959" xr:uid="{4CF25D1B-239C-4763-A719-266FA83FE0B6}"/>
    <cellStyle name="Standard 6 2 2 2 5 6 2 3" xfId="13958" xr:uid="{5200498B-37D3-43E9-8FBC-93FD69B293EF}"/>
    <cellStyle name="Standard 6 2 2 2 5 6 3" xfId="1999" xr:uid="{00000000-0005-0000-0000-0000D6070000}"/>
    <cellStyle name="Standard 6 2 2 2 5 6 3 2" xfId="13960" xr:uid="{6BDED7F1-4516-4F43-9398-10FDD5E7607C}"/>
    <cellStyle name="Standard 6 2 2 2 5 6 4" xfId="13957" xr:uid="{DF9BD762-0E11-4F6D-94E0-560D458AC6DA}"/>
    <cellStyle name="Standard 6 2 2 2 5 7" xfId="2000" xr:uid="{00000000-0005-0000-0000-0000D7070000}"/>
    <cellStyle name="Standard 6 2 2 2 5 7 2" xfId="2001" xr:uid="{00000000-0005-0000-0000-0000D8070000}"/>
    <cellStyle name="Standard 6 2 2 2 5 7 2 2" xfId="2002" xr:uid="{00000000-0005-0000-0000-0000D9070000}"/>
    <cellStyle name="Standard 6 2 2 2 5 7 2 2 2" xfId="13963" xr:uid="{0CEB3C04-968F-4626-888D-38635B515471}"/>
    <cellStyle name="Standard 6 2 2 2 5 7 2 3" xfId="13962" xr:uid="{2FBEB17E-1073-49E1-804D-0C73E93B236B}"/>
    <cellStyle name="Standard 6 2 2 2 5 7 3" xfId="2003" xr:uid="{00000000-0005-0000-0000-0000DA070000}"/>
    <cellStyle name="Standard 6 2 2 2 5 7 3 2" xfId="13964" xr:uid="{9073BEA3-A559-415D-B662-E8F94AD45F6D}"/>
    <cellStyle name="Standard 6 2 2 2 5 7 4" xfId="13961" xr:uid="{3C2EEC64-3EC1-418F-B2D4-8391050D71DB}"/>
    <cellStyle name="Standard 6 2 2 2 5 8" xfId="2004" xr:uid="{00000000-0005-0000-0000-0000DB070000}"/>
    <cellStyle name="Standard 6 2 2 2 5 8 2" xfId="2005" xr:uid="{00000000-0005-0000-0000-0000DC070000}"/>
    <cellStyle name="Standard 6 2 2 2 5 8 2 2" xfId="2006" xr:uid="{00000000-0005-0000-0000-0000DD070000}"/>
    <cellStyle name="Standard 6 2 2 2 5 8 2 2 2" xfId="13967" xr:uid="{DC78395F-D470-40A4-BBC9-1D844CBD7844}"/>
    <cellStyle name="Standard 6 2 2 2 5 8 2 3" xfId="13966" xr:uid="{CEE86A30-E145-4B3B-806A-919E371D6247}"/>
    <cellStyle name="Standard 6 2 2 2 5 8 3" xfId="2007" xr:uid="{00000000-0005-0000-0000-0000DE070000}"/>
    <cellStyle name="Standard 6 2 2 2 5 8 3 2" xfId="13968" xr:uid="{FC818355-A6B1-49C8-9ADA-7F7ACFC4DE99}"/>
    <cellStyle name="Standard 6 2 2 2 5 8 4" xfId="13965" xr:uid="{3AD03ABC-A485-4673-ABE2-4FFAF8BA2F44}"/>
    <cellStyle name="Standard 6 2 2 2 5 9" xfId="2008" xr:uid="{00000000-0005-0000-0000-0000DF070000}"/>
    <cellStyle name="Standard 6 2 2 2 5 9 2" xfId="2009" xr:uid="{00000000-0005-0000-0000-0000E0070000}"/>
    <cellStyle name="Standard 6 2 2 2 5 9 2 2" xfId="13970" xr:uid="{B1085590-E1CA-4765-861D-23764D0E4BF6}"/>
    <cellStyle name="Standard 6 2 2 2 5 9 3" xfId="13969" xr:uid="{68D872CC-E24E-4C8A-951D-029A877289CA}"/>
    <cellStyle name="Standard 6 2 2 2 6" xfId="2010" xr:uid="{00000000-0005-0000-0000-0000E1070000}"/>
    <cellStyle name="Standard 6 2 2 2 6 10" xfId="2011" xr:uid="{00000000-0005-0000-0000-0000E2070000}"/>
    <cellStyle name="Standard 6 2 2 2 6 10 2" xfId="13972" xr:uid="{288989F9-2B1A-444E-A489-0214C35B3C33}"/>
    <cellStyle name="Standard 6 2 2 2 6 11" xfId="13971" xr:uid="{85E1C3F2-2E68-4B48-B70D-6FD6AEE53441}"/>
    <cellStyle name="Standard 6 2 2 2 6 2" xfId="2012" xr:uid="{00000000-0005-0000-0000-0000E3070000}"/>
    <cellStyle name="Standard 6 2 2 2 6 2 10" xfId="13973" xr:uid="{36596A92-644C-46F6-946B-CBCC299DDD16}"/>
    <cellStyle name="Standard 6 2 2 2 6 2 2" xfId="2013" xr:uid="{00000000-0005-0000-0000-0000E4070000}"/>
    <cellStyle name="Standard 6 2 2 2 6 2 2 2" xfId="2014" xr:uid="{00000000-0005-0000-0000-0000E5070000}"/>
    <cellStyle name="Standard 6 2 2 2 6 2 2 2 2" xfId="2015" xr:uid="{00000000-0005-0000-0000-0000E6070000}"/>
    <cellStyle name="Standard 6 2 2 2 6 2 2 2 2 2" xfId="13976" xr:uid="{0F57F8C2-AB7F-4CF6-A24E-8181488232A9}"/>
    <cellStyle name="Standard 6 2 2 2 6 2 2 2 3" xfId="13975" xr:uid="{A36A346A-8F32-480F-B3D3-750D2A273532}"/>
    <cellStyle name="Standard 6 2 2 2 6 2 2 3" xfId="2016" xr:uid="{00000000-0005-0000-0000-0000E7070000}"/>
    <cellStyle name="Standard 6 2 2 2 6 2 2 3 2" xfId="13977" xr:uid="{22BD1FDA-7AD2-4CB3-838B-66999E8C0577}"/>
    <cellStyle name="Standard 6 2 2 2 6 2 2 4" xfId="13974" xr:uid="{5BB4796A-9F74-46A1-BF02-893B2DA2AF44}"/>
    <cellStyle name="Standard 6 2 2 2 6 2 3" xfId="2017" xr:uid="{00000000-0005-0000-0000-0000E8070000}"/>
    <cellStyle name="Standard 6 2 2 2 6 2 3 2" xfId="2018" xr:uid="{00000000-0005-0000-0000-0000E9070000}"/>
    <cellStyle name="Standard 6 2 2 2 6 2 3 2 2" xfId="2019" xr:uid="{00000000-0005-0000-0000-0000EA070000}"/>
    <cellStyle name="Standard 6 2 2 2 6 2 3 2 2 2" xfId="13980" xr:uid="{7F44B2DF-7156-43EE-B6D8-9CCA0EE96E5D}"/>
    <cellStyle name="Standard 6 2 2 2 6 2 3 2 3" xfId="13979" xr:uid="{E338CDCD-03A8-4A9A-8CDA-C0EBB88A614B}"/>
    <cellStyle name="Standard 6 2 2 2 6 2 3 3" xfId="2020" xr:uid="{00000000-0005-0000-0000-0000EB070000}"/>
    <cellStyle name="Standard 6 2 2 2 6 2 3 3 2" xfId="13981" xr:uid="{B0257603-A34E-4FF9-9AE5-9990667AC633}"/>
    <cellStyle name="Standard 6 2 2 2 6 2 3 4" xfId="13978" xr:uid="{879A60FE-A693-4A07-8685-DCD075C118A6}"/>
    <cellStyle name="Standard 6 2 2 2 6 2 4" xfId="2021" xr:uid="{00000000-0005-0000-0000-0000EC070000}"/>
    <cellStyle name="Standard 6 2 2 2 6 2 4 2" xfId="2022" xr:uid="{00000000-0005-0000-0000-0000ED070000}"/>
    <cellStyle name="Standard 6 2 2 2 6 2 4 2 2" xfId="2023" xr:uid="{00000000-0005-0000-0000-0000EE070000}"/>
    <cellStyle name="Standard 6 2 2 2 6 2 4 2 2 2" xfId="13984" xr:uid="{578B3202-CEBE-4F58-8C2B-444786E08E4C}"/>
    <cellStyle name="Standard 6 2 2 2 6 2 4 2 3" xfId="13983" xr:uid="{25DFAAB7-E189-4E0D-B82B-E0DDD610B866}"/>
    <cellStyle name="Standard 6 2 2 2 6 2 4 3" xfId="2024" xr:uid="{00000000-0005-0000-0000-0000EF070000}"/>
    <cellStyle name="Standard 6 2 2 2 6 2 4 3 2" xfId="13985" xr:uid="{9B3D8C60-4E32-402C-B7F0-821A5E718F05}"/>
    <cellStyle name="Standard 6 2 2 2 6 2 4 4" xfId="13982" xr:uid="{B8359024-0A4A-4644-94DE-D60F192A7912}"/>
    <cellStyle name="Standard 6 2 2 2 6 2 5" xfId="2025" xr:uid="{00000000-0005-0000-0000-0000F0070000}"/>
    <cellStyle name="Standard 6 2 2 2 6 2 5 2" xfId="2026" xr:uid="{00000000-0005-0000-0000-0000F1070000}"/>
    <cellStyle name="Standard 6 2 2 2 6 2 5 2 2" xfId="2027" xr:uid="{00000000-0005-0000-0000-0000F2070000}"/>
    <cellStyle name="Standard 6 2 2 2 6 2 5 2 2 2" xfId="13988" xr:uid="{B5792392-2A18-4F5F-A974-AD7F6C681D4C}"/>
    <cellStyle name="Standard 6 2 2 2 6 2 5 2 3" xfId="13987" xr:uid="{FB82A81C-4B90-4E90-A184-9D042ECBB4B3}"/>
    <cellStyle name="Standard 6 2 2 2 6 2 5 3" xfId="2028" xr:uid="{00000000-0005-0000-0000-0000F3070000}"/>
    <cellStyle name="Standard 6 2 2 2 6 2 5 3 2" xfId="13989" xr:uid="{30372C23-1843-4CF5-91E3-0E41FD56A40D}"/>
    <cellStyle name="Standard 6 2 2 2 6 2 5 4" xfId="13986" xr:uid="{477CB742-B51C-4803-97F3-F48C5E8206DA}"/>
    <cellStyle name="Standard 6 2 2 2 6 2 6" xfId="2029" xr:uid="{00000000-0005-0000-0000-0000F4070000}"/>
    <cellStyle name="Standard 6 2 2 2 6 2 6 2" xfId="2030" xr:uid="{00000000-0005-0000-0000-0000F5070000}"/>
    <cellStyle name="Standard 6 2 2 2 6 2 6 2 2" xfId="2031" xr:uid="{00000000-0005-0000-0000-0000F6070000}"/>
    <cellStyle name="Standard 6 2 2 2 6 2 6 2 2 2" xfId="13992" xr:uid="{A2850C6B-25DC-4D9B-8BB3-E0107F64558C}"/>
    <cellStyle name="Standard 6 2 2 2 6 2 6 2 3" xfId="13991" xr:uid="{2A75D6BD-C1F0-427F-B6E6-1CCC2B6FE1AC}"/>
    <cellStyle name="Standard 6 2 2 2 6 2 6 3" xfId="2032" xr:uid="{00000000-0005-0000-0000-0000F7070000}"/>
    <cellStyle name="Standard 6 2 2 2 6 2 6 3 2" xfId="13993" xr:uid="{C4652AE1-0B29-4473-A659-FB8668B67A74}"/>
    <cellStyle name="Standard 6 2 2 2 6 2 6 4" xfId="13990" xr:uid="{E89C7ADE-8DFC-4D18-A389-C8AEAC3829C7}"/>
    <cellStyle name="Standard 6 2 2 2 6 2 7" xfId="2033" xr:uid="{00000000-0005-0000-0000-0000F8070000}"/>
    <cellStyle name="Standard 6 2 2 2 6 2 7 2" xfId="2034" xr:uid="{00000000-0005-0000-0000-0000F9070000}"/>
    <cellStyle name="Standard 6 2 2 2 6 2 7 2 2" xfId="2035" xr:uid="{00000000-0005-0000-0000-0000FA070000}"/>
    <cellStyle name="Standard 6 2 2 2 6 2 7 2 2 2" xfId="13996" xr:uid="{07FD8461-FDC8-47D8-841E-39D1FD489715}"/>
    <cellStyle name="Standard 6 2 2 2 6 2 7 2 3" xfId="13995" xr:uid="{114B489A-30B7-4F56-9727-5CCE2E641EDA}"/>
    <cellStyle name="Standard 6 2 2 2 6 2 7 3" xfId="2036" xr:uid="{00000000-0005-0000-0000-0000FB070000}"/>
    <cellStyle name="Standard 6 2 2 2 6 2 7 3 2" xfId="13997" xr:uid="{85662C87-4D7F-4883-9E4D-87C5AA8C6458}"/>
    <cellStyle name="Standard 6 2 2 2 6 2 7 4" xfId="13994" xr:uid="{6D2964BA-6C6B-4F62-9ECF-D0862D998BF7}"/>
    <cellStyle name="Standard 6 2 2 2 6 2 8" xfId="2037" xr:uid="{00000000-0005-0000-0000-0000FC070000}"/>
    <cellStyle name="Standard 6 2 2 2 6 2 8 2" xfId="2038" xr:uid="{00000000-0005-0000-0000-0000FD070000}"/>
    <cellStyle name="Standard 6 2 2 2 6 2 8 2 2" xfId="13999" xr:uid="{2B3A3C94-05EE-4F8D-A92A-23F6A2CBA358}"/>
    <cellStyle name="Standard 6 2 2 2 6 2 8 3" xfId="13998" xr:uid="{DBFC5533-0A41-4D73-A881-47EE1CFA1EA0}"/>
    <cellStyle name="Standard 6 2 2 2 6 2 9" xfId="2039" xr:uid="{00000000-0005-0000-0000-0000FE070000}"/>
    <cellStyle name="Standard 6 2 2 2 6 2 9 2" xfId="14000" xr:uid="{42CB6DB5-7057-43C0-A007-CCB51D745E39}"/>
    <cellStyle name="Standard 6 2 2 2 6 3" xfId="2040" xr:uid="{00000000-0005-0000-0000-0000FF070000}"/>
    <cellStyle name="Standard 6 2 2 2 6 3 2" xfId="2041" xr:uid="{00000000-0005-0000-0000-000000080000}"/>
    <cellStyle name="Standard 6 2 2 2 6 3 2 2" xfId="2042" xr:uid="{00000000-0005-0000-0000-000001080000}"/>
    <cellStyle name="Standard 6 2 2 2 6 3 2 2 2" xfId="14003" xr:uid="{9689C39D-C899-40FC-A7B5-921B71768B32}"/>
    <cellStyle name="Standard 6 2 2 2 6 3 2 3" xfId="14002" xr:uid="{0CD220E1-CC1A-447B-A804-8475BF30FF20}"/>
    <cellStyle name="Standard 6 2 2 2 6 3 3" xfId="2043" xr:uid="{00000000-0005-0000-0000-000002080000}"/>
    <cellStyle name="Standard 6 2 2 2 6 3 3 2" xfId="14004" xr:uid="{D701ADE9-7F34-4C1F-B7CA-A4477669F629}"/>
    <cellStyle name="Standard 6 2 2 2 6 3 4" xfId="14001" xr:uid="{20B90993-9754-4C90-9AC1-9B486D85F01B}"/>
    <cellStyle name="Standard 6 2 2 2 6 4" xfId="2044" xr:uid="{00000000-0005-0000-0000-000003080000}"/>
    <cellStyle name="Standard 6 2 2 2 6 4 2" xfId="2045" xr:uid="{00000000-0005-0000-0000-000004080000}"/>
    <cellStyle name="Standard 6 2 2 2 6 4 2 2" xfId="2046" xr:uid="{00000000-0005-0000-0000-000005080000}"/>
    <cellStyle name="Standard 6 2 2 2 6 4 2 2 2" xfId="14007" xr:uid="{DF61C8B8-29A8-4E97-B3A2-818CF014B157}"/>
    <cellStyle name="Standard 6 2 2 2 6 4 2 3" xfId="14006" xr:uid="{934194DF-9FA6-4410-BAC7-B4A428C0B2F3}"/>
    <cellStyle name="Standard 6 2 2 2 6 4 3" xfId="2047" xr:uid="{00000000-0005-0000-0000-000006080000}"/>
    <cellStyle name="Standard 6 2 2 2 6 4 3 2" xfId="14008" xr:uid="{60D0DA46-84E5-41B7-9EC9-73598424B669}"/>
    <cellStyle name="Standard 6 2 2 2 6 4 4" xfId="14005" xr:uid="{9550EC4F-5434-43C4-83C3-67C83CBE791A}"/>
    <cellStyle name="Standard 6 2 2 2 6 5" xfId="2048" xr:uid="{00000000-0005-0000-0000-000007080000}"/>
    <cellStyle name="Standard 6 2 2 2 6 5 2" xfId="2049" xr:uid="{00000000-0005-0000-0000-000008080000}"/>
    <cellStyle name="Standard 6 2 2 2 6 5 2 2" xfId="2050" xr:uid="{00000000-0005-0000-0000-000009080000}"/>
    <cellStyle name="Standard 6 2 2 2 6 5 2 2 2" xfId="14011" xr:uid="{94294BC8-B5BF-42FD-84F0-F04AC06FEC89}"/>
    <cellStyle name="Standard 6 2 2 2 6 5 2 3" xfId="14010" xr:uid="{76D7BE4F-8C53-4FD6-904E-8212A47983B2}"/>
    <cellStyle name="Standard 6 2 2 2 6 5 3" xfId="2051" xr:uid="{00000000-0005-0000-0000-00000A080000}"/>
    <cellStyle name="Standard 6 2 2 2 6 5 3 2" xfId="14012" xr:uid="{3AB41203-8DD8-40DC-B29F-F43ACA58DE69}"/>
    <cellStyle name="Standard 6 2 2 2 6 5 4" xfId="14009" xr:uid="{2FC7B6CD-0B6F-4ED4-A176-246390738F17}"/>
    <cellStyle name="Standard 6 2 2 2 6 6" xfId="2052" xr:uid="{00000000-0005-0000-0000-00000B080000}"/>
    <cellStyle name="Standard 6 2 2 2 6 6 2" xfId="2053" xr:uid="{00000000-0005-0000-0000-00000C080000}"/>
    <cellStyle name="Standard 6 2 2 2 6 6 2 2" xfId="2054" xr:uid="{00000000-0005-0000-0000-00000D080000}"/>
    <cellStyle name="Standard 6 2 2 2 6 6 2 2 2" xfId="14015" xr:uid="{A90D8736-E70B-4037-B93C-11B2577FC744}"/>
    <cellStyle name="Standard 6 2 2 2 6 6 2 3" xfId="14014" xr:uid="{0886B3BC-D33D-4731-AFDA-F4611B1F11E2}"/>
    <cellStyle name="Standard 6 2 2 2 6 6 3" xfId="2055" xr:uid="{00000000-0005-0000-0000-00000E080000}"/>
    <cellStyle name="Standard 6 2 2 2 6 6 3 2" xfId="14016" xr:uid="{753503B6-E8B5-40A0-BFCB-A624CF5BB41F}"/>
    <cellStyle name="Standard 6 2 2 2 6 6 4" xfId="14013" xr:uid="{D5E35438-8C83-4330-96B9-921361F216C4}"/>
    <cellStyle name="Standard 6 2 2 2 6 7" xfId="2056" xr:uid="{00000000-0005-0000-0000-00000F080000}"/>
    <cellStyle name="Standard 6 2 2 2 6 7 2" xfId="2057" xr:uid="{00000000-0005-0000-0000-000010080000}"/>
    <cellStyle name="Standard 6 2 2 2 6 7 2 2" xfId="2058" xr:uid="{00000000-0005-0000-0000-000011080000}"/>
    <cellStyle name="Standard 6 2 2 2 6 7 2 2 2" xfId="14019" xr:uid="{2B8349BA-2BF6-4931-B54B-46E190F0C30F}"/>
    <cellStyle name="Standard 6 2 2 2 6 7 2 3" xfId="14018" xr:uid="{010064D8-2D23-441E-BC71-AC4523361C62}"/>
    <cellStyle name="Standard 6 2 2 2 6 7 3" xfId="2059" xr:uid="{00000000-0005-0000-0000-000012080000}"/>
    <cellStyle name="Standard 6 2 2 2 6 7 3 2" xfId="14020" xr:uid="{6C64EBC7-40CD-4B58-900B-1706A8ACB625}"/>
    <cellStyle name="Standard 6 2 2 2 6 7 4" xfId="14017" xr:uid="{4D7D9174-6F82-4D21-BC75-A9878A7EC450}"/>
    <cellStyle name="Standard 6 2 2 2 6 8" xfId="2060" xr:uid="{00000000-0005-0000-0000-000013080000}"/>
    <cellStyle name="Standard 6 2 2 2 6 8 2" xfId="2061" xr:uid="{00000000-0005-0000-0000-000014080000}"/>
    <cellStyle name="Standard 6 2 2 2 6 8 2 2" xfId="2062" xr:uid="{00000000-0005-0000-0000-000015080000}"/>
    <cellStyle name="Standard 6 2 2 2 6 8 2 2 2" xfId="14023" xr:uid="{83B57A82-793E-4D6E-87B7-1F95F947374B}"/>
    <cellStyle name="Standard 6 2 2 2 6 8 2 3" xfId="14022" xr:uid="{3BDA9EC3-AAF9-4A4F-A074-9B7380407A59}"/>
    <cellStyle name="Standard 6 2 2 2 6 8 3" xfId="2063" xr:uid="{00000000-0005-0000-0000-000016080000}"/>
    <cellStyle name="Standard 6 2 2 2 6 8 3 2" xfId="14024" xr:uid="{7756DF56-7D9C-4B0E-BC92-021A981B9720}"/>
    <cellStyle name="Standard 6 2 2 2 6 8 4" xfId="14021" xr:uid="{BAD87111-D8E3-4DD8-BA85-8A5CB47DC425}"/>
    <cellStyle name="Standard 6 2 2 2 6 9" xfId="2064" xr:uid="{00000000-0005-0000-0000-000017080000}"/>
    <cellStyle name="Standard 6 2 2 2 6 9 2" xfId="2065" xr:uid="{00000000-0005-0000-0000-000018080000}"/>
    <cellStyle name="Standard 6 2 2 2 6 9 2 2" xfId="14026" xr:uid="{FF946688-03DB-4573-9F16-08C4F1C8C7D4}"/>
    <cellStyle name="Standard 6 2 2 2 6 9 3" xfId="14025" xr:uid="{46A5760B-DA31-476F-8305-EDEDF2FB4F15}"/>
    <cellStyle name="Standard 6 2 2 2 7" xfId="2066" xr:uid="{00000000-0005-0000-0000-000019080000}"/>
    <cellStyle name="Standard 6 2 2 2 7 10" xfId="2067" xr:uid="{00000000-0005-0000-0000-00001A080000}"/>
    <cellStyle name="Standard 6 2 2 2 7 10 2" xfId="14028" xr:uid="{8371F38E-DA62-4B69-A8D2-257411DFDE11}"/>
    <cellStyle name="Standard 6 2 2 2 7 11" xfId="14027" xr:uid="{AB8F488C-D4D2-4E2C-9FC0-3927356C08EF}"/>
    <cellStyle name="Standard 6 2 2 2 7 2" xfId="2068" xr:uid="{00000000-0005-0000-0000-00001B080000}"/>
    <cellStyle name="Standard 6 2 2 2 7 2 10" xfId="14029" xr:uid="{88F33959-47C2-4885-8CB7-A76DA2E98EDF}"/>
    <cellStyle name="Standard 6 2 2 2 7 2 2" xfId="2069" xr:uid="{00000000-0005-0000-0000-00001C080000}"/>
    <cellStyle name="Standard 6 2 2 2 7 2 2 2" xfId="2070" xr:uid="{00000000-0005-0000-0000-00001D080000}"/>
    <cellStyle name="Standard 6 2 2 2 7 2 2 2 2" xfId="2071" xr:uid="{00000000-0005-0000-0000-00001E080000}"/>
    <cellStyle name="Standard 6 2 2 2 7 2 2 2 2 2" xfId="14032" xr:uid="{C3981A65-151C-4B15-A596-9D48C861FF40}"/>
    <cellStyle name="Standard 6 2 2 2 7 2 2 2 3" xfId="14031" xr:uid="{0C1F8459-4F24-430C-B820-81519064AA29}"/>
    <cellStyle name="Standard 6 2 2 2 7 2 2 3" xfId="2072" xr:uid="{00000000-0005-0000-0000-00001F080000}"/>
    <cellStyle name="Standard 6 2 2 2 7 2 2 3 2" xfId="14033" xr:uid="{F56871EC-C1A8-46A3-BEAD-C17915233E3A}"/>
    <cellStyle name="Standard 6 2 2 2 7 2 2 4" xfId="14030" xr:uid="{B3617B61-B9AE-46D0-96BC-ED42091859EB}"/>
    <cellStyle name="Standard 6 2 2 2 7 2 3" xfId="2073" xr:uid="{00000000-0005-0000-0000-000020080000}"/>
    <cellStyle name="Standard 6 2 2 2 7 2 3 2" xfId="2074" xr:uid="{00000000-0005-0000-0000-000021080000}"/>
    <cellStyle name="Standard 6 2 2 2 7 2 3 2 2" xfId="2075" xr:uid="{00000000-0005-0000-0000-000022080000}"/>
    <cellStyle name="Standard 6 2 2 2 7 2 3 2 2 2" xfId="14036" xr:uid="{11B0210D-57ED-4A72-8678-B7B267920268}"/>
    <cellStyle name="Standard 6 2 2 2 7 2 3 2 3" xfId="14035" xr:uid="{5AC99B51-82FD-4DEE-9DF7-B6C8A7A018A9}"/>
    <cellStyle name="Standard 6 2 2 2 7 2 3 3" xfId="2076" xr:uid="{00000000-0005-0000-0000-000023080000}"/>
    <cellStyle name="Standard 6 2 2 2 7 2 3 3 2" xfId="14037" xr:uid="{D086D4F2-9666-4B2A-8FFE-C6CC51E44B74}"/>
    <cellStyle name="Standard 6 2 2 2 7 2 3 4" xfId="14034" xr:uid="{E255A3E0-D7CE-48C6-93C1-CEBC27E08E89}"/>
    <cellStyle name="Standard 6 2 2 2 7 2 4" xfId="2077" xr:uid="{00000000-0005-0000-0000-000024080000}"/>
    <cellStyle name="Standard 6 2 2 2 7 2 4 2" xfId="2078" xr:uid="{00000000-0005-0000-0000-000025080000}"/>
    <cellStyle name="Standard 6 2 2 2 7 2 4 2 2" xfId="2079" xr:uid="{00000000-0005-0000-0000-000026080000}"/>
    <cellStyle name="Standard 6 2 2 2 7 2 4 2 2 2" xfId="14040" xr:uid="{7EA10ADA-92C7-498D-8352-B1A53385D8E3}"/>
    <cellStyle name="Standard 6 2 2 2 7 2 4 2 3" xfId="14039" xr:uid="{227F9D47-CEC4-4869-AC7F-7DDB5D020470}"/>
    <cellStyle name="Standard 6 2 2 2 7 2 4 3" xfId="2080" xr:uid="{00000000-0005-0000-0000-000027080000}"/>
    <cellStyle name="Standard 6 2 2 2 7 2 4 3 2" xfId="14041" xr:uid="{EEAE47A5-9521-4BE9-A478-76F9822E3B66}"/>
    <cellStyle name="Standard 6 2 2 2 7 2 4 4" xfId="14038" xr:uid="{AAFCD5A4-5DB7-4409-AF55-CAE29C310B5B}"/>
    <cellStyle name="Standard 6 2 2 2 7 2 5" xfId="2081" xr:uid="{00000000-0005-0000-0000-000028080000}"/>
    <cellStyle name="Standard 6 2 2 2 7 2 5 2" xfId="2082" xr:uid="{00000000-0005-0000-0000-000029080000}"/>
    <cellStyle name="Standard 6 2 2 2 7 2 5 2 2" xfId="2083" xr:uid="{00000000-0005-0000-0000-00002A080000}"/>
    <cellStyle name="Standard 6 2 2 2 7 2 5 2 2 2" xfId="14044" xr:uid="{5145108C-DE7F-4BC3-882D-D1E81BF69FC8}"/>
    <cellStyle name="Standard 6 2 2 2 7 2 5 2 3" xfId="14043" xr:uid="{DF0660C5-351C-4DD2-8250-41319F95D0DE}"/>
    <cellStyle name="Standard 6 2 2 2 7 2 5 3" xfId="2084" xr:uid="{00000000-0005-0000-0000-00002B080000}"/>
    <cellStyle name="Standard 6 2 2 2 7 2 5 3 2" xfId="14045" xr:uid="{98452B90-6F04-4826-BB4D-4841F99FFE0B}"/>
    <cellStyle name="Standard 6 2 2 2 7 2 5 4" xfId="14042" xr:uid="{1A9A61ED-21D6-44E8-82CC-71D0B060BE05}"/>
    <cellStyle name="Standard 6 2 2 2 7 2 6" xfId="2085" xr:uid="{00000000-0005-0000-0000-00002C080000}"/>
    <cellStyle name="Standard 6 2 2 2 7 2 6 2" xfId="2086" xr:uid="{00000000-0005-0000-0000-00002D080000}"/>
    <cellStyle name="Standard 6 2 2 2 7 2 6 2 2" xfId="2087" xr:uid="{00000000-0005-0000-0000-00002E080000}"/>
    <cellStyle name="Standard 6 2 2 2 7 2 6 2 2 2" xfId="14048" xr:uid="{9E57A09A-8482-43A1-8E01-1801D25A1EFA}"/>
    <cellStyle name="Standard 6 2 2 2 7 2 6 2 3" xfId="14047" xr:uid="{F5D1EBD8-DA13-4326-AAFF-79000C63D8C4}"/>
    <cellStyle name="Standard 6 2 2 2 7 2 6 3" xfId="2088" xr:uid="{00000000-0005-0000-0000-00002F080000}"/>
    <cellStyle name="Standard 6 2 2 2 7 2 6 3 2" xfId="14049" xr:uid="{ED91AFAB-A725-4ABC-B428-EA9EEF9D0FA1}"/>
    <cellStyle name="Standard 6 2 2 2 7 2 6 4" xfId="14046" xr:uid="{B4448ABA-065B-4FEC-9BE7-AEACFA43A55B}"/>
    <cellStyle name="Standard 6 2 2 2 7 2 7" xfId="2089" xr:uid="{00000000-0005-0000-0000-000030080000}"/>
    <cellStyle name="Standard 6 2 2 2 7 2 7 2" xfId="2090" xr:uid="{00000000-0005-0000-0000-000031080000}"/>
    <cellStyle name="Standard 6 2 2 2 7 2 7 2 2" xfId="2091" xr:uid="{00000000-0005-0000-0000-000032080000}"/>
    <cellStyle name="Standard 6 2 2 2 7 2 7 2 2 2" xfId="14052" xr:uid="{A3BF991D-0B69-4C58-96AB-3C8FAA743242}"/>
    <cellStyle name="Standard 6 2 2 2 7 2 7 2 3" xfId="14051" xr:uid="{58184077-8E85-4275-9AFA-55BB8462A354}"/>
    <cellStyle name="Standard 6 2 2 2 7 2 7 3" xfId="2092" xr:uid="{00000000-0005-0000-0000-000033080000}"/>
    <cellStyle name="Standard 6 2 2 2 7 2 7 3 2" xfId="14053" xr:uid="{14483EAD-7DB5-4BCB-942B-046E9F189B35}"/>
    <cellStyle name="Standard 6 2 2 2 7 2 7 4" xfId="14050" xr:uid="{B775A39F-2438-487D-B970-A16E35C55C4A}"/>
    <cellStyle name="Standard 6 2 2 2 7 2 8" xfId="2093" xr:uid="{00000000-0005-0000-0000-000034080000}"/>
    <cellStyle name="Standard 6 2 2 2 7 2 8 2" xfId="2094" xr:uid="{00000000-0005-0000-0000-000035080000}"/>
    <cellStyle name="Standard 6 2 2 2 7 2 8 2 2" xfId="14055" xr:uid="{80FD0560-8878-4FCC-9A56-8A1E817ACC46}"/>
    <cellStyle name="Standard 6 2 2 2 7 2 8 3" xfId="14054" xr:uid="{CB74321C-0574-460C-8642-A258664E4E75}"/>
    <cellStyle name="Standard 6 2 2 2 7 2 9" xfId="2095" xr:uid="{00000000-0005-0000-0000-000036080000}"/>
    <cellStyle name="Standard 6 2 2 2 7 2 9 2" xfId="14056" xr:uid="{F0CED54F-F08E-426B-B499-2539B201B135}"/>
    <cellStyle name="Standard 6 2 2 2 7 3" xfId="2096" xr:uid="{00000000-0005-0000-0000-000037080000}"/>
    <cellStyle name="Standard 6 2 2 2 7 3 2" xfId="2097" xr:uid="{00000000-0005-0000-0000-000038080000}"/>
    <cellStyle name="Standard 6 2 2 2 7 3 2 2" xfId="2098" xr:uid="{00000000-0005-0000-0000-000039080000}"/>
    <cellStyle name="Standard 6 2 2 2 7 3 2 2 2" xfId="14059" xr:uid="{42EFD06B-7C2C-4D0F-A126-AAA83C5D1A25}"/>
    <cellStyle name="Standard 6 2 2 2 7 3 2 3" xfId="14058" xr:uid="{81E32AD6-BA7A-47D7-9DA6-7FF60E5AFFF9}"/>
    <cellStyle name="Standard 6 2 2 2 7 3 3" xfId="2099" xr:uid="{00000000-0005-0000-0000-00003A080000}"/>
    <cellStyle name="Standard 6 2 2 2 7 3 3 2" xfId="14060" xr:uid="{B658DD2A-6359-4E78-8B4F-C6392FF6ABD1}"/>
    <cellStyle name="Standard 6 2 2 2 7 3 4" xfId="14057" xr:uid="{01AA83E4-2937-4DA3-9782-21D07509C690}"/>
    <cellStyle name="Standard 6 2 2 2 7 4" xfId="2100" xr:uid="{00000000-0005-0000-0000-00003B080000}"/>
    <cellStyle name="Standard 6 2 2 2 7 4 2" xfId="2101" xr:uid="{00000000-0005-0000-0000-00003C080000}"/>
    <cellStyle name="Standard 6 2 2 2 7 4 2 2" xfId="2102" xr:uid="{00000000-0005-0000-0000-00003D080000}"/>
    <cellStyle name="Standard 6 2 2 2 7 4 2 2 2" xfId="14063" xr:uid="{77D43AE4-1E77-4F5C-9539-4E6E6BEEBEF0}"/>
    <cellStyle name="Standard 6 2 2 2 7 4 2 3" xfId="14062" xr:uid="{0DCC16A0-21D9-4535-A7BB-B4F425803DBC}"/>
    <cellStyle name="Standard 6 2 2 2 7 4 3" xfId="2103" xr:uid="{00000000-0005-0000-0000-00003E080000}"/>
    <cellStyle name="Standard 6 2 2 2 7 4 3 2" xfId="14064" xr:uid="{D6AFAD7D-72E8-48BA-B376-06C18C35B2EC}"/>
    <cellStyle name="Standard 6 2 2 2 7 4 4" xfId="14061" xr:uid="{24F7CF67-2653-453A-99CD-18D813458D5E}"/>
    <cellStyle name="Standard 6 2 2 2 7 5" xfId="2104" xr:uid="{00000000-0005-0000-0000-00003F080000}"/>
    <cellStyle name="Standard 6 2 2 2 7 5 2" xfId="2105" xr:uid="{00000000-0005-0000-0000-000040080000}"/>
    <cellStyle name="Standard 6 2 2 2 7 5 2 2" xfId="2106" xr:uid="{00000000-0005-0000-0000-000041080000}"/>
    <cellStyle name="Standard 6 2 2 2 7 5 2 2 2" xfId="14067" xr:uid="{C7486F88-0754-498D-8E48-8E96D6516747}"/>
    <cellStyle name="Standard 6 2 2 2 7 5 2 3" xfId="14066" xr:uid="{BCCDE32E-196B-42AA-934F-EECB0758F7B0}"/>
    <cellStyle name="Standard 6 2 2 2 7 5 3" xfId="2107" xr:uid="{00000000-0005-0000-0000-000042080000}"/>
    <cellStyle name="Standard 6 2 2 2 7 5 3 2" xfId="14068" xr:uid="{8D7DC8CF-6B2C-4553-95FE-260EEC00191C}"/>
    <cellStyle name="Standard 6 2 2 2 7 5 4" xfId="14065" xr:uid="{57E15CF6-3F78-47E9-A700-ECE9E9DFDBFD}"/>
    <cellStyle name="Standard 6 2 2 2 7 6" xfId="2108" xr:uid="{00000000-0005-0000-0000-000043080000}"/>
    <cellStyle name="Standard 6 2 2 2 7 6 2" xfId="2109" xr:uid="{00000000-0005-0000-0000-000044080000}"/>
    <cellStyle name="Standard 6 2 2 2 7 6 2 2" xfId="2110" xr:uid="{00000000-0005-0000-0000-000045080000}"/>
    <cellStyle name="Standard 6 2 2 2 7 6 2 2 2" xfId="14071" xr:uid="{1BC43BE2-ED08-4F60-9421-4D2D539473D3}"/>
    <cellStyle name="Standard 6 2 2 2 7 6 2 3" xfId="14070" xr:uid="{D6B6B4E2-54AD-4A8A-A44B-FBF54AA81CBD}"/>
    <cellStyle name="Standard 6 2 2 2 7 6 3" xfId="2111" xr:uid="{00000000-0005-0000-0000-000046080000}"/>
    <cellStyle name="Standard 6 2 2 2 7 6 3 2" xfId="14072" xr:uid="{49B000F9-BA82-4E26-9888-221B317BC250}"/>
    <cellStyle name="Standard 6 2 2 2 7 6 4" xfId="14069" xr:uid="{A60FC190-A707-4F92-9E84-D395B25CC890}"/>
    <cellStyle name="Standard 6 2 2 2 7 7" xfId="2112" xr:uid="{00000000-0005-0000-0000-000047080000}"/>
    <cellStyle name="Standard 6 2 2 2 7 7 2" xfId="2113" xr:uid="{00000000-0005-0000-0000-000048080000}"/>
    <cellStyle name="Standard 6 2 2 2 7 7 2 2" xfId="2114" xr:uid="{00000000-0005-0000-0000-000049080000}"/>
    <cellStyle name="Standard 6 2 2 2 7 7 2 2 2" xfId="14075" xr:uid="{701AFE1C-314C-49A7-8DD1-CA3870DC9D95}"/>
    <cellStyle name="Standard 6 2 2 2 7 7 2 3" xfId="14074" xr:uid="{60D3B582-E125-481B-AB00-9718C9510AAF}"/>
    <cellStyle name="Standard 6 2 2 2 7 7 3" xfId="2115" xr:uid="{00000000-0005-0000-0000-00004A080000}"/>
    <cellStyle name="Standard 6 2 2 2 7 7 3 2" xfId="14076" xr:uid="{7662D445-81FB-40A9-ADFD-E30EB9108D90}"/>
    <cellStyle name="Standard 6 2 2 2 7 7 4" xfId="14073" xr:uid="{4B21F5F4-E6E2-4A7A-B88B-27B1657BFC82}"/>
    <cellStyle name="Standard 6 2 2 2 7 8" xfId="2116" xr:uid="{00000000-0005-0000-0000-00004B080000}"/>
    <cellStyle name="Standard 6 2 2 2 7 8 2" xfId="2117" xr:uid="{00000000-0005-0000-0000-00004C080000}"/>
    <cellStyle name="Standard 6 2 2 2 7 8 2 2" xfId="2118" xr:uid="{00000000-0005-0000-0000-00004D080000}"/>
    <cellStyle name="Standard 6 2 2 2 7 8 2 2 2" xfId="14079" xr:uid="{FC87323B-B85B-41C0-92DB-BF47922B14F6}"/>
    <cellStyle name="Standard 6 2 2 2 7 8 2 3" xfId="14078" xr:uid="{35271DA0-25C2-4F77-ACB5-7C598D4B4D09}"/>
    <cellStyle name="Standard 6 2 2 2 7 8 3" xfId="2119" xr:uid="{00000000-0005-0000-0000-00004E080000}"/>
    <cellStyle name="Standard 6 2 2 2 7 8 3 2" xfId="14080" xr:uid="{CECBD329-C750-4D6F-96EB-7D65C7B2C2E3}"/>
    <cellStyle name="Standard 6 2 2 2 7 8 4" xfId="14077" xr:uid="{C93253EC-7210-481E-9FB2-E09A6244CFAD}"/>
    <cellStyle name="Standard 6 2 2 2 7 9" xfId="2120" xr:uid="{00000000-0005-0000-0000-00004F080000}"/>
    <cellStyle name="Standard 6 2 2 2 7 9 2" xfId="2121" xr:uid="{00000000-0005-0000-0000-000050080000}"/>
    <cellStyle name="Standard 6 2 2 2 7 9 2 2" xfId="14082" xr:uid="{A232E450-F8BB-4461-B548-16D92E8F9664}"/>
    <cellStyle name="Standard 6 2 2 2 7 9 3" xfId="14081" xr:uid="{41ABE018-DB34-4D69-84E9-AA4B361ED5EE}"/>
    <cellStyle name="Standard 6 2 2 2 8" xfId="2122" xr:uid="{00000000-0005-0000-0000-000051080000}"/>
    <cellStyle name="Standard 6 2 2 2 8 10" xfId="2123" xr:uid="{00000000-0005-0000-0000-000052080000}"/>
    <cellStyle name="Standard 6 2 2 2 8 10 2" xfId="14084" xr:uid="{13ED0BC4-826C-4CB2-8C75-7069DA9AD222}"/>
    <cellStyle name="Standard 6 2 2 2 8 11" xfId="14083" xr:uid="{730A7051-48D6-4558-9B85-6E9A42AF21C4}"/>
    <cellStyle name="Standard 6 2 2 2 8 2" xfId="2124" xr:uid="{00000000-0005-0000-0000-000053080000}"/>
    <cellStyle name="Standard 6 2 2 2 8 2 10" xfId="14085" xr:uid="{28C0A350-76CF-43A1-878C-8FDDF5893D2F}"/>
    <cellStyle name="Standard 6 2 2 2 8 2 2" xfId="2125" xr:uid="{00000000-0005-0000-0000-000054080000}"/>
    <cellStyle name="Standard 6 2 2 2 8 2 2 2" xfId="2126" xr:uid="{00000000-0005-0000-0000-000055080000}"/>
    <cellStyle name="Standard 6 2 2 2 8 2 2 2 2" xfId="2127" xr:uid="{00000000-0005-0000-0000-000056080000}"/>
    <cellStyle name="Standard 6 2 2 2 8 2 2 2 2 2" xfId="14088" xr:uid="{D74162B2-6F04-4EB7-AB5A-4CC62CB8E315}"/>
    <cellStyle name="Standard 6 2 2 2 8 2 2 2 3" xfId="14087" xr:uid="{403E62E0-4B15-4D03-9011-85055191106C}"/>
    <cellStyle name="Standard 6 2 2 2 8 2 2 3" xfId="2128" xr:uid="{00000000-0005-0000-0000-000057080000}"/>
    <cellStyle name="Standard 6 2 2 2 8 2 2 3 2" xfId="14089" xr:uid="{347B21E4-EC28-4ADC-83D9-B9B82B0A93DE}"/>
    <cellStyle name="Standard 6 2 2 2 8 2 2 4" xfId="14086" xr:uid="{1D890F74-A784-465B-BD37-60EF62CE91FB}"/>
    <cellStyle name="Standard 6 2 2 2 8 2 3" xfId="2129" xr:uid="{00000000-0005-0000-0000-000058080000}"/>
    <cellStyle name="Standard 6 2 2 2 8 2 3 2" xfId="2130" xr:uid="{00000000-0005-0000-0000-000059080000}"/>
    <cellStyle name="Standard 6 2 2 2 8 2 3 2 2" xfId="2131" xr:uid="{00000000-0005-0000-0000-00005A080000}"/>
    <cellStyle name="Standard 6 2 2 2 8 2 3 2 2 2" xfId="14092" xr:uid="{828ED9EB-A7DD-4B73-AB5B-046184047AC1}"/>
    <cellStyle name="Standard 6 2 2 2 8 2 3 2 3" xfId="14091" xr:uid="{677B94E5-1361-408E-9390-A4FB9F41DC73}"/>
    <cellStyle name="Standard 6 2 2 2 8 2 3 3" xfId="2132" xr:uid="{00000000-0005-0000-0000-00005B080000}"/>
    <cellStyle name="Standard 6 2 2 2 8 2 3 3 2" xfId="14093" xr:uid="{2A7C8EF3-759F-415F-996A-9629CAD86E3E}"/>
    <cellStyle name="Standard 6 2 2 2 8 2 3 4" xfId="14090" xr:uid="{B236F9A1-1AAA-4902-AC29-58F9F80925A6}"/>
    <cellStyle name="Standard 6 2 2 2 8 2 4" xfId="2133" xr:uid="{00000000-0005-0000-0000-00005C080000}"/>
    <cellStyle name="Standard 6 2 2 2 8 2 4 2" xfId="2134" xr:uid="{00000000-0005-0000-0000-00005D080000}"/>
    <cellStyle name="Standard 6 2 2 2 8 2 4 2 2" xfId="2135" xr:uid="{00000000-0005-0000-0000-00005E080000}"/>
    <cellStyle name="Standard 6 2 2 2 8 2 4 2 2 2" xfId="14096" xr:uid="{32D1DC57-8B10-4710-BA4D-9D89615E1C30}"/>
    <cellStyle name="Standard 6 2 2 2 8 2 4 2 3" xfId="14095" xr:uid="{2A3AA046-986A-4FA9-8A63-E7811ED948DB}"/>
    <cellStyle name="Standard 6 2 2 2 8 2 4 3" xfId="2136" xr:uid="{00000000-0005-0000-0000-00005F080000}"/>
    <cellStyle name="Standard 6 2 2 2 8 2 4 3 2" xfId="14097" xr:uid="{82FA5B34-BDC6-42AC-AC36-6306615C0779}"/>
    <cellStyle name="Standard 6 2 2 2 8 2 4 4" xfId="14094" xr:uid="{82649BBF-50CA-476E-B417-9C0C279544C8}"/>
    <cellStyle name="Standard 6 2 2 2 8 2 5" xfId="2137" xr:uid="{00000000-0005-0000-0000-000060080000}"/>
    <cellStyle name="Standard 6 2 2 2 8 2 5 2" xfId="2138" xr:uid="{00000000-0005-0000-0000-000061080000}"/>
    <cellStyle name="Standard 6 2 2 2 8 2 5 2 2" xfId="2139" xr:uid="{00000000-0005-0000-0000-000062080000}"/>
    <cellStyle name="Standard 6 2 2 2 8 2 5 2 2 2" xfId="14100" xr:uid="{B28B4DE7-8559-46FB-BC55-137F8FF553E3}"/>
    <cellStyle name="Standard 6 2 2 2 8 2 5 2 3" xfId="14099" xr:uid="{F06470D2-4EF8-409E-B5F9-2A0495E7A179}"/>
    <cellStyle name="Standard 6 2 2 2 8 2 5 3" xfId="2140" xr:uid="{00000000-0005-0000-0000-000063080000}"/>
    <cellStyle name="Standard 6 2 2 2 8 2 5 3 2" xfId="14101" xr:uid="{E3F06808-8C13-4221-8C7E-692458BFEB0D}"/>
    <cellStyle name="Standard 6 2 2 2 8 2 5 4" xfId="14098" xr:uid="{3018E3C5-DF95-47DB-BF87-79C276EEF380}"/>
    <cellStyle name="Standard 6 2 2 2 8 2 6" xfId="2141" xr:uid="{00000000-0005-0000-0000-000064080000}"/>
    <cellStyle name="Standard 6 2 2 2 8 2 6 2" xfId="2142" xr:uid="{00000000-0005-0000-0000-000065080000}"/>
    <cellStyle name="Standard 6 2 2 2 8 2 6 2 2" xfId="2143" xr:uid="{00000000-0005-0000-0000-000066080000}"/>
    <cellStyle name="Standard 6 2 2 2 8 2 6 2 2 2" xfId="14104" xr:uid="{E41F9D2A-4447-43CB-B176-1EA60F0643DF}"/>
    <cellStyle name="Standard 6 2 2 2 8 2 6 2 3" xfId="14103" xr:uid="{EB03C70F-EEA0-4CFB-A56E-46CCC7E7A19E}"/>
    <cellStyle name="Standard 6 2 2 2 8 2 6 3" xfId="2144" xr:uid="{00000000-0005-0000-0000-000067080000}"/>
    <cellStyle name="Standard 6 2 2 2 8 2 6 3 2" xfId="14105" xr:uid="{F61ED3A0-8BED-496D-B968-E416C4035E53}"/>
    <cellStyle name="Standard 6 2 2 2 8 2 6 4" xfId="14102" xr:uid="{3769F7F0-C880-4DB8-86ED-886A8A38D7BD}"/>
    <cellStyle name="Standard 6 2 2 2 8 2 7" xfId="2145" xr:uid="{00000000-0005-0000-0000-000068080000}"/>
    <cellStyle name="Standard 6 2 2 2 8 2 7 2" xfId="2146" xr:uid="{00000000-0005-0000-0000-000069080000}"/>
    <cellStyle name="Standard 6 2 2 2 8 2 7 2 2" xfId="2147" xr:uid="{00000000-0005-0000-0000-00006A080000}"/>
    <cellStyle name="Standard 6 2 2 2 8 2 7 2 2 2" xfId="14108" xr:uid="{DF2F31FA-EE9A-487A-98E6-60FCAA9BB5B2}"/>
    <cellStyle name="Standard 6 2 2 2 8 2 7 2 3" xfId="14107" xr:uid="{28FF5A0D-A0FA-45C9-A48F-60276A9B5A02}"/>
    <cellStyle name="Standard 6 2 2 2 8 2 7 3" xfId="2148" xr:uid="{00000000-0005-0000-0000-00006B080000}"/>
    <cellStyle name="Standard 6 2 2 2 8 2 7 3 2" xfId="14109" xr:uid="{99651527-240B-4E4F-A8A3-BF71C18783DA}"/>
    <cellStyle name="Standard 6 2 2 2 8 2 7 4" xfId="14106" xr:uid="{B206C931-CEE5-45E2-97D8-94ADBC774C1C}"/>
    <cellStyle name="Standard 6 2 2 2 8 2 8" xfId="2149" xr:uid="{00000000-0005-0000-0000-00006C080000}"/>
    <cellStyle name="Standard 6 2 2 2 8 2 8 2" xfId="2150" xr:uid="{00000000-0005-0000-0000-00006D080000}"/>
    <cellStyle name="Standard 6 2 2 2 8 2 8 2 2" xfId="14111" xr:uid="{C07D9422-656B-4133-853E-343BF236CD59}"/>
    <cellStyle name="Standard 6 2 2 2 8 2 8 3" xfId="14110" xr:uid="{0E51F606-B343-4933-9242-360A45960134}"/>
    <cellStyle name="Standard 6 2 2 2 8 2 9" xfId="2151" xr:uid="{00000000-0005-0000-0000-00006E080000}"/>
    <cellStyle name="Standard 6 2 2 2 8 2 9 2" xfId="14112" xr:uid="{25946D1F-5BB0-43B3-AFD3-B0FC24F91531}"/>
    <cellStyle name="Standard 6 2 2 2 8 3" xfId="2152" xr:uid="{00000000-0005-0000-0000-00006F080000}"/>
    <cellStyle name="Standard 6 2 2 2 8 3 2" xfId="2153" xr:uid="{00000000-0005-0000-0000-000070080000}"/>
    <cellStyle name="Standard 6 2 2 2 8 3 2 2" xfId="2154" xr:uid="{00000000-0005-0000-0000-000071080000}"/>
    <cellStyle name="Standard 6 2 2 2 8 3 2 2 2" xfId="14115" xr:uid="{AC6FD54B-91CB-4D58-B8B6-24182366AF60}"/>
    <cellStyle name="Standard 6 2 2 2 8 3 2 3" xfId="14114" xr:uid="{C803E705-1987-4CDE-BF85-5661294E5E65}"/>
    <cellStyle name="Standard 6 2 2 2 8 3 3" xfId="2155" xr:uid="{00000000-0005-0000-0000-000072080000}"/>
    <cellStyle name="Standard 6 2 2 2 8 3 3 2" xfId="14116" xr:uid="{03057468-1ED6-4B9D-82C9-7B94E21202EF}"/>
    <cellStyle name="Standard 6 2 2 2 8 3 4" xfId="14113" xr:uid="{7D471496-DA50-417B-891B-D9A92F48DE20}"/>
    <cellStyle name="Standard 6 2 2 2 8 4" xfId="2156" xr:uid="{00000000-0005-0000-0000-000073080000}"/>
    <cellStyle name="Standard 6 2 2 2 8 4 2" xfId="2157" xr:uid="{00000000-0005-0000-0000-000074080000}"/>
    <cellStyle name="Standard 6 2 2 2 8 4 2 2" xfId="2158" xr:uid="{00000000-0005-0000-0000-000075080000}"/>
    <cellStyle name="Standard 6 2 2 2 8 4 2 2 2" xfId="14119" xr:uid="{C1287258-5F66-4086-95F9-AFC51D899D68}"/>
    <cellStyle name="Standard 6 2 2 2 8 4 2 3" xfId="14118" xr:uid="{5954F9B2-1019-4215-9EBF-3C5CAE9CD223}"/>
    <cellStyle name="Standard 6 2 2 2 8 4 3" xfId="2159" xr:uid="{00000000-0005-0000-0000-000076080000}"/>
    <cellStyle name="Standard 6 2 2 2 8 4 3 2" xfId="14120" xr:uid="{323E20D5-7F77-4EA6-8A55-EA252E50252D}"/>
    <cellStyle name="Standard 6 2 2 2 8 4 4" xfId="14117" xr:uid="{40B2A46A-8B36-47F4-8EAB-C97E573BA8FD}"/>
    <cellStyle name="Standard 6 2 2 2 8 5" xfId="2160" xr:uid="{00000000-0005-0000-0000-000077080000}"/>
    <cellStyle name="Standard 6 2 2 2 8 5 2" xfId="2161" xr:uid="{00000000-0005-0000-0000-000078080000}"/>
    <cellStyle name="Standard 6 2 2 2 8 5 2 2" xfId="2162" xr:uid="{00000000-0005-0000-0000-000079080000}"/>
    <cellStyle name="Standard 6 2 2 2 8 5 2 2 2" xfId="14123" xr:uid="{48F0FB9C-C000-43DC-B64D-9D8057EE403A}"/>
    <cellStyle name="Standard 6 2 2 2 8 5 2 3" xfId="14122" xr:uid="{305DF0E8-D434-4F51-B84C-A308948D16D2}"/>
    <cellStyle name="Standard 6 2 2 2 8 5 3" xfId="2163" xr:uid="{00000000-0005-0000-0000-00007A080000}"/>
    <cellStyle name="Standard 6 2 2 2 8 5 3 2" xfId="14124" xr:uid="{4C6D8637-72AB-48DC-BE46-E42CF0DEB78D}"/>
    <cellStyle name="Standard 6 2 2 2 8 5 4" xfId="14121" xr:uid="{E563DD8D-D933-4FD2-81DD-26F61AB9835B}"/>
    <cellStyle name="Standard 6 2 2 2 8 6" xfId="2164" xr:uid="{00000000-0005-0000-0000-00007B080000}"/>
    <cellStyle name="Standard 6 2 2 2 8 6 2" xfId="2165" xr:uid="{00000000-0005-0000-0000-00007C080000}"/>
    <cellStyle name="Standard 6 2 2 2 8 6 2 2" xfId="2166" xr:uid="{00000000-0005-0000-0000-00007D080000}"/>
    <cellStyle name="Standard 6 2 2 2 8 6 2 2 2" xfId="14127" xr:uid="{F6FD525B-4998-408E-B410-6265697C2532}"/>
    <cellStyle name="Standard 6 2 2 2 8 6 2 3" xfId="14126" xr:uid="{6E11D921-D286-46E5-8D37-2C3172566625}"/>
    <cellStyle name="Standard 6 2 2 2 8 6 3" xfId="2167" xr:uid="{00000000-0005-0000-0000-00007E080000}"/>
    <cellStyle name="Standard 6 2 2 2 8 6 3 2" xfId="14128" xr:uid="{61D13B64-6532-4778-9CA3-5FAD8A9D5043}"/>
    <cellStyle name="Standard 6 2 2 2 8 6 4" xfId="14125" xr:uid="{CEA4D1E5-1387-46B1-AB4D-F8E94DC2BC6D}"/>
    <cellStyle name="Standard 6 2 2 2 8 7" xfId="2168" xr:uid="{00000000-0005-0000-0000-00007F080000}"/>
    <cellStyle name="Standard 6 2 2 2 8 7 2" xfId="2169" xr:uid="{00000000-0005-0000-0000-000080080000}"/>
    <cellStyle name="Standard 6 2 2 2 8 7 2 2" xfId="2170" xr:uid="{00000000-0005-0000-0000-000081080000}"/>
    <cellStyle name="Standard 6 2 2 2 8 7 2 2 2" xfId="14131" xr:uid="{247220BB-67EC-4739-B793-0E081298D8A2}"/>
    <cellStyle name="Standard 6 2 2 2 8 7 2 3" xfId="14130" xr:uid="{BCF483F3-28A1-48CA-95D6-AC9776150248}"/>
    <cellStyle name="Standard 6 2 2 2 8 7 3" xfId="2171" xr:uid="{00000000-0005-0000-0000-000082080000}"/>
    <cellStyle name="Standard 6 2 2 2 8 7 3 2" xfId="14132" xr:uid="{701AA223-8E53-46AB-92E4-6B4C6D34A4AB}"/>
    <cellStyle name="Standard 6 2 2 2 8 7 4" xfId="14129" xr:uid="{7D1871C4-789B-415A-8741-1FB30E7654F9}"/>
    <cellStyle name="Standard 6 2 2 2 8 8" xfId="2172" xr:uid="{00000000-0005-0000-0000-000083080000}"/>
    <cellStyle name="Standard 6 2 2 2 8 8 2" xfId="2173" xr:uid="{00000000-0005-0000-0000-000084080000}"/>
    <cellStyle name="Standard 6 2 2 2 8 8 2 2" xfId="2174" xr:uid="{00000000-0005-0000-0000-000085080000}"/>
    <cellStyle name="Standard 6 2 2 2 8 8 2 2 2" xfId="14135" xr:uid="{9E139F56-26E5-4856-9B33-4B969873F374}"/>
    <cellStyle name="Standard 6 2 2 2 8 8 2 3" xfId="14134" xr:uid="{FD013788-5362-47F5-AB0A-E2F7E11EB710}"/>
    <cellStyle name="Standard 6 2 2 2 8 8 3" xfId="2175" xr:uid="{00000000-0005-0000-0000-000086080000}"/>
    <cellStyle name="Standard 6 2 2 2 8 8 3 2" xfId="14136" xr:uid="{184C391C-AE7F-4045-9787-906A58FFA8FC}"/>
    <cellStyle name="Standard 6 2 2 2 8 8 4" xfId="14133" xr:uid="{CFD25D62-B202-4525-9E68-67CC458954FB}"/>
    <cellStyle name="Standard 6 2 2 2 8 9" xfId="2176" xr:uid="{00000000-0005-0000-0000-000087080000}"/>
    <cellStyle name="Standard 6 2 2 2 8 9 2" xfId="2177" xr:uid="{00000000-0005-0000-0000-000088080000}"/>
    <cellStyle name="Standard 6 2 2 2 8 9 2 2" xfId="14138" xr:uid="{F4B3CDC5-E6B5-473C-A065-6513E919132C}"/>
    <cellStyle name="Standard 6 2 2 2 8 9 3" xfId="14137" xr:uid="{D2693482-33A8-49CF-A183-15BC9441D2B2}"/>
    <cellStyle name="Standard 6 2 2 2 9" xfId="2178" xr:uid="{00000000-0005-0000-0000-000089080000}"/>
    <cellStyle name="Standard 6 2 2 2 9 10" xfId="2179" xr:uid="{00000000-0005-0000-0000-00008A080000}"/>
    <cellStyle name="Standard 6 2 2 2 9 10 2" xfId="14140" xr:uid="{627804A3-9771-45D9-8218-87A5F738481E}"/>
    <cellStyle name="Standard 6 2 2 2 9 11" xfId="14139" xr:uid="{5C3F3F18-34DA-4F3F-8B09-C1481F894E9A}"/>
    <cellStyle name="Standard 6 2 2 2 9 2" xfId="2180" xr:uid="{00000000-0005-0000-0000-00008B080000}"/>
    <cellStyle name="Standard 6 2 2 2 9 2 10" xfId="14141" xr:uid="{0F26D4EF-9A81-49CB-ACDC-E9794654F0DE}"/>
    <cellStyle name="Standard 6 2 2 2 9 2 2" xfId="2181" xr:uid="{00000000-0005-0000-0000-00008C080000}"/>
    <cellStyle name="Standard 6 2 2 2 9 2 2 2" xfId="2182" xr:uid="{00000000-0005-0000-0000-00008D080000}"/>
    <cellStyle name="Standard 6 2 2 2 9 2 2 2 2" xfId="2183" xr:uid="{00000000-0005-0000-0000-00008E080000}"/>
    <cellStyle name="Standard 6 2 2 2 9 2 2 2 2 2" xfId="14144" xr:uid="{664736DA-0693-4C71-AFEA-9796A04BDFDA}"/>
    <cellStyle name="Standard 6 2 2 2 9 2 2 2 3" xfId="14143" xr:uid="{6FFE4265-3194-42AB-9AAE-A4C08CE51784}"/>
    <cellStyle name="Standard 6 2 2 2 9 2 2 3" xfId="2184" xr:uid="{00000000-0005-0000-0000-00008F080000}"/>
    <cellStyle name="Standard 6 2 2 2 9 2 2 3 2" xfId="14145" xr:uid="{53850C88-1B63-48AD-9A08-A56096D1DDD8}"/>
    <cellStyle name="Standard 6 2 2 2 9 2 2 4" xfId="14142" xr:uid="{1FD57BA7-AC94-4F95-B8D1-0CE86B9AE65F}"/>
    <cellStyle name="Standard 6 2 2 2 9 2 3" xfId="2185" xr:uid="{00000000-0005-0000-0000-000090080000}"/>
    <cellStyle name="Standard 6 2 2 2 9 2 3 2" xfId="2186" xr:uid="{00000000-0005-0000-0000-000091080000}"/>
    <cellStyle name="Standard 6 2 2 2 9 2 3 2 2" xfId="2187" xr:uid="{00000000-0005-0000-0000-000092080000}"/>
    <cellStyle name="Standard 6 2 2 2 9 2 3 2 2 2" xfId="14148" xr:uid="{45A060ED-6DEC-45E5-B302-06F3DD7E78CE}"/>
    <cellStyle name="Standard 6 2 2 2 9 2 3 2 3" xfId="14147" xr:uid="{80A7ADFD-A78A-4C9C-97CA-3E823529A204}"/>
    <cellStyle name="Standard 6 2 2 2 9 2 3 3" xfId="2188" xr:uid="{00000000-0005-0000-0000-000093080000}"/>
    <cellStyle name="Standard 6 2 2 2 9 2 3 3 2" xfId="14149" xr:uid="{04706302-294F-4DD7-8883-3331876057BB}"/>
    <cellStyle name="Standard 6 2 2 2 9 2 3 4" xfId="14146" xr:uid="{416C286C-D45B-4662-9A9F-C758F3AFEB23}"/>
    <cellStyle name="Standard 6 2 2 2 9 2 4" xfId="2189" xr:uid="{00000000-0005-0000-0000-000094080000}"/>
    <cellStyle name="Standard 6 2 2 2 9 2 4 2" xfId="2190" xr:uid="{00000000-0005-0000-0000-000095080000}"/>
    <cellStyle name="Standard 6 2 2 2 9 2 4 2 2" xfId="2191" xr:uid="{00000000-0005-0000-0000-000096080000}"/>
    <cellStyle name="Standard 6 2 2 2 9 2 4 2 2 2" xfId="14152" xr:uid="{004E16EE-3B51-4856-8030-58E1680F255E}"/>
    <cellStyle name="Standard 6 2 2 2 9 2 4 2 3" xfId="14151" xr:uid="{3F2AFE76-6EE2-4CA1-978F-3CD08DAAE11E}"/>
    <cellStyle name="Standard 6 2 2 2 9 2 4 3" xfId="2192" xr:uid="{00000000-0005-0000-0000-000097080000}"/>
    <cellStyle name="Standard 6 2 2 2 9 2 4 3 2" xfId="14153" xr:uid="{48D5B01D-0846-425C-A25F-F5FC2B1B13BA}"/>
    <cellStyle name="Standard 6 2 2 2 9 2 4 4" xfId="14150" xr:uid="{34198921-3261-4D5A-95C5-D6047FC8C8F5}"/>
    <cellStyle name="Standard 6 2 2 2 9 2 5" xfId="2193" xr:uid="{00000000-0005-0000-0000-000098080000}"/>
    <cellStyle name="Standard 6 2 2 2 9 2 5 2" xfId="2194" xr:uid="{00000000-0005-0000-0000-000099080000}"/>
    <cellStyle name="Standard 6 2 2 2 9 2 5 2 2" xfId="2195" xr:uid="{00000000-0005-0000-0000-00009A080000}"/>
    <cellStyle name="Standard 6 2 2 2 9 2 5 2 2 2" xfId="14156" xr:uid="{0CB26F87-3094-48C8-8B29-F5EDBFA97C61}"/>
    <cellStyle name="Standard 6 2 2 2 9 2 5 2 3" xfId="14155" xr:uid="{A381D4CD-EE0B-48E2-A4F5-1DF76453BA33}"/>
    <cellStyle name="Standard 6 2 2 2 9 2 5 3" xfId="2196" xr:uid="{00000000-0005-0000-0000-00009B080000}"/>
    <cellStyle name="Standard 6 2 2 2 9 2 5 3 2" xfId="14157" xr:uid="{CA4C5074-2058-4BB0-AEE5-27876A4C97C1}"/>
    <cellStyle name="Standard 6 2 2 2 9 2 5 4" xfId="14154" xr:uid="{7D44DC13-ED79-42B9-B276-27A1DAFD8F27}"/>
    <cellStyle name="Standard 6 2 2 2 9 2 6" xfId="2197" xr:uid="{00000000-0005-0000-0000-00009C080000}"/>
    <cellStyle name="Standard 6 2 2 2 9 2 6 2" xfId="2198" xr:uid="{00000000-0005-0000-0000-00009D080000}"/>
    <cellStyle name="Standard 6 2 2 2 9 2 6 2 2" xfId="2199" xr:uid="{00000000-0005-0000-0000-00009E080000}"/>
    <cellStyle name="Standard 6 2 2 2 9 2 6 2 2 2" xfId="14160" xr:uid="{6AACA65F-F8B7-455F-AEDF-273D6E93574E}"/>
    <cellStyle name="Standard 6 2 2 2 9 2 6 2 3" xfId="14159" xr:uid="{3722A0A5-427C-4063-AF5D-671F2151310A}"/>
    <cellStyle name="Standard 6 2 2 2 9 2 6 3" xfId="2200" xr:uid="{00000000-0005-0000-0000-00009F080000}"/>
    <cellStyle name="Standard 6 2 2 2 9 2 6 3 2" xfId="14161" xr:uid="{19C379F0-E4D7-4F14-833A-750B29B179B7}"/>
    <cellStyle name="Standard 6 2 2 2 9 2 6 4" xfId="14158" xr:uid="{177C4B81-803D-42AB-9D08-BE48790F1D8E}"/>
    <cellStyle name="Standard 6 2 2 2 9 2 7" xfId="2201" xr:uid="{00000000-0005-0000-0000-0000A0080000}"/>
    <cellStyle name="Standard 6 2 2 2 9 2 7 2" xfId="2202" xr:uid="{00000000-0005-0000-0000-0000A1080000}"/>
    <cellStyle name="Standard 6 2 2 2 9 2 7 2 2" xfId="2203" xr:uid="{00000000-0005-0000-0000-0000A2080000}"/>
    <cellStyle name="Standard 6 2 2 2 9 2 7 2 2 2" xfId="14164" xr:uid="{D0CB9CC9-36F4-490B-A9D0-48EEBD15C256}"/>
    <cellStyle name="Standard 6 2 2 2 9 2 7 2 3" xfId="14163" xr:uid="{2BAFAE04-B69A-4669-B2E6-5B998F8CED1D}"/>
    <cellStyle name="Standard 6 2 2 2 9 2 7 3" xfId="2204" xr:uid="{00000000-0005-0000-0000-0000A3080000}"/>
    <cellStyle name="Standard 6 2 2 2 9 2 7 3 2" xfId="14165" xr:uid="{664BFAC5-77EA-4E9B-A1A1-37DA620260FA}"/>
    <cellStyle name="Standard 6 2 2 2 9 2 7 4" xfId="14162" xr:uid="{7FE3CC2E-9137-45E5-B2E3-12A1401ACC19}"/>
    <cellStyle name="Standard 6 2 2 2 9 2 8" xfId="2205" xr:uid="{00000000-0005-0000-0000-0000A4080000}"/>
    <cellStyle name="Standard 6 2 2 2 9 2 8 2" xfId="2206" xr:uid="{00000000-0005-0000-0000-0000A5080000}"/>
    <cellStyle name="Standard 6 2 2 2 9 2 8 2 2" xfId="14167" xr:uid="{962CE738-437C-45DF-A41F-95C7045836A8}"/>
    <cellStyle name="Standard 6 2 2 2 9 2 8 3" xfId="14166" xr:uid="{C8B12964-9F37-4B1C-97D6-C5A29BCB8B45}"/>
    <cellStyle name="Standard 6 2 2 2 9 2 9" xfId="2207" xr:uid="{00000000-0005-0000-0000-0000A6080000}"/>
    <cellStyle name="Standard 6 2 2 2 9 2 9 2" xfId="14168" xr:uid="{08605BF8-8B70-412F-88CE-68C6E86702E3}"/>
    <cellStyle name="Standard 6 2 2 2 9 3" xfId="2208" xr:uid="{00000000-0005-0000-0000-0000A7080000}"/>
    <cellStyle name="Standard 6 2 2 2 9 3 2" xfId="2209" xr:uid="{00000000-0005-0000-0000-0000A8080000}"/>
    <cellStyle name="Standard 6 2 2 2 9 3 2 2" xfId="2210" xr:uid="{00000000-0005-0000-0000-0000A9080000}"/>
    <cellStyle name="Standard 6 2 2 2 9 3 2 2 2" xfId="14171" xr:uid="{6D0B65B9-49FA-486A-8EF3-09E075668CD1}"/>
    <cellStyle name="Standard 6 2 2 2 9 3 2 3" xfId="14170" xr:uid="{2C62C188-487B-4E6F-8790-AF6747C87BEB}"/>
    <cellStyle name="Standard 6 2 2 2 9 3 3" xfId="2211" xr:uid="{00000000-0005-0000-0000-0000AA080000}"/>
    <cellStyle name="Standard 6 2 2 2 9 3 3 2" xfId="14172" xr:uid="{A997D51E-0540-4663-B931-3B47EB327A44}"/>
    <cellStyle name="Standard 6 2 2 2 9 3 4" xfId="14169" xr:uid="{EEEE4A21-BA83-4A4A-B3CA-1C1ED86C6210}"/>
    <cellStyle name="Standard 6 2 2 2 9 4" xfId="2212" xr:uid="{00000000-0005-0000-0000-0000AB080000}"/>
    <cellStyle name="Standard 6 2 2 2 9 4 2" xfId="2213" xr:uid="{00000000-0005-0000-0000-0000AC080000}"/>
    <cellStyle name="Standard 6 2 2 2 9 4 2 2" xfId="2214" xr:uid="{00000000-0005-0000-0000-0000AD080000}"/>
    <cellStyle name="Standard 6 2 2 2 9 4 2 2 2" xfId="14175" xr:uid="{7D978028-3433-41EB-918F-CF5E659BB44B}"/>
    <cellStyle name="Standard 6 2 2 2 9 4 2 3" xfId="14174" xr:uid="{47890D57-3A4A-4A52-B2B2-CC401A4DA6BD}"/>
    <cellStyle name="Standard 6 2 2 2 9 4 3" xfId="2215" xr:uid="{00000000-0005-0000-0000-0000AE080000}"/>
    <cellStyle name="Standard 6 2 2 2 9 4 3 2" xfId="14176" xr:uid="{9C792369-FD0B-4133-9817-1DC501ECBAC9}"/>
    <cellStyle name="Standard 6 2 2 2 9 4 4" xfId="14173" xr:uid="{A4A17940-1DEE-441C-8813-EADBC1B6447B}"/>
    <cellStyle name="Standard 6 2 2 2 9 5" xfId="2216" xr:uid="{00000000-0005-0000-0000-0000AF080000}"/>
    <cellStyle name="Standard 6 2 2 2 9 5 2" xfId="2217" xr:uid="{00000000-0005-0000-0000-0000B0080000}"/>
    <cellStyle name="Standard 6 2 2 2 9 5 2 2" xfId="2218" xr:uid="{00000000-0005-0000-0000-0000B1080000}"/>
    <cellStyle name="Standard 6 2 2 2 9 5 2 2 2" xfId="14179" xr:uid="{360E08BE-BB96-46F7-A990-E9F433F942EB}"/>
    <cellStyle name="Standard 6 2 2 2 9 5 2 3" xfId="14178" xr:uid="{C1396044-D28A-4C56-80B9-E5A846D7B248}"/>
    <cellStyle name="Standard 6 2 2 2 9 5 3" xfId="2219" xr:uid="{00000000-0005-0000-0000-0000B2080000}"/>
    <cellStyle name="Standard 6 2 2 2 9 5 3 2" xfId="14180" xr:uid="{F8833D66-0C48-4745-AFAD-B22668801BC8}"/>
    <cellStyle name="Standard 6 2 2 2 9 5 4" xfId="14177" xr:uid="{08C9D78C-5DDA-43DE-A477-51FC79C60192}"/>
    <cellStyle name="Standard 6 2 2 2 9 6" xfId="2220" xr:uid="{00000000-0005-0000-0000-0000B3080000}"/>
    <cellStyle name="Standard 6 2 2 2 9 6 2" xfId="2221" xr:uid="{00000000-0005-0000-0000-0000B4080000}"/>
    <cellStyle name="Standard 6 2 2 2 9 6 2 2" xfId="2222" xr:uid="{00000000-0005-0000-0000-0000B5080000}"/>
    <cellStyle name="Standard 6 2 2 2 9 6 2 2 2" xfId="14183" xr:uid="{533678D4-1316-424D-B286-811A28ECED02}"/>
    <cellStyle name="Standard 6 2 2 2 9 6 2 3" xfId="14182" xr:uid="{489E14B1-A52E-4251-B08A-5057E5E05BC5}"/>
    <cellStyle name="Standard 6 2 2 2 9 6 3" xfId="2223" xr:uid="{00000000-0005-0000-0000-0000B6080000}"/>
    <cellStyle name="Standard 6 2 2 2 9 6 3 2" xfId="14184" xr:uid="{04EC16EF-AEB3-4DD3-8D61-C019FD150F86}"/>
    <cellStyle name="Standard 6 2 2 2 9 6 4" xfId="14181" xr:uid="{4BD6BE05-E3FA-4A84-BF32-92E901BA06A1}"/>
    <cellStyle name="Standard 6 2 2 2 9 7" xfId="2224" xr:uid="{00000000-0005-0000-0000-0000B7080000}"/>
    <cellStyle name="Standard 6 2 2 2 9 7 2" xfId="2225" xr:uid="{00000000-0005-0000-0000-0000B8080000}"/>
    <cellStyle name="Standard 6 2 2 2 9 7 2 2" xfId="2226" xr:uid="{00000000-0005-0000-0000-0000B9080000}"/>
    <cellStyle name="Standard 6 2 2 2 9 7 2 2 2" xfId="14187" xr:uid="{DD232717-7D0D-471E-B56C-ACB5F9E0AAFB}"/>
    <cellStyle name="Standard 6 2 2 2 9 7 2 3" xfId="14186" xr:uid="{807961A2-6E99-4FED-B615-685B9C8C6A73}"/>
    <cellStyle name="Standard 6 2 2 2 9 7 3" xfId="2227" xr:uid="{00000000-0005-0000-0000-0000BA080000}"/>
    <cellStyle name="Standard 6 2 2 2 9 7 3 2" xfId="14188" xr:uid="{258CD23B-D461-4543-A3EE-3C40992BF35D}"/>
    <cellStyle name="Standard 6 2 2 2 9 7 4" xfId="14185" xr:uid="{4FED1BCB-3146-46B7-9EA9-AE23FA285949}"/>
    <cellStyle name="Standard 6 2 2 2 9 8" xfId="2228" xr:uid="{00000000-0005-0000-0000-0000BB080000}"/>
    <cellStyle name="Standard 6 2 2 2 9 8 2" xfId="2229" xr:uid="{00000000-0005-0000-0000-0000BC080000}"/>
    <cellStyle name="Standard 6 2 2 2 9 8 2 2" xfId="2230" xr:uid="{00000000-0005-0000-0000-0000BD080000}"/>
    <cellStyle name="Standard 6 2 2 2 9 8 2 2 2" xfId="14191" xr:uid="{0720F618-4666-4CA7-AF88-796494E19AE4}"/>
    <cellStyle name="Standard 6 2 2 2 9 8 2 3" xfId="14190" xr:uid="{EDF8AB3B-2641-49C2-B60B-5598C5ECE8C6}"/>
    <cellStyle name="Standard 6 2 2 2 9 8 3" xfId="2231" xr:uid="{00000000-0005-0000-0000-0000BE080000}"/>
    <cellStyle name="Standard 6 2 2 2 9 8 3 2" xfId="14192" xr:uid="{B5D6BFE0-FAA8-4B19-BDF4-5FF5F3E2A79B}"/>
    <cellStyle name="Standard 6 2 2 2 9 8 4" xfId="14189" xr:uid="{3C6D4253-5D22-4894-BA74-0193F1CFB59B}"/>
    <cellStyle name="Standard 6 2 2 2 9 9" xfId="2232" xr:uid="{00000000-0005-0000-0000-0000BF080000}"/>
    <cellStyle name="Standard 6 2 2 2 9 9 2" xfId="2233" xr:uid="{00000000-0005-0000-0000-0000C0080000}"/>
    <cellStyle name="Standard 6 2 2 2 9 9 2 2" xfId="14194" xr:uid="{20E42608-BF8F-4EED-9E9D-F348540C6B8C}"/>
    <cellStyle name="Standard 6 2 2 2 9 9 3" xfId="14193" xr:uid="{EC0C33E1-A9C8-4F18-A248-54B6883145B0}"/>
    <cellStyle name="Standard 6 2 2 20" xfId="2234" xr:uid="{00000000-0005-0000-0000-0000C1080000}"/>
    <cellStyle name="Standard 6 2 2 20 2" xfId="2235" xr:uid="{00000000-0005-0000-0000-0000C2080000}"/>
    <cellStyle name="Standard 6 2 2 20 2 2" xfId="2236" xr:uid="{00000000-0005-0000-0000-0000C3080000}"/>
    <cellStyle name="Standard 6 2 2 20 2 2 2" xfId="14197" xr:uid="{C698DC48-403E-4C7E-AC33-54590D21EF5A}"/>
    <cellStyle name="Standard 6 2 2 20 2 3" xfId="14196" xr:uid="{0D231232-1ACE-4AA7-99FF-AB0E42CD5515}"/>
    <cellStyle name="Standard 6 2 2 20 3" xfId="2237" xr:uid="{00000000-0005-0000-0000-0000C4080000}"/>
    <cellStyle name="Standard 6 2 2 20 3 2" xfId="14198" xr:uid="{6625F267-B798-48DF-9FD4-DEE70D527771}"/>
    <cellStyle name="Standard 6 2 2 20 4" xfId="14195" xr:uid="{85A2D617-638C-412F-8C70-EBDE95219FB4}"/>
    <cellStyle name="Standard 6 2 2 21" xfId="2238" xr:uid="{00000000-0005-0000-0000-0000C5080000}"/>
    <cellStyle name="Standard 6 2 2 21 2" xfId="2239" xr:uid="{00000000-0005-0000-0000-0000C6080000}"/>
    <cellStyle name="Standard 6 2 2 21 2 2" xfId="2240" xr:uid="{00000000-0005-0000-0000-0000C7080000}"/>
    <cellStyle name="Standard 6 2 2 21 2 2 2" xfId="14201" xr:uid="{11308385-6144-459D-B02D-1945C68914DF}"/>
    <cellStyle name="Standard 6 2 2 21 2 3" xfId="14200" xr:uid="{21184B29-E58A-4A90-9678-B73E5C17D56C}"/>
    <cellStyle name="Standard 6 2 2 21 3" xfId="2241" xr:uid="{00000000-0005-0000-0000-0000C8080000}"/>
    <cellStyle name="Standard 6 2 2 21 3 2" xfId="14202" xr:uid="{E1E99482-2224-49FC-AC04-52E278BEA6B2}"/>
    <cellStyle name="Standard 6 2 2 21 4" xfId="14199" xr:uid="{A57520D1-8982-40DA-B4F3-2C9D45E49948}"/>
    <cellStyle name="Standard 6 2 2 22" xfId="2242" xr:uid="{00000000-0005-0000-0000-0000C9080000}"/>
    <cellStyle name="Standard 6 2 2 22 2" xfId="2243" xr:uid="{00000000-0005-0000-0000-0000CA080000}"/>
    <cellStyle name="Standard 6 2 2 22 2 2" xfId="2244" xr:uid="{00000000-0005-0000-0000-0000CB080000}"/>
    <cellStyle name="Standard 6 2 2 22 2 2 2" xfId="14205" xr:uid="{A1A2EBBE-BC1E-4702-AB88-542275D6D156}"/>
    <cellStyle name="Standard 6 2 2 22 2 3" xfId="14204" xr:uid="{A4ECB5AA-0D52-41C1-87EA-8A452DB86628}"/>
    <cellStyle name="Standard 6 2 2 22 3" xfId="2245" xr:uid="{00000000-0005-0000-0000-0000CC080000}"/>
    <cellStyle name="Standard 6 2 2 22 3 2" xfId="14206" xr:uid="{13702655-4716-4ACC-8ED0-C9F8309AA36F}"/>
    <cellStyle name="Standard 6 2 2 22 4" xfId="14203" xr:uid="{4B78A533-00C8-47B9-838F-1B7BC55ED3AF}"/>
    <cellStyle name="Standard 6 2 2 23" xfId="2246" xr:uid="{00000000-0005-0000-0000-0000CD080000}"/>
    <cellStyle name="Standard 6 2 2 23 2" xfId="2247" xr:uid="{00000000-0005-0000-0000-0000CE080000}"/>
    <cellStyle name="Standard 6 2 2 23 2 2" xfId="14208" xr:uid="{C78EF07C-4B34-4336-8F40-028098C63CD1}"/>
    <cellStyle name="Standard 6 2 2 23 3" xfId="14207" xr:uid="{B6025A40-08DB-468D-96CA-7A01143896F8}"/>
    <cellStyle name="Standard 6 2 2 24" xfId="2248" xr:uid="{00000000-0005-0000-0000-0000CF080000}"/>
    <cellStyle name="Standard 6 2 2 24 2" xfId="14209" xr:uid="{6B629C79-5E4D-444F-A262-6C86994D1A4E}"/>
    <cellStyle name="Standard 6 2 2 25" xfId="2249" xr:uid="{00000000-0005-0000-0000-0000D0080000}"/>
    <cellStyle name="Standard 6 2 2 25 2" xfId="14210" xr:uid="{C47EDE67-083B-4371-8392-102C8C696170}"/>
    <cellStyle name="Standard 6 2 2 26" xfId="12591" xr:uid="{3A501D5C-547E-4F47-8219-3302AAF47931}"/>
    <cellStyle name="Standard 6 2 2 3" xfId="2250" xr:uid="{00000000-0005-0000-0000-0000D1080000}"/>
    <cellStyle name="Standard 6 2 2 3 10" xfId="2251" xr:uid="{00000000-0005-0000-0000-0000D2080000}"/>
    <cellStyle name="Standard 6 2 2 3 10 2" xfId="2252" xr:uid="{00000000-0005-0000-0000-0000D3080000}"/>
    <cellStyle name="Standard 6 2 2 3 10 2 2" xfId="2253" xr:uid="{00000000-0005-0000-0000-0000D4080000}"/>
    <cellStyle name="Standard 6 2 2 3 10 2 2 2" xfId="14214" xr:uid="{B51CEA6D-9379-4156-A02F-C8545F3C3CE5}"/>
    <cellStyle name="Standard 6 2 2 3 10 2 3" xfId="14213" xr:uid="{93543612-8D6D-48AA-A171-893FC4665FD6}"/>
    <cellStyle name="Standard 6 2 2 3 10 3" xfId="2254" xr:uid="{00000000-0005-0000-0000-0000D5080000}"/>
    <cellStyle name="Standard 6 2 2 3 10 3 2" xfId="14215" xr:uid="{9985D280-8AC3-42FD-86E0-4F54D3CE48F8}"/>
    <cellStyle name="Standard 6 2 2 3 10 4" xfId="14212" xr:uid="{554F12DD-1E62-4354-9F13-D37D2AAAD559}"/>
    <cellStyle name="Standard 6 2 2 3 11" xfId="2255" xr:uid="{00000000-0005-0000-0000-0000D6080000}"/>
    <cellStyle name="Standard 6 2 2 3 11 2" xfId="2256" xr:uid="{00000000-0005-0000-0000-0000D7080000}"/>
    <cellStyle name="Standard 6 2 2 3 11 2 2" xfId="2257" xr:uid="{00000000-0005-0000-0000-0000D8080000}"/>
    <cellStyle name="Standard 6 2 2 3 11 2 2 2" xfId="14218" xr:uid="{C67F2C07-2AC8-4922-8E42-6F8160A38244}"/>
    <cellStyle name="Standard 6 2 2 3 11 2 3" xfId="14217" xr:uid="{2B71DBF8-1917-4312-BAC5-C9DA4402E8C4}"/>
    <cellStyle name="Standard 6 2 2 3 11 3" xfId="2258" xr:uid="{00000000-0005-0000-0000-0000D9080000}"/>
    <cellStyle name="Standard 6 2 2 3 11 3 2" xfId="14219" xr:uid="{F7D61EE3-2152-4B14-B35D-DD25DA1B05AC}"/>
    <cellStyle name="Standard 6 2 2 3 11 4" xfId="14216" xr:uid="{D5AAC0CF-BCB1-40FE-B56C-862D03948959}"/>
    <cellStyle name="Standard 6 2 2 3 12" xfId="2259" xr:uid="{00000000-0005-0000-0000-0000DA080000}"/>
    <cellStyle name="Standard 6 2 2 3 12 2" xfId="2260" xr:uid="{00000000-0005-0000-0000-0000DB080000}"/>
    <cellStyle name="Standard 6 2 2 3 12 2 2" xfId="2261" xr:uid="{00000000-0005-0000-0000-0000DC080000}"/>
    <cellStyle name="Standard 6 2 2 3 12 2 2 2" xfId="14222" xr:uid="{D63A915A-4DEF-441E-AE85-75179FB07732}"/>
    <cellStyle name="Standard 6 2 2 3 12 2 3" xfId="14221" xr:uid="{8D543534-9EBB-403A-9DCF-59CE20372187}"/>
    <cellStyle name="Standard 6 2 2 3 12 3" xfId="2262" xr:uid="{00000000-0005-0000-0000-0000DD080000}"/>
    <cellStyle name="Standard 6 2 2 3 12 3 2" xfId="14223" xr:uid="{D9C6F193-EAF6-461D-ABD8-C8382409D9BE}"/>
    <cellStyle name="Standard 6 2 2 3 12 4" xfId="14220" xr:uid="{8649AEC2-692A-4B6D-A57F-3569103AC51A}"/>
    <cellStyle name="Standard 6 2 2 3 13" xfId="2263" xr:uid="{00000000-0005-0000-0000-0000DE080000}"/>
    <cellStyle name="Standard 6 2 2 3 13 2" xfId="2264" xr:uid="{00000000-0005-0000-0000-0000DF080000}"/>
    <cellStyle name="Standard 6 2 2 3 13 2 2" xfId="2265" xr:uid="{00000000-0005-0000-0000-0000E0080000}"/>
    <cellStyle name="Standard 6 2 2 3 13 2 2 2" xfId="14226" xr:uid="{EFBC0DC9-63D0-445E-9078-EB0628DC4160}"/>
    <cellStyle name="Standard 6 2 2 3 13 2 3" xfId="14225" xr:uid="{6B13024E-8EF1-474C-99DE-1087BE34C289}"/>
    <cellStyle name="Standard 6 2 2 3 13 3" xfId="2266" xr:uid="{00000000-0005-0000-0000-0000E1080000}"/>
    <cellStyle name="Standard 6 2 2 3 13 3 2" xfId="14227" xr:uid="{0A26240F-4E88-4E7F-BAD6-F1F9B4265343}"/>
    <cellStyle name="Standard 6 2 2 3 13 4" xfId="14224" xr:uid="{4086FFD1-9BF7-4CE9-A2DF-4E2627ABDA8E}"/>
    <cellStyle name="Standard 6 2 2 3 14" xfId="2267" xr:uid="{00000000-0005-0000-0000-0000E2080000}"/>
    <cellStyle name="Standard 6 2 2 3 14 2" xfId="2268" xr:uid="{00000000-0005-0000-0000-0000E3080000}"/>
    <cellStyle name="Standard 6 2 2 3 14 2 2" xfId="2269" xr:uid="{00000000-0005-0000-0000-0000E4080000}"/>
    <cellStyle name="Standard 6 2 2 3 14 2 2 2" xfId="14230" xr:uid="{888FEA67-278B-422A-AA7F-976FBE550687}"/>
    <cellStyle name="Standard 6 2 2 3 14 2 3" xfId="14229" xr:uid="{06F01819-44F9-4B18-844C-3049CC597177}"/>
    <cellStyle name="Standard 6 2 2 3 14 3" xfId="2270" xr:uid="{00000000-0005-0000-0000-0000E5080000}"/>
    <cellStyle name="Standard 6 2 2 3 14 3 2" xfId="14231" xr:uid="{C0CAB3FC-181E-4379-9285-5FE6C6725B2D}"/>
    <cellStyle name="Standard 6 2 2 3 14 4" xfId="14228" xr:uid="{34BF2F43-DA01-4B50-945F-0AAB6A2766F9}"/>
    <cellStyle name="Standard 6 2 2 3 15" xfId="2271" xr:uid="{00000000-0005-0000-0000-0000E6080000}"/>
    <cellStyle name="Standard 6 2 2 3 15 2" xfId="2272" xr:uid="{00000000-0005-0000-0000-0000E7080000}"/>
    <cellStyle name="Standard 6 2 2 3 15 2 2" xfId="2273" xr:uid="{00000000-0005-0000-0000-0000E8080000}"/>
    <cellStyle name="Standard 6 2 2 3 15 2 2 2" xfId="14234" xr:uid="{1AEC54A8-5219-4FFE-BC2D-BCB7FAD3B457}"/>
    <cellStyle name="Standard 6 2 2 3 15 2 3" xfId="14233" xr:uid="{A7514FBC-4012-4D81-97DA-BD3804498D17}"/>
    <cellStyle name="Standard 6 2 2 3 15 3" xfId="2274" xr:uid="{00000000-0005-0000-0000-0000E9080000}"/>
    <cellStyle name="Standard 6 2 2 3 15 3 2" xfId="14235" xr:uid="{084701FF-AB7C-4F79-969D-16E553F42D10}"/>
    <cellStyle name="Standard 6 2 2 3 15 4" xfId="14232" xr:uid="{C63DD10C-8869-45B1-8B6D-4789A97CECCF}"/>
    <cellStyle name="Standard 6 2 2 3 16" xfId="2275" xr:uid="{00000000-0005-0000-0000-0000EA080000}"/>
    <cellStyle name="Standard 6 2 2 3 16 2" xfId="2276" xr:uid="{00000000-0005-0000-0000-0000EB080000}"/>
    <cellStyle name="Standard 6 2 2 3 16 2 2" xfId="2277" xr:uid="{00000000-0005-0000-0000-0000EC080000}"/>
    <cellStyle name="Standard 6 2 2 3 16 2 2 2" xfId="14238" xr:uid="{CAB05C53-F41D-4FB1-975A-771F4784B1AB}"/>
    <cellStyle name="Standard 6 2 2 3 16 2 3" xfId="14237" xr:uid="{E8306769-1B91-4874-8E09-9CEC43DF2688}"/>
    <cellStyle name="Standard 6 2 2 3 16 3" xfId="2278" xr:uid="{00000000-0005-0000-0000-0000ED080000}"/>
    <cellStyle name="Standard 6 2 2 3 16 3 2" xfId="14239" xr:uid="{AF703A3D-D9DF-4619-BA60-755A0291C360}"/>
    <cellStyle name="Standard 6 2 2 3 16 4" xfId="14236" xr:uid="{32422544-4D88-435A-883B-DC44251DDEAC}"/>
    <cellStyle name="Standard 6 2 2 3 17" xfId="2279" xr:uid="{00000000-0005-0000-0000-0000EE080000}"/>
    <cellStyle name="Standard 6 2 2 3 17 2" xfId="2280" xr:uid="{00000000-0005-0000-0000-0000EF080000}"/>
    <cellStyle name="Standard 6 2 2 3 17 2 2" xfId="2281" xr:uid="{00000000-0005-0000-0000-0000F0080000}"/>
    <cellStyle name="Standard 6 2 2 3 17 2 2 2" xfId="14242" xr:uid="{1F592BA0-26A8-4E64-9919-C59566BC0651}"/>
    <cellStyle name="Standard 6 2 2 3 17 2 3" xfId="14241" xr:uid="{0936A61B-196C-4F33-BB03-9D5DD33C7C8F}"/>
    <cellStyle name="Standard 6 2 2 3 17 3" xfId="2282" xr:uid="{00000000-0005-0000-0000-0000F1080000}"/>
    <cellStyle name="Standard 6 2 2 3 17 3 2" xfId="14243" xr:uid="{A7CF8684-9423-4952-BAEC-7546ACF2E6A2}"/>
    <cellStyle name="Standard 6 2 2 3 17 4" xfId="14240" xr:uid="{0433A505-9469-46BC-9DDC-38919436E498}"/>
    <cellStyle name="Standard 6 2 2 3 18" xfId="2283" xr:uid="{00000000-0005-0000-0000-0000F2080000}"/>
    <cellStyle name="Standard 6 2 2 3 18 2" xfId="2284" xr:uid="{00000000-0005-0000-0000-0000F3080000}"/>
    <cellStyle name="Standard 6 2 2 3 18 2 2" xfId="2285" xr:uid="{00000000-0005-0000-0000-0000F4080000}"/>
    <cellStyle name="Standard 6 2 2 3 18 2 2 2" xfId="14246" xr:uid="{591FC1E3-16C4-44F9-8FB9-1A50D5881621}"/>
    <cellStyle name="Standard 6 2 2 3 18 2 3" xfId="14245" xr:uid="{A7A2ADE2-70C5-4646-931B-C811CE54B2DD}"/>
    <cellStyle name="Standard 6 2 2 3 18 3" xfId="2286" xr:uid="{00000000-0005-0000-0000-0000F5080000}"/>
    <cellStyle name="Standard 6 2 2 3 18 3 2" xfId="14247" xr:uid="{A8CB3291-20BD-409C-B5FA-7B8135B99245}"/>
    <cellStyle name="Standard 6 2 2 3 18 4" xfId="14244" xr:uid="{5241CA9B-E2B2-40FA-9990-A8FD90EB955F}"/>
    <cellStyle name="Standard 6 2 2 3 19" xfId="2287" xr:uid="{00000000-0005-0000-0000-0000F6080000}"/>
    <cellStyle name="Standard 6 2 2 3 19 2" xfId="2288" xr:uid="{00000000-0005-0000-0000-0000F7080000}"/>
    <cellStyle name="Standard 6 2 2 3 19 2 2" xfId="2289" xr:uid="{00000000-0005-0000-0000-0000F8080000}"/>
    <cellStyle name="Standard 6 2 2 3 19 2 2 2" xfId="14250" xr:uid="{65D1E5F9-864E-43D2-98D2-1508649D6D72}"/>
    <cellStyle name="Standard 6 2 2 3 19 2 3" xfId="14249" xr:uid="{CD53E04B-6A62-4A5D-B7EC-54522314B3E9}"/>
    <cellStyle name="Standard 6 2 2 3 19 3" xfId="2290" xr:uid="{00000000-0005-0000-0000-0000F9080000}"/>
    <cellStyle name="Standard 6 2 2 3 19 3 2" xfId="14251" xr:uid="{BE189667-E8A5-4D37-92D2-8346CFE1F185}"/>
    <cellStyle name="Standard 6 2 2 3 19 4" xfId="14248" xr:uid="{E9E3A07E-BE01-483A-8CDD-EB1CCCBB9FCE}"/>
    <cellStyle name="Standard 6 2 2 3 2" xfId="2291" xr:uid="{00000000-0005-0000-0000-0000FA080000}"/>
    <cellStyle name="Standard 6 2 2 3 2 10" xfId="2292" xr:uid="{00000000-0005-0000-0000-0000FB080000}"/>
    <cellStyle name="Standard 6 2 2 3 2 10 2" xfId="2293" xr:uid="{00000000-0005-0000-0000-0000FC080000}"/>
    <cellStyle name="Standard 6 2 2 3 2 10 2 2" xfId="14254" xr:uid="{C1BE3184-2054-49ED-B7BD-4B010A04123F}"/>
    <cellStyle name="Standard 6 2 2 3 2 10 3" xfId="14253" xr:uid="{B5A4ABAC-6AC8-4D69-942D-3A70D86A5839}"/>
    <cellStyle name="Standard 6 2 2 3 2 11" xfId="2294" xr:uid="{00000000-0005-0000-0000-0000FD080000}"/>
    <cellStyle name="Standard 6 2 2 3 2 11 2" xfId="14255" xr:uid="{15AB2EE0-5C05-492C-8F4F-931914CA2F60}"/>
    <cellStyle name="Standard 6 2 2 3 2 12" xfId="14252" xr:uid="{9006E0D9-7B42-4798-9D56-D7F008BD7D3C}"/>
    <cellStyle name="Standard 6 2 2 3 2 2" xfId="2295" xr:uid="{00000000-0005-0000-0000-0000FE080000}"/>
    <cellStyle name="Standard 6 2 2 3 2 2 10" xfId="2296" xr:uid="{00000000-0005-0000-0000-0000FF080000}"/>
    <cellStyle name="Standard 6 2 2 3 2 2 10 2" xfId="14257" xr:uid="{2D069FA1-F1C3-485D-B024-A29DA8E89893}"/>
    <cellStyle name="Standard 6 2 2 3 2 2 11" xfId="14256" xr:uid="{67D581A1-5540-47E3-A2EA-B3430EDA9080}"/>
    <cellStyle name="Standard 6 2 2 3 2 2 2" xfId="2297" xr:uid="{00000000-0005-0000-0000-000000090000}"/>
    <cellStyle name="Standard 6 2 2 3 2 2 2 10" xfId="14258" xr:uid="{A48E0396-7157-4C39-A2E8-6185016CD038}"/>
    <cellStyle name="Standard 6 2 2 3 2 2 2 2" xfId="2298" xr:uid="{00000000-0005-0000-0000-000001090000}"/>
    <cellStyle name="Standard 6 2 2 3 2 2 2 2 2" xfId="2299" xr:uid="{00000000-0005-0000-0000-000002090000}"/>
    <cellStyle name="Standard 6 2 2 3 2 2 2 2 2 2" xfId="2300" xr:uid="{00000000-0005-0000-0000-000003090000}"/>
    <cellStyle name="Standard 6 2 2 3 2 2 2 2 2 2 2" xfId="14261" xr:uid="{7A1388A1-A26B-45C5-AABB-89E149FD7480}"/>
    <cellStyle name="Standard 6 2 2 3 2 2 2 2 2 3" xfId="14260" xr:uid="{48CE49BD-5E24-4390-A464-661BBFDEE9EE}"/>
    <cellStyle name="Standard 6 2 2 3 2 2 2 2 3" xfId="2301" xr:uid="{00000000-0005-0000-0000-000004090000}"/>
    <cellStyle name="Standard 6 2 2 3 2 2 2 2 3 2" xfId="14262" xr:uid="{E2FDB7E3-6047-4C4E-A931-686209B6CEFD}"/>
    <cellStyle name="Standard 6 2 2 3 2 2 2 2 4" xfId="14259" xr:uid="{0C632D3E-C99B-4842-AA35-9EE619379A25}"/>
    <cellStyle name="Standard 6 2 2 3 2 2 2 3" xfId="2302" xr:uid="{00000000-0005-0000-0000-000005090000}"/>
    <cellStyle name="Standard 6 2 2 3 2 2 2 3 2" xfId="2303" xr:uid="{00000000-0005-0000-0000-000006090000}"/>
    <cellStyle name="Standard 6 2 2 3 2 2 2 3 2 2" xfId="2304" xr:uid="{00000000-0005-0000-0000-000007090000}"/>
    <cellStyle name="Standard 6 2 2 3 2 2 2 3 2 2 2" xfId="14265" xr:uid="{30F6CE94-D0E6-4231-9DA0-CCC86C40936F}"/>
    <cellStyle name="Standard 6 2 2 3 2 2 2 3 2 3" xfId="14264" xr:uid="{684AB53D-10AF-44E4-92C5-618AE2D99DC9}"/>
    <cellStyle name="Standard 6 2 2 3 2 2 2 3 3" xfId="2305" xr:uid="{00000000-0005-0000-0000-000008090000}"/>
    <cellStyle name="Standard 6 2 2 3 2 2 2 3 3 2" xfId="14266" xr:uid="{117125F9-08FB-45D0-B34A-0A30003B91B3}"/>
    <cellStyle name="Standard 6 2 2 3 2 2 2 3 4" xfId="14263" xr:uid="{D4EA8039-CB31-407B-8DD5-5FC017F7ECB8}"/>
    <cellStyle name="Standard 6 2 2 3 2 2 2 4" xfId="2306" xr:uid="{00000000-0005-0000-0000-000009090000}"/>
    <cellStyle name="Standard 6 2 2 3 2 2 2 4 2" xfId="2307" xr:uid="{00000000-0005-0000-0000-00000A090000}"/>
    <cellStyle name="Standard 6 2 2 3 2 2 2 4 2 2" xfId="2308" xr:uid="{00000000-0005-0000-0000-00000B090000}"/>
    <cellStyle name="Standard 6 2 2 3 2 2 2 4 2 2 2" xfId="14269" xr:uid="{9C5628B7-31B6-4984-A5C6-23C40A5AC2F5}"/>
    <cellStyle name="Standard 6 2 2 3 2 2 2 4 2 3" xfId="14268" xr:uid="{6DFD31E3-70DD-496D-BD94-BBEBD8D53E1C}"/>
    <cellStyle name="Standard 6 2 2 3 2 2 2 4 3" xfId="2309" xr:uid="{00000000-0005-0000-0000-00000C090000}"/>
    <cellStyle name="Standard 6 2 2 3 2 2 2 4 3 2" xfId="14270" xr:uid="{7D6E541A-0801-4DF7-8344-08A57FA5D0B2}"/>
    <cellStyle name="Standard 6 2 2 3 2 2 2 4 4" xfId="14267" xr:uid="{BE899A86-C82A-4DF6-9780-5D46D633E01D}"/>
    <cellStyle name="Standard 6 2 2 3 2 2 2 5" xfId="2310" xr:uid="{00000000-0005-0000-0000-00000D090000}"/>
    <cellStyle name="Standard 6 2 2 3 2 2 2 5 2" xfId="2311" xr:uid="{00000000-0005-0000-0000-00000E090000}"/>
    <cellStyle name="Standard 6 2 2 3 2 2 2 5 2 2" xfId="2312" xr:uid="{00000000-0005-0000-0000-00000F090000}"/>
    <cellStyle name="Standard 6 2 2 3 2 2 2 5 2 2 2" xfId="14273" xr:uid="{A0BF0641-7EB0-440E-98ED-372D384A4E90}"/>
    <cellStyle name="Standard 6 2 2 3 2 2 2 5 2 3" xfId="14272" xr:uid="{E4DCED44-822D-41FD-957E-EC12B7D5D2DB}"/>
    <cellStyle name="Standard 6 2 2 3 2 2 2 5 3" xfId="2313" xr:uid="{00000000-0005-0000-0000-000010090000}"/>
    <cellStyle name="Standard 6 2 2 3 2 2 2 5 3 2" xfId="14274" xr:uid="{3C9E8CDD-3D12-4DB5-81B8-D56CB028AD59}"/>
    <cellStyle name="Standard 6 2 2 3 2 2 2 5 4" xfId="14271" xr:uid="{A98CD417-58C9-4BBB-A6A5-CFC124E3F24C}"/>
    <cellStyle name="Standard 6 2 2 3 2 2 2 6" xfId="2314" xr:uid="{00000000-0005-0000-0000-000011090000}"/>
    <cellStyle name="Standard 6 2 2 3 2 2 2 6 2" xfId="2315" xr:uid="{00000000-0005-0000-0000-000012090000}"/>
    <cellStyle name="Standard 6 2 2 3 2 2 2 6 2 2" xfId="2316" xr:uid="{00000000-0005-0000-0000-000013090000}"/>
    <cellStyle name="Standard 6 2 2 3 2 2 2 6 2 2 2" xfId="14277" xr:uid="{07FE77D5-11D1-4F09-9C03-CEAD4E0BE015}"/>
    <cellStyle name="Standard 6 2 2 3 2 2 2 6 2 3" xfId="14276" xr:uid="{AC5E74B4-1DEE-40DE-A834-97B19EB459E6}"/>
    <cellStyle name="Standard 6 2 2 3 2 2 2 6 3" xfId="2317" xr:uid="{00000000-0005-0000-0000-000014090000}"/>
    <cellStyle name="Standard 6 2 2 3 2 2 2 6 3 2" xfId="14278" xr:uid="{797B1621-0616-4BB6-8C6A-8CFCB4F68E4F}"/>
    <cellStyle name="Standard 6 2 2 3 2 2 2 6 4" xfId="14275" xr:uid="{44C29F30-EECA-461F-950C-7295AB9EEAE3}"/>
    <cellStyle name="Standard 6 2 2 3 2 2 2 7" xfId="2318" xr:uid="{00000000-0005-0000-0000-000015090000}"/>
    <cellStyle name="Standard 6 2 2 3 2 2 2 7 2" xfId="2319" xr:uid="{00000000-0005-0000-0000-000016090000}"/>
    <cellStyle name="Standard 6 2 2 3 2 2 2 7 2 2" xfId="2320" xr:uid="{00000000-0005-0000-0000-000017090000}"/>
    <cellStyle name="Standard 6 2 2 3 2 2 2 7 2 2 2" xfId="14281" xr:uid="{A06079E6-2BC6-49E4-882C-C6B80DE2B4B9}"/>
    <cellStyle name="Standard 6 2 2 3 2 2 2 7 2 3" xfId="14280" xr:uid="{9720AAF7-A029-4B83-9A2C-C0DF71F5D071}"/>
    <cellStyle name="Standard 6 2 2 3 2 2 2 7 3" xfId="2321" xr:uid="{00000000-0005-0000-0000-000018090000}"/>
    <cellStyle name="Standard 6 2 2 3 2 2 2 7 3 2" xfId="14282" xr:uid="{B5504227-B950-4953-BEC5-9F01AE7458ED}"/>
    <cellStyle name="Standard 6 2 2 3 2 2 2 7 4" xfId="14279" xr:uid="{507AC825-78B4-46A8-8495-1AD31055AAE6}"/>
    <cellStyle name="Standard 6 2 2 3 2 2 2 8" xfId="2322" xr:uid="{00000000-0005-0000-0000-000019090000}"/>
    <cellStyle name="Standard 6 2 2 3 2 2 2 8 2" xfId="2323" xr:uid="{00000000-0005-0000-0000-00001A090000}"/>
    <cellStyle name="Standard 6 2 2 3 2 2 2 8 2 2" xfId="14284" xr:uid="{AB9E1574-85F3-438B-AF26-7A931B0E34D2}"/>
    <cellStyle name="Standard 6 2 2 3 2 2 2 8 3" xfId="14283" xr:uid="{07C7E798-DCD4-4D0A-B462-642FA7648B70}"/>
    <cellStyle name="Standard 6 2 2 3 2 2 2 9" xfId="2324" xr:uid="{00000000-0005-0000-0000-00001B090000}"/>
    <cellStyle name="Standard 6 2 2 3 2 2 2 9 2" xfId="14285" xr:uid="{67729AF2-E789-4928-9973-1B8767FFED29}"/>
    <cellStyle name="Standard 6 2 2 3 2 2 3" xfId="2325" xr:uid="{00000000-0005-0000-0000-00001C090000}"/>
    <cellStyle name="Standard 6 2 2 3 2 2 3 2" xfId="2326" xr:uid="{00000000-0005-0000-0000-00001D090000}"/>
    <cellStyle name="Standard 6 2 2 3 2 2 3 2 2" xfId="2327" xr:uid="{00000000-0005-0000-0000-00001E090000}"/>
    <cellStyle name="Standard 6 2 2 3 2 2 3 2 2 2" xfId="14288" xr:uid="{24F00BCD-9818-463A-89FA-9DFD5323C4EC}"/>
    <cellStyle name="Standard 6 2 2 3 2 2 3 2 3" xfId="14287" xr:uid="{7AEFFEB4-F8E3-47EB-A84D-5CDE74782B8F}"/>
    <cellStyle name="Standard 6 2 2 3 2 2 3 3" xfId="2328" xr:uid="{00000000-0005-0000-0000-00001F090000}"/>
    <cellStyle name="Standard 6 2 2 3 2 2 3 3 2" xfId="14289" xr:uid="{1CBD308D-92FF-4DB6-A5AC-D6FA7385F05B}"/>
    <cellStyle name="Standard 6 2 2 3 2 2 3 4" xfId="14286" xr:uid="{C4278E02-135E-4FC5-A2A8-D7004F96C0CF}"/>
    <cellStyle name="Standard 6 2 2 3 2 2 4" xfId="2329" xr:uid="{00000000-0005-0000-0000-000020090000}"/>
    <cellStyle name="Standard 6 2 2 3 2 2 4 2" xfId="2330" xr:uid="{00000000-0005-0000-0000-000021090000}"/>
    <cellStyle name="Standard 6 2 2 3 2 2 4 2 2" xfId="2331" xr:uid="{00000000-0005-0000-0000-000022090000}"/>
    <cellStyle name="Standard 6 2 2 3 2 2 4 2 2 2" xfId="14292" xr:uid="{87B964DC-ED7D-48FC-9908-942821A40CD6}"/>
    <cellStyle name="Standard 6 2 2 3 2 2 4 2 3" xfId="14291" xr:uid="{5A655144-E36B-452D-900F-FC4B289A8660}"/>
    <cellStyle name="Standard 6 2 2 3 2 2 4 3" xfId="2332" xr:uid="{00000000-0005-0000-0000-000023090000}"/>
    <cellStyle name="Standard 6 2 2 3 2 2 4 3 2" xfId="14293" xr:uid="{53AD86D3-D561-45AC-80B3-6E5FE0B51083}"/>
    <cellStyle name="Standard 6 2 2 3 2 2 4 4" xfId="14290" xr:uid="{CDD22722-E30F-4CD8-AEBD-428BF9F7FDEC}"/>
    <cellStyle name="Standard 6 2 2 3 2 2 5" xfId="2333" xr:uid="{00000000-0005-0000-0000-000024090000}"/>
    <cellStyle name="Standard 6 2 2 3 2 2 5 2" xfId="2334" xr:uid="{00000000-0005-0000-0000-000025090000}"/>
    <cellStyle name="Standard 6 2 2 3 2 2 5 2 2" xfId="2335" xr:uid="{00000000-0005-0000-0000-000026090000}"/>
    <cellStyle name="Standard 6 2 2 3 2 2 5 2 2 2" xfId="14296" xr:uid="{C96F86DB-306A-46D1-AAD7-B08F51D67FEE}"/>
    <cellStyle name="Standard 6 2 2 3 2 2 5 2 3" xfId="14295" xr:uid="{1B3D4841-A45E-48DA-B24C-81200BA09B5D}"/>
    <cellStyle name="Standard 6 2 2 3 2 2 5 3" xfId="2336" xr:uid="{00000000-0005-0000-0000-000027090000}"/>
    <cellStyle name="Standard 6 2 2 3 2 2 5 3 2" xfId="14297" xr:uid="{9D627899-2F6B-4872-8E1E-9F3FBE1D1E16}"/>
    <cellStyle name="Standard 6 2 2 3 2 2 5 4" xfId="14294" xr:uid="{65A6BE93-6494-46D9-8539-2036E49BBCC6}"/>
    <cellStyle name="Standard 6 2 2 3 2 2 6" xfId="2337" xr:uid="{00000000-0005-0000-0000-000028090000}"/>
    <cellStyle name="Standard 6 2 2 3 2 2 6 2" xfId="2338" xr:uid="{00000000-0005-0000-0000-000029090000}"/>
    <cellStyle name="Standard 6 2 2 3 2 2 6 2 2" xfId="2339" xr:uid="{00000000-0005-0000-0000-00002A090000}"/>
    <cellStyle name="Standard 6 2 2 3 2 2 6 2 2 2" xfId="14300" xr:uid="{99C42762-B238-448B-BC33-0E0C1C22A636}"/>
    <cellStyle name="Standard 6 2 2 3 2 2 6 2 3" xfId="14299" xr:uid="{64B7396B-F2F9-4707-B88B-835F64BCBC94}"/>
    <cellStyle name="Standard 6 2 2 3 2 2 6 3" xfId="2340" xr:uid="{00000000-0005-0000-0000-00002B090000}"/>
    <cellStyle name="Standard 6 2 2 3 2 2 6 3 2" xfId="14301" xr:uid="{D41F9CDC-B342-45DD-909C-3C620A335D67}"/>
    <cellStyle name="Standard 6 2 2 3 2 2 6 4" xfId="14298" xr:uid="{078D2E9D-42AF-4207-8BE6-CDF2829BA50F}"/>
    <cellStyle name="Standard 6 2 2 3 2 2 7" xfId="2341" xr:uid="{00000000-0005-0000-0000-00002C090000}"/>
    <cellStyle name="Standard 6 2 2 3 2 2 7 2" xfId="2342" xr:uid="{00000000-0005-0000-0000-00002D090000}"/>
    <cellStyle name="Standard 6 2 2 3 2 2 7 2 2" xfId="2343" xr:uid="{00000000-0005-0000-0000-00002E090000}"/>
    <cellStyle name="Standard 6 2 2 3 2 2 7 2 2 2" xfId="14304" xr:uid="{B32B1CAD-3FBC-4188-82BA-44E902F65436}"/>
    <cellStyle name="Standard 6 2 2 3 2 2 7 2 3" xfId="14303" xr:uid="{FC68D2D4-83F9-4C1C-A19A-4E3407AD2B00}"/>
    <cellStyle name="Standard 6 2 2 3 2 2 7 3" xfId="2344" xr:uid="{00000000-0005-0000-0000-00002F090000}"/>
    <cellStyle name="Standard 6 2 2 3 2 2 7 3 2" xfId="14305" xr:uid="{CC5C5653-0346-452E-88B1-FFC011C9CCC3}"/>
    <cellStyle name="Standard 6 2 2 3 2 2 7 4" xfId="14302" xr:uid="{FD38503E-039F-43A3-AEEC-3DF814393560}"/>
    <cellStyle name="Standard 6 2 2 3 2 2 8" xfId="2345" xr:uid="{00000000-0005-0000-0000-000030090000}"/>
    <cellStyle name="Standard 6 2 2 3 2 2 8 2" xfId="2346" xr:uid="{00000000-0005-0000-0000-000031090000}"/>
    <cellStyle name="Standard 6 2 2 3 2 2 8 2 2" xfId="2347" xr:uid="{00000000-0005-0000-0000-000032090000}"/>
    <cellStyle name="Standard 6 2 2 3 2 2 8 2 2 2" xfId="14308" xr:uid="{C00FCDD9-76AF-4C5B-8FD1-E0BE808DAB50}"/>
    <cellStyle name="Standard 6 2 2 3 2 2 8 2 3" xfId="14307" xr:uid="{BE7E94F5-9E57-4EC7-A70C-F5842F85802A}"/>
    <cellStyle name="Standard 6 2 2 3 2 2 8 3" xfId="2348" xr:uid="{00000000-0005-0000-0000-000033090000}"/>
    <cellStyle name="Standard 6 2 2 3 2 2 8 3 2" xfId="14309" xr:uid="{11832F32-99CC-49FF-9D73-85550207CFFB}"/>
    <cellStyle name="Standard 6 2 2 3 2 2 8 4" xfId="14306" xr:uid="{17EEB55F-0170-4159-95C2-92371AF12314}"/>
    <cellStyle name="Standard 6 2 2 3 2 2 9" xfId="2349" xr:uid="{00000000-0005-0000-0000-000034090000}"/>
    <cellStyle name="Standard 6 2 2 3 2 2 9 2" xfId="2350" xr:uid="{00000000-0005-0000-0000-000035090000}"/>
    <cellStyle name="Standard 6 2 2 3 2 2 9 2 2" xfId="14311" xr:uid="{470D3F7F-7F0F-4399-B965-2D504EB89E33}"/>
    <cellStyle name="Standard 6 2 2 3 2 2 9 3" xfId="14310" xr:uid="{4F09CBDA-BEDF-4323-B576-85FFCCE5FFBD}"/>
    <cellStyle name="Standard 6 2 2 3 2 3" xfId="2351" xr:uid="{00000000-0005-0000-0000-000036090000}"/>
    <cellStyle name="Standard 6 2 2 3 2 3 10" xfId="14312" xr:uid="{99E1A8E2-87B4-448D-85E5-2E37533F2A80}"/>
    <cellStyle name="Standard 6 2 2 3 2 3 2" xfId="2352" xr:uid="{00000000-0005-0000-0000-000037090000}"/>
    <cellStyle name="Standard 6 2 2 3 2 3 2 2" xfId="2353" xr:uid="{00000000-0005-0000-0000-000038090000}"/>
    <cellStyle name="Standard 6 2 2 3 2 3 2 2 2" xfId="2354" xr:uid="{00000000-0005-0000-0000-000039090000}"/>
    <cellStyle name="Standard 6 2 2 3 2 3 2 2 2 2" xfId="14315" xr:uid="{CC2B555C-5DF5-41E2-8D51-3B553561DE23}"/>
    <cellStyle name="Standard 6 2 2 3 2 3 2 2 3" xfId="14314" xr:uid="{87543163-F45A-4319-811C-9B541FBDC7D0}"/>
    <cellStyle name="Standard 6 2 2 3 2 3 2 3" xfId="2355" xr:uid="{00000000-0005-0000-0000-00003A090000}"/>
    <cellStyle name="Standard 6 2 2 3 2 3 2 3 2" xfId="14316" xr:uid="{700C61B6-282D-483E-9D26-D6CE5018B838}"/>
    <cellStyle name="Standard 6 2 2 3 2 3 2 4" xfId="14313" xr:uid="{3F8BB44D-5013-455F-9235-E61840AC777F}"/>
    <cellStyle name="Standard 6 2 2 3 2 3 3" xfId="2356" xr:uid="{00000000-0005-0000-0000-00003B090000}"/>
    <cellStyle name="Standard 6 2 2 3 2 3 3 2" xfId="2357" xr:uid="{00000000-0005-0000-0000-00003C090000}"/>
    <cellStyle name="Standard 6 2 2 3 2 3 3 2 2" xfId="2358" xr:uid="{00000000-0005-0000-0000-00003D090000}"/>
    <cellStyle name="Standard 6 2 2 3 2 3 3 2 2 2" xfId="14319" xr:uid="{B98B1298-CAD4-4FFF-80D1-86CE2BD20C02}"/>
    <cellStyle name="Standard 6 2 2 3 2 3 3 2 3" xfId="14318" xr:uid="{8DF2DD43-0734-42A7-AE8B-31E383BDB569}"/>
    <cellStyle name="Standard 6 2 2 3 2 3 3 3" xfId="2359" xr:uid="{00000000-0005-0000-0000-00003E090000}"/>
    <cellStyle name="Standard 6 2 2 3 2 3 3 3 2" xfId="14320" xr:uid="{55D91A53-EC00-4C28-BE9B-4CF698E11FF1}"/>
    <cellStyle name="Standard 6 2 2 3 2 3 3 4" xfId="14317" xr:uid="{776E8448-4C5F-46E7-9BAA-AD74B57DE154}"/>
    <cellStyle name="Standard 6 2 2 3 2 3 4" xfId="2360" xr:uid="{00000000-0005-0000-0000-00003F090000}"/>
    <cellStyle name="Standard 6 2 2 3 2 3 4 2" xfId="2361" xr:uid="{00000000-0005-0000-0000-000040090000}"/>
    <cellStyle name="Standard 6 2 2 3 2 3 4 2 2" xfId="2362" xr:uid="{00000000-0005-0000-0000-000041090000}"/>
    <cellStyle name="Standard 6 2 2 3 2 3 4 2 2 2" xfId="14323" xr:uid="{B6879CCF-CC26-4004-B8A1-410EA7D039ED}"/>
    <cellStyle name="Standard 6 2 2 3 2 3 4 2 3" xfId="14322" xr:uid="{83731F31-0EBC-4A5D-BAA4-EBD618E52868}"/>
    <cellStyle name="Standard 6 2 2 3 2 3 4 3" xfId="2363" xr:uid="{00000000-0005-0000-0000-000042090000}"/>
    <cellStyle name="Standard 6 2 2 3 2 3 4 3 2" xfId="14324" xr:uid="{ED7B6C7F-DD33-46CC-A4DE-B631CCD72048}"/>
    <cellStyle name="Standard 6 2 2 3 2 3 4 4" xfId="14321" xr:uid="{99D1EC23-71F0-482A-9E47-35379AAB41B9}"/>
    <cellStyle name="Standard 6 2 2 3 2 3 5" xfId="2364" xr:uid="{00000000-0005-0000-0000-000043090000}"/>
    <cellStyle name="Standard 6 2 2 3 2 3 5 2" xfId="2365" xr:uid="{00000000-0005-0000-0000-000044090000}"/>
    <cellStyle name="Standard 6 2 2 3 2 3 5 2 2" xfId="2366" xr:uid="{00000000-0005-0000-0000-000045090000}"/>
    <cellStyle name="Standard 6 2 2 3 2 3 5 2 2 2" xfId="14327" xr:uid="{7819E213-6615-4A8C-B9A5-DC3C4373FEB9}"/>
    <cellStyle name="Standard 6 2 2 3 2 3 5 2 3" xfId="14326" xr:uid="{82E57690-A596-4AAE-8692-4F20FCD6DE01}"/>
    <cellStyle name="Standard 6 2 2 3 2 3 5 3" xfId="2367" xr:uid="{00000000-0005-0000-0000-000046090000}"/>
    <cellStyle name="Standard 6 2 2 3 2 3 5 3 2" xfId="14328" xr:uid="{844ECF25-EC69-4686-A287-BBACC212155F}"/>
    <cellStyle name="Standard 6 2 2 3 2 3 5 4" xfId="14325" xr:uid="{0A1C7015-3FA4-4DF1-BE9E-C97EE0C942A5}"/>
    <cellStyle name="Standard 6 2 2 3 2 3 6" xfId="2368" xr:uid="{00000000-0005-0000-0000-000047090000}"/>
    <cellStyle name="Standard 6 2 2 3 2 3 6 2" xfId="2369" xr:uid="{00000000-0005-0000-0000-000048090000}"/>
    <cellStyle name="Standard 6 2 2 3 2 3 6 2 2" xfId="2370" xr:uid="{00000000-0005-0000-0000-000049090000}"/>
    <cellStyle name="Standard 6 2 2 3 2 3 6 2 2 2" xfId="14331" xr:uid="{D6E8AD9C-0B2F-4916-8692-78D06A5B51E1}"/>
    <cellStyle name="Standard 6 2 2 3 2 3 6 2 3" xfId="14330" xr:uid="{8AEB9FBD-F6B3-43E9-BF53-42CE40400A7C}"/>
    <cellStyle name="Standard 6 2 2 3 2 3 6 3" xfId="2371" xr:uid="{00000000-0005-0000-0000-00004A090000}"/>
    <cellStyle name="Standard 6 2 2 3 2 3 6 3 2" xfId="14332" xr:uid="{90700D7C-2B7E-48A6-97DF-757CBD5F4A49}"/>
    <cellStyle name="Standard 6 2 2 3 2 3 6 4" xfId="14329" xr:uid="{560A09FA-5872-4C1C-A993-8B8373596B4A}"/>
    <cellStyle name="Standard 6 2 2 3 2 3 7" xfId="2372" xr:uid="{00000000-0005-0000-0000-00004B090000}"/>
    <cellStyle name="Standard 6 2 2 3 2 3 7 2" xfId="2373" xr:uid="{00000000-0005-0000-0000-00004C090000}"/>
    <cellStyle name="Standard 6 2 2 3 2 3 7 2 2" xfId="2374" xr:uid="{00000000-0005-0000-0000-00004D090000}"/>
    <cellStyle name="Standard 6 2 2 3 2 3 7 2 2 2" xfId="14335" xr:uid="{832EBAB9-BA2F-4669-9738-4B523842EE22}"/>
    <cellStyle name="Standard 6 2 2 3 2 3 7 2 3" xfId="14334" xr:uid="{2DC2F057-B11F-4B87-B2B9-23E182CD36CE}"/>
    <cellStyle name="Standard 6 2 2 3 2 3 7 3" xfId="2375" xr:uid="{00000000-0005-0000-0000-00004E090000}"/>
    <cellStyle name="Standard 6 2 2 3 2 3 7 3 2" xfId="14336" xr:uid="{CAD7AD26-914D-414F-9BBE-A75B4699074F}"/>
    <cellStyle name="Standard 6 2 2 3 2 3 7 4" xfId="14333" xr:uid="{B27DEE21-DDA2-46A4-8921-09E8ABF1F0E3}"/>
    <cellStyle name="Standard 6 2 2 3 2 3 8" xfId="2376" xr:uid="{00000000-0005-0000-0000-00004F090000}"/>
    <cellStyle name="Standard 6 2 2 3 2 3 8 2" xfId="2377" xr:uid="{00000000-0005-0000-0000-000050090000}"/>
    <cellStyle name="Standard 6 2 2 3 2 3 8 2 2" xfId="14338" xr:uid="{3DA8470E-2C8E-4BE7-816D-00297A6D85A1}"/>
    <cellStyle name="Standard 6 2 2 3 2 3 8 3" xfId="14337" xr:uid="{9D22E80C-EA01-4F19-A362-99D1B4C8EC6B}"/>
    <cellStyle name="Standard 6 2 2 3 2 3 9" xfId="2378" xr:uid="{00000000-0005-0000-0000-000051090000}"/>
    <cellStyle name="Standard 6 2 2 3 2 3 9 2" xfId="14339" xr:uid="{6B896A96-8369-4673-9E37-12C7F9CCE60A}"/>
    <cellStyle name="Standard 6 2 2 3 2 4" xfId="2379" xr:uid="{00000000-0005-0000-0000-000052090000}"/>
    <cellStyle name="Standard 6 2 2 3 2 4 2" xfId="2380" xr:uid="{00000000-0005-0000-0000-000053090000}"/>
    <cellStyle name="Standard 6 2 2 3 2 4 2 2" xfId="2381" xr:uid="{00000000-0005-0000-0000-000054090000}"/>
    <cellStyle name="Standard 6 2 2 3 2 4 2 2 2" xfId="14342" xr:uid="{3F4CBF09-9490-4C1C-BE5E-B6B39E827E0E}"/>
    <cellStyle name="Standard 6 2 2 3 2 4 2 3" xfId="14341" xr:uid="{F54ED0D0-DBE5-40F8-8AEE-B335E2622832}"/>
    <cellStyle name="Standard 6 2 2 3 2 4 3" xfId="2382" xr:uid="{00000000-0005-0000-0000-000055090000}"/>
    <cellStyle name="Standard 6 2 2 3 2 4 3 2" xfId="14343" xr:uid="{2D3AA708-8166-43A5-A847-61124D267B5B}"/>
    <cellStyle name="Standard 6 2 2 3 2 4 4" xfId="14340" xr:uid="{A64C0976-4024-439C-A89B-D6C12514C9C6}"/>
    <cellStyle name="Standard 6 2 2 3 2 5" xfId="2383" xr:uid="{00000000-0005-0000-0000-000056090000}"/>
    <cellStyle name="Standard 6 2 2 3 2 5 2" xfId="2384" xr:uid="{00000000-0005-0000-0000-000057090000}"/>
    <cellStyle name="Standard 6 2 2 3 2 5 2 2" xfId="2385" xr:uid="{00000000-0005-0000-0000-000058090000}"/>
    <cellStyle name="Standard 6 2 2 3 2 5 2 2 2" xfId="14346" xr:uid="{CE0C10F5-55DD-4715-9C2D-BEBFF3009904}"/>
    <cellStyle name="Standard 6 2 2 3 2 5 2 3" xfId="14345" xr:uid="{72498A76-6AC3-4271-9EC9-12E2F9A1FD7A}"/>
    <cellStyle name="Standard 6 2 2 3 2 5 3" xfId="2386" xr:uid="{00000000-0005-0000-0000-000059090000}"/>
    <cellStyle name="Standard 6 2 2 3 2 5 3 2" xfId="14347" xr:uid="{65F693A0-DACC-416D-85E1-682BF5F34F8F}"/>
    <cellStyle name="Standard 6 2 2 3 2 5 4" xfId="14344" xr:uid="{BF5FC50A-7BB1-4B08-AEC4-FB14DDD62967}"/>
    <cellStyle name="Standard 6 2 2 3 2 6" xfId="2387" xr:uid="{00000000-0005-0000-0000-00005A090000}"/>
    <cellStyle name="Standard 6 2 2 3 2 6 2" xfId="2388" xr:uid="{00000000-0005-0000-0000-00005B090000}"/>
    <cellStyle name="Standard 6 2 2 3 2 6 2 2" xfId="2389" xr:uid="{00000000-0005-0000-0000-00005C090000}"/>
    <cellStyle name="Standard 6 2 2 3 2 6 2 2 2" xfId="14350" xr:uid="{265E4DD9-F69E-47DE-8EBC-A7ED0680976F}"/>
    <cellStyle name="Standard 6 2 2 3 2 6 2 3" xfId="14349" xr:uid="{00657629-1B7E-4137-9B29-24ED6524451F}"/>
    <cellStyle name="Standard 6 2 2 3 2 6 3" xfId="2390" xr:uid="{00000000-0005-0000-0000-00005D090000}"/>
    <cellStyle name="Standard 6 2 2 3 2 6 3 2" xfId="14351" xr:uid="{D24D1453-199E-4000-8C8A-0417ADDDE6F1}"/>
    <cellStyle name="Standard 6 2 2 3 2 6 4" xfId="14348" xr:uid="{43A45754-BB7A-458F-BA2F-11D420CF0121}"/>
    <cellStyle name="Standard 6 2 2 3 2 7" xfId="2391" xr:uid="{00000000-0005-0000-0000-00005E090000}"/>
    <cellStyle name="Standard 6 2 2 3 2 7 2" xfId="2392" xr:uid="{00000000-0005-0000-0000-00005F090000}"/>
    <cellStyle name="Standard 6 2 2 3 2 7 2 2" xfId="2393" xr:uid="{00000000-0005-0000-0000-000060090000}"/>
    <cellStyle name="Standard 6 2 2 3 2 7 2 2 2" xfId="14354" xr:uid="{19659D6B-431D-4381-806C-4C47291DFEE9}"/>
    <cellStyle name="Standard 6 2 2 3 2 7 2 3" xfId="14353" xr:uid="{C96046E1-C6C0-4472-899B-57743C4100D4}"/>
    <cellStyle name="Standard 6 2 2 3 2 7 3" xfId="2394" xr:uid="{00000000-0005-0000-0000-000061090000}"/>
    <cellStyle name="Standard 6 2 2 3 2 7 3 2" xfId="14355" xr:uid="{7C310408-7997-4C58-A5CC-FDBED26DF507}"/>
    <cellStyle name="Standard 6 2 2 3 2 7 4" xfId="14352" xr:uid="{9AAE497F-AA70-4782-B15F-140A7537601D}"/>
    <cellStyle name="Standard 6 2 2 3 2 8" xfId="2395" xr:uid="{00000000-0005-0000-0000-000062090000}"/>
    <cellStyle name="Standard 6 2 2 3 2 8 2" xfId="2396" xr:uid="{00000000-0005-0000-0000-000063090000}"/>
    <cellStyle name="Standard 6 2 2 3 2 8 2 2" xfId="2397" xr:uid="{00000000-0005-0000-0000-000064090000}"/>
    <cellStyle name="Standard 6 2 2 3 2 8 2 2 2" xfId="14358" xr:uid="{53FBB452-5BF0-4606-BBE3-A226BC7D2975}"/>
    <cellStyle name="Standard 6 2 2 3 2 8 2 3" xfId="14357" xr:uid="{58056569-598E-45D4-9007-0DA3A9D40C05}"/>
    <cellStyle name="Standard 6 2 2 3 2 8 3" xfId="2398" xr:uid="{00000000-0005-0000-0000-000065090000}"/>
    <cellStyle name="Standard 6 2 2 3 2 8 3 2" xfId="14359" xr:uid="{D5B6C812-1E22-4577-9940-9C6ACA38CCD0}"/>
    <cellStyle name="Standard 6 2 2 3 2 8 4" xfId="14356" xr:uid="{41A434CC-ACF1-43CD-AFB2-EDA03A2F8C76}"/>
    <cellStyle name="Standard 6 2 2 3 2 9" xfId="2399" xr:uid="{00000000-0005-0000-0000-000066090000}"/>
    <cellStyle name="Standard 6 2 2 3 2 9 2" xfId="2400" xr:uid="{00000000-0005-0000-0000-000067090000}"/>
    <cellStyle name="Standard 6 2 2 3 2 9 2 2" xfId="2401" xr:uid="{00000000-0005-0000-0000-000068090000}"/>
    <cellStyle name="Standard 6 2 2 3 2 9 2 2 2" xfId="14362" xr:uid="{4A5A6CA9-6AA7-421E-8ACC-A8D4702E3365}"/>
    <cellStyle name="Standard 6 2 2 3 2 9 2 3" xfId="14361" xr:uid="{22E3E191-C48F-4BC1-95F9-CEAFCC97C5DE}"/>
    <cellStyle name="Standard 6 2 2 3 2 9 3" xfId="2402" xr:uid="{00000000-0005-0000-0000-000069090000}"/>
    <cellStyle name="Standard 6 2 2 3 2 9 3 2" xfId="14363" xr:uid="{AFAB8D86-EED6-4928-A08E-11D690886F95}"/>
    <cellStyle name="Standard 6 2 2 3 2 9 4" xfId="14360" xr:uid="{68B60B27-A493-4D1A-943C-B7BF42DF9437}"/>
    <cellStyle name="Standard 6 2 2 3 20" xfId="2403" xr:uid="{00000000-0005-0000-0000-00006A090000}"/>
    <cellStyle name="Standard 6 2 2 3 20 2" xfId="2404" xr:uid="{00000000-0005-0000-0000-00006B090000}"/>
    <cellStyle name="Standard 6 2 2 3 20 2 2" xfId="14365" xr:uid="{315C5559-4C3E-48D3-A1B3-09A182EAA61B}"/>
    <cellStyle name="Standard 6 2 2 3 20 3" xfId="14364" xr:uid="{E25B1144-45B0-471F-BC40-EC0B0B1164AF}"/>
    <cellStyle name="Standard 6 2 2 3 21" xfId="2405" xr:uid="{00000000-0005-0000-0000-00006C090000}"/>
    <cellStyle name="Standard 6 2 2 3 21 2" xfId="14366" xr:uid="{685A95D3-4B56-42C0-AEB3-927F5E2DF5A1}"/>
    <cellStyle name="Standard 6 2 2 3 22" xfId="2406" xr:uid="{00000000-0005-0000-0000-00006D090000}"/>
    <cellStyle name="Standard 6 2 2 3 22 2" xfId="14367" xr:uid="{9A124F65-21AF-465C-86EF-0A75643D8614}"/>
    <cellStyle name="Standard 6 2 2 3 23" xfId="14211" xr:uid="{C089C957-0D70-40A6-B251-638DCE83A721}"/>
    <cellStyle name="Standard 6 2 2 3 3" xfId="2407" xr:uid="{00000000-0005-0000-0000-00006E090000}"/>
    <cellStyle name="Standard 6 2 2 3 3 10" xfId="2408" xr:uid="{00000000-0005-0000-0000-00006F090000}"/>
    <cellStyle name="Standard 6 2 2 3 3 10 2" xfId="14369" xr:uid="{43550C7E-7CCA-4B1D-8297-8396D63B79AE}"/>
    <cellStyle name="Standard 6 2 2 3 3 11" xfId="14368" xr:uid="{D8BD3FAB-45E0-4C53-A265-B8BE84CFBE03}"/>
    <cellStyle name="Standard 6 2 2 3 3 2" xfId="2409" xr:uid="{00000000-0005-0000-0000-000070090000}"/>
    <cellStyle name="Standard 6 2 2 3 3 2 10" xfId="14370" xr:uid="{6017DEFC-F7C8-43C2-97BF-1C5654C51EA0}"/>
    <cellStyle name="Standard 6 2 2 3 3 2 2" xfId="2410" xr:uid="{00000000-0005-0000-0000-000071090000}"/>
    <cellStyle name="Standard 6 2 2 3 3 2 2 2" xfId="2411" xr:uid="{00000000-0005-0000-0000-000072090000}"/>
    <cellStyle name="Standard 6 2 2 3 3 2 2 2 2" xfId="2412" xr:uid="{00000000-0005-0000-0000-000073090000}"/>
    <cellStyle name="Standard 6 2 2 3 3 2 2 2 2 2" xfId="14373" xr:uid="{1FCB8A10-A474-4122-8599-538559CC913A}"/>
    <cellStyle name="Standard 6 2 2 3 3 2 2 2 3" xfId="14372" xr:uid="{D24079AD-47E4-410D-859A-182DC38E953B}"/>
    <cellStyle name="Standard 6 2 2 3 3 2 2 3" xfId="2413" xr:uid="{00000000-0005-0000-0000-000074090000}"/>
    <cellStyle name="Standard 6 2 2 3 3 2 2 3 2" xfId="14374" xr:uid="{1DF38DE8-FE43-4D25-B5FB-17A2958A5272}"/>
    <cellStyle name="Standard 6 2 2 3 3 2 2 4" xfId="14371" xr:uid="{BCEFAEF3-04DE-40AD-92C5-8F3C9C488852}"/>
    <cellStyle name="Standard 6 2 2 3 3 2 3" xfId="2414" xr:uid="{00000000-0005-0000-0000-000075090000}"/>
    <cellStyle name="Standard 6 2 2 3 3 2 3 2" xfId="2415" xr:uid="{00000000-0005-0000-0000-000076090000}"/>
    <cellStyle name="Standard 6 2 2 3 3 2 3 2 2" xfId="2416" xr:uid="{00000000-0005-0000-0000-000077090000}"/>
    <cellStyle name="Standard 6 2 2 3 3 2 3 2 2 2" xfId="14377" xr:uid="{50DF08BE-4933-4CE1-AD05-F4604863CC0E}"/>
    <cellStyle name="Standard 6 2 2 3 3 2 3 2 3" xfId="14376" xr:uid="{2A2C3807-1999-4D5C-8D2B-62941B512FDA}"/>
    <cellStyle name="Standard 6 2 2 3 3 2 3 3" xfId="2417" xr:uid="{00000000-0005-0000-0000-000078090000}"/>
    <cellStyle name="Standard 6 2 2 3 3 2 3 3 2" xfId="14378" xr:uid="{51AF4918-EFC1-463E-AF12-21AFBF716C85}"/>
    <cellStyle name="Standard 6 2 2 3 3 2 3 4" xfId="14375" xr:uid="{D3FA3F8D-7423-42E3-8237-CDF016389A57}"/>
    <cellStyle name="Standard 6 2 2 3 3 2 4" xfId="2418" xr:uid="{00000000-0005-0000-0000-000079090000}"/>
    <cellStyle name="Standard 6 2 2 3 3 2 4 2" xfId="2419" xr:uid="{00000000-0005-0000-0000-00007A090000}"/>
    <cellStyle name="Standard 6 2 2 3 3 2 4 2 2" xfId="2420" xr:uid="{00000000-0005-0000-0000-00007B090000}"/>
    <cellStyle name="Standard 6 2 2 3 3 2 4 2 2 2" xfId="14381" xr:uid="{812F5824-5D2E-4CFF-AF48-F5C57C1C9745}"/>
    <cellStyle name="Standard 6 2 2 3 3 2 4 2 3" xfId="14380" xr:uid="{0A413985-FFE6-407F-B872-E29F8C958A50}"/>
    <cellStyle name="Standard 6 2 2 3 3 2 4 3" xfId="2421" xr:uid="{00000000-0005-0000-0000-00007C090000}"/>
    <cellStyle name="Standard 6 2 2 3 3 2 4 3 2" xfId="14382" xr:uid="{E980E84C-7034-41E9-B558-C9BC1EBC8DD7}"/>
    <cellStyle name="Standard 6 2 2 3 3 2 4 4" xfId="14379" xr:uid="{533B8302-C7AA-4039-B508-59FD102D5D6E}"/>
    <cellStyle name="Standard 6 2 2 3 3 2 5" xfId="2422" xr:uid="{00000000-0005-0000-0000-00007D090000}"/>
    <cellStyle name="Standard 6 2 2 3 3 2 5 2" xfId="2423" xr:uid="{00000000-0005-0000-0000-00007E090000}"/>
    <cellStyle name="Standard 6 2 2 3 3 2 5 2 2" xfId="2424" xr:uid="{00000000-0005-0000-0000-00007F090000}"/>
    <cellStyle name="Standard 6 2 2 3 3 2 5 2 2 2" xfId="14385" xr:uid="{13703CF6-5E29-4E8F-A890-C6559FA92E4E}"/>
    <cellStyle name="Standard 6 2 2 3 3 2 5 2 3" xfId="14384" xr:uid="{64E65F8F-28FE-4505-8BC3-DD651B8DC5FE}"/>
    <cellStyle name="Standard 6 2 2 3 3 2 5 3" xfId="2425" xr:uid="{00000000-0005-0000-0000-000080090000}"/>
    <cellStyle name="Standard 6 2 2 3 3 2 5 3 2" xfId="14386" xr:uid="{6B268E94-6E90-42F7-B9DC-CB2546E8CA2E}"/>
    <cellStyle name="Standard 6 2 2 3 3 2 5 4" xfId="14383" xr:uid="{FFDA1EC9-1619-4113-9D91-F5B1CC0CBDC0}"/>
    <cellStyle name="Standard 6 2 2 3 3 2 6" xfId="2426" xr:uid="{00000000-0005-0000-0000-000081090000}"/>
    <cellStyle name="Standard 6 2 2 3 3 2 6 2" xfId="2427" xr:uid="{00000000-0005-0000-0000-000082090000}"/>
    <cellStyle name="Standard 6 2 2 3 3 2 6 2 2" xfId="2428" xr:uid="{00000000-0005-0000-0000-000083090000}"/>
    <cellStyle name="Standard 6 2 2 3 3 2 6 2 2 2" xfId="14389" xr:uid="{5688120F-6349-4704-B136-B7BD7AE82DB6}"/>
    <cellStyle name="Standard 6 2 2 3 3 2 6 2 3" xfId="14388" xr:uid="{98D9A52D-4F62-4B43-9FAE-540F7BCFF2B9}"/>
    <cellStyle name="Standard 6 2 2 3 3 2 6 3" xfId="2429" xr:uid="{00000000-0005-0000-0000-000084090000}"/>
    <cellStyle name="Standard 6 2 2 3 3 2 6 3 2" xfId="14390" xr:uid="{99EC2FCF-BF4C-4F3A-8A03-52820EDB4406}"/>
    <cellStyle name="Standard 6 2 2 3 3 2 6 4" xfId="14387" xr:uid="{4305B022-35BB-4AFD-B1C1-A56EFC9059E0}"/>
    <cellStyle name="Standard 6 2 2 3 3 2 7" xfId="2430" xr:uid="{00000000-0005-0000-0000-000085090000}"/>
    <cellStyle name="Standard 6 2 2 3 3 2 7 2" xfId="2431" xr:uid="{00000000-0005-0000-0000-000086090000}"/>
    <cellStyle name="Standard 6 2 2 3 3 2 7 2 2" xfId="2432" xr:uid="{00000000-0005-0000-0000-000087090000}"/>
    <cellStyle name="Standard 6 2 2 3 3 2 7 2 2 2" xfId="14393" xr:uid="{742C546F-16F5-4779-86C5-184366FE4851}"/>
    <cellStyle name="Standard 6 2 2 3 3 2 7 2 3" xfId="14392" xr:uid="{C2F7E568-79C7-40E9-A5CF-6A65E2E91DDC}"/>
    <cellStyle name="Standard 6 2 2 3 3 2 7 3" xfId="2433" xr:uid="{00000000-0005-0000-0000-000088090000}"/>
    <cellStyle name="Standard 6 2 2 3 3 2 7 3 2" xfId="14394" xr:uid="{AD015E30-BE14-4E74-815D-CD30D4704390}"/>
    <cellStyle name="Standard 6 2 2 3 3 2 7 4" xfId="14391" xr:uid="{D4EE23D7-787F-4CB6-8F35-E712DDED5AB6}"/>
    <cellStyle name="Standard 6 2 2 3 3 2 8" xfId="2434" xr:uid="{00000000-0005-0000-0000-000089090000}"/>
    <cellStyle name="Standard 6 2 2 3 3 2 8 2" xfId="2435" xr:uid="{00000000-0005-0000-0000-00008A090000}"/>
    <cellStyle name="Standard 6 2 2 3 3 2 8 2 2" xfId="14396" xr:uid="{42263202-9E9A-4B37-B70D-81A07A794E25}"/>
    <cellStyle name="Standard 6 2 2 3 3 2 8 3" xfId="14395" xr:uid="{D59EDFA2-4F9A-4BEF-A178-52398D9B2841}"/>
    <cellStyle name="Standard 6 2 2 3 3 2 9" xfId="2436" xr:uid="{00000000-0005-0000-0000-00008B090000}"/>
    <cellStyle name="Standard 6 2 2 3 3 2 9 2" xfId="14397" xr:uid="{00FED4EF-3065-4D60-B96B-25386057244C}"/>
    <cellStyle name="Standard 6 2 2 3 3 3" xfId="2437" xr:uid="{00000000-0005-0000-0000-00008C090000}"/>
    <cellStyle name="Standard 6 2 2 3 3 3 2" xfId="2438" xr:uid="{00000000-0005-0000-0000-00008D090000}"/>
    <cellStyle name="Standard 6 2 2 3 3 3 2 2" xfId="2439" xr:uid="{00000000-0005-0000-0000-00008E090000}"/>
    <cellStyle name="Standard 6 2 2 3 3 3 2 2 2" xfId="14400" xr:uid="{E7CE4568-CFE0-4E74-9CDE-2EAE866A275D}"/>
    <cellStyle name="Standard 6 2 2 3 3 3 2 3" xfId="14399" xr:uid="{62432939-D541-419B-8BA8-A28606421918}"/>
    <cellStyle name="Standard 6 2 2 3 3 3 3" xfId="2440" xr:uid="{00000000-0005-0000-0000-00008F090000}"/>
    <cellStyle name="Standard 6 2 2 3 3 3 3 2" xfId="14401" xr:uid="{4F58CA2D-6B71-40F2-8FCF-8958C1614F3E}"/>
    <cellStyle name="Standard 6 2 2 3 3 3 4" xfId="14398" xr:uid="{F2ADC115-BAA1-4E5E-A9DC-A928C1CED241}"/>
    <cellStyle name="Standard 6 2 2 3 3 4" xfId="2441" xr:uid="{00000000-0005-0000-0000-000090090000}"/>
    <cellStyle name="Standard 6 2 2 3 3 4 2" xfId="2442" xr:uid="{00000000-0005-0000-0000-000091090000}"/>
    <cellStyle name="Standard 6 2 2 3 3 4 2 2" xfId="2443" xr:uid="{00000000-0005-0000-0000-000092090000}"/>
    <cellStyle name="Standard 6 2 2 3 3 4 2 2 2" xfId="14404" xr:uid="{FD85F125-E5DB-405E-9E2A-B89480A79B3A}"/>
    <cellStyle name="Standard 6 2 2 3 3 4 2 3" xfId="14403" xr:uid="{A3485CD5-AE9B-4577-A54A-F73BEB0CA671}"/>
    <cellStyle name="Standard 6 2 2 3 3 4 3" xfId="2444" xr:uid="{00000000-0005-0000-0000-000093090000}"/>
    <cellStyle name="Standard 6 2 2 3 3 4 3 2" xfId="14405" xr:uid="{A5001B1F-3297-4BE2-ABB9-52742C7897D0}"/>
    <cellStyle name="Standard 6 2 2 3 3 4 4" xfId="14402" xr:uid="{2C5536A8-5514-49DB-B4C0-6A1B05593B8F}"/>
    <cellStyle name="Standard 6 2 2 3 3 5" xfId="2445" xr:uid="{00000000-0005-0000-0000-000094090000}"/>
    <cellStyle name="Standard 6 2 2 3 3 5 2" xfId="2446" xr:uid="{00000000-0005-0000-0000-000095090000}"/>
    <cellStyle name="Standard 6 2 2 3 3 5 2 2" xfId="2447" xr:uid="{00000000-0005-0000-0000-000096090000}"/>
    <cellStyle name="Standard 6 2 2 3 3 5 2 2 2" xfId="14408" xr:uid="{12757E62-06FC-4441-82CD-9BB43C947A88}"/>
    <cellStyle name="Standard 6 2 2 3 3 5 2 3" xfId="14407" xr:uid="{B0266EC4-21FC-4DF8-A4D6-62899C5D67AA}"/>
    <cellStyle name="Standard 6 2 2 3 3 5 3" xfId="2448" xr:uid="{00000000-0005-0000-0000-000097090000}"/>
    <cellStyle name="Standard 6 2 2 3 3 5 3 2" xfId="14409" xr:uid="{44DA8996-3F9D-4B41-926F-F8EF8995468E}"/>
    <cellStyle name="Standard 6 2 2 3 3 5 4" xfId="14406" xr:uid="{4B90C32A-A66E-4F0D-BCF6-EF543887A208}"/>
    <cellStyle name="Standard 6 2 2 3 3 6" xfId="2449" xr:uid="{00000000-0005-0000-0000-000098090000}"/>
    <cellStyle name="Standard 6 2 2 3 3 6 2" xfId="2450" xr:uid="{00000000-0005-0000-0000-000099090000}"/>
    <cellStyle name="Standard 6 2 2 3 3 6 2 2" xfId="2451" xr:uid="{00000000-0005-0000-0000-00009A090000}"/>
    <cellStyle name="Standard 6 2 2 3 3 6 2 2 2" xfId="14412" xr:uid="{D33DAC3C-71C7-45E1-8511-8A689AA856A3}"/>
    <cellStyle name="Standard 6 2 2 3 3 6 2 3" xfId="14411" xr:uid="{0A839E60-B94C-440F-B992-283E6629F1D4}"/>
    <cellStyle name="Standard 6 2 2 3 3 6 3" xfId="2452" xr:uid="{00000000-0005-0000-0000-00009B090000}"/>
    <cellStyle name="Standard 6 2 2 3 3 6 3 2" xfId="14413" xr:uid="{1D0031D6-3429-4723-B3E0-5F0AD3B8EB68}"/>
    <cellStyle name="Standard 6 2 2 3 3 6 4" xfId="14410" xr:uid="{F424ECAB-AC35-4A1B-92EB-C0903E6FC171}"/>
    <cellStyle name="Standard 6 2 2 3 3 7" xfId="2453" xr:uid="{00000000-0005-0000-0000-00009C090000}"/>
    <cellStyle name="Standard 6 2 2 3 3 7 2" xfId="2454" xr:uid="{00000000-0005-0000-0000-00009D090000}"/>
    <cellStyle name="Standard 6 2 2 3 3 7 2 2" xfId="2455" xr:uid="{00000000-0005-0000-0000-00009E090000}"/>
    <cellStyle name="Standard 6 2 2 3 3 7 2 2 2" xfId="14416" xr:uid="{C8E253E3-AC1B-47FE-8374-DDB119A64983}"/>
    <cellStyle name="Standard 6 2 2 3 3 7 2 3" xfId="14415" xr:uid="{F214E65E-B50A-405F-A1DF-23020F7654FB}"/>
    <cellStyle name="Standard 6 2 2 3 3 7 3" xfId="2456" xr:uid="{00000000-0005-0000-0000-00009F090000}"/>
    <cellStyle name="Standard 6 2 2 3 3 7 3 2" xfId="14417" xr:uid="{C2346ABE-5795-4C0F-86AD-9BD1ABEB530C}"/>
    <cellStyle name="Standard 6 2 2 3 3 7 4" xfId="14414" xr:uid="{A2E4839F-4EAC-4C24-B15B-5D632D587D4E}"/>
    <cellStyle name="Standard 6 2 2 3 3 8" xfId="2457" xr:uid="{00000000-0005-0000-0000-0000A0090000}"/>
    <cellStyle name="Standard 6 2 2 3 3 8 2" xfId="2458" xr:uid="{00000000-0005-0000-0000-0000A1090000}"/>
    <cellStyle name="Standard 6 2 2 3 3 8 2 2" xfId="2459" xr:uid="{00000000-0005-0000-0000-0000A2090000}"/>
    <cellStyle name="Standard 6 2 2 3 3 8 2 2 2" xfId="14420" xr:uid="{2F84544B-F691-4379-BD34-2C38CAA03F3E}"/>
    <cellStyle name="Standard 6 2 2 3 3 8 2 3" xfId="14419" xr:uid="{C17DD22C-34C7-4470-9B1C-85F2A881C141}"/>
    <cellStyle name="Standard 6 2 2 3 3 8 3" xfId="2460" xr:uid="{00000000-0005-0000-0000-0000A3090000}"/>
    <cellStyle name="Standard 6 2 2 3 3 8 3 2" xfId="14421" xr:uid="{C8A076CD-2EAE-4615-B1BB-2F412C90F5A9}"/>
    <cellStyle name="Standard 6 2 2 3 3 8 4" xfId="14418" xr:uid="{12D53316-7253-4224-AF15-944BF60C82E7}"/>
    <cellStyle name="Standard 6 2 2 3 3 9" xfId="2461" xr:uid="{00000000-0005-0000-0000-0000A4090000}"/>
    <cellStyle name="Standard 6 2 2 3 3 9 2" xfId="2462" xr:uid="{00000000-0005-0000-0000-0000A5090000}"/>
    <cellStyle name="Standard 6 2 2 3 3 9 2 2" xfId="14423" xr:uid="{B3B76E6A-8CBE-4E5A-9F8D-9D517DE826F7}"/>
    <cellStyle name="Standard 6 2 2 3 3 9 3" xfId="14422" xr:uid="{F21F16FB-51E9-4C4B-AB75-20BC7E39ECD9}"/>
    <cellStyle name="Standard 6 2 2 3 4" xfId="2463" xr:uid="{00000000-0005-0000-0000-0000A6090000}"/>
    <cellStyle name="Standard 6 2 2 3 4 10" xfId="2464" xr:uid="{00000000-0005-0000-0000-0000A7090000}"/>
    <cellStyle name="Standard 6 2 2 3 4 10 2" xfId="14425" xr:uid="{BFD498D2-B516-4E52-A606-8F2254CE582C}"/>
    <cellStyle name="Standard 6 2 2 3 4 11" xfId="14424" xr:uid="{2C61C542-0D5B-4867-B21D-C69D4E06C325}"/>
    <cellStyle name="Standard 6 2 2 3 4 2" xfId="2465" xr:uid="{00000000-0005-0000-0000-0000A8090000}"/>
    <cellStyle name="Standard 6 2 2 3 4 2 10" xfId="14426" xr:uid="{7F833E5B-304C-4F84-9E12-1BDB12E5CC5D}"/>
    <cellStyle name="Standard 6 2 2 3 4 2 2" xfId="2466" xr:uid="{00000000-0005-0000-0000-0000A9090000}"/>
    <cellStyle name="Standard 6 2 2 3 4 2 2 2" xfId="2467" xr:uid="{00000000-0005-0000-0000-0000AA090000}"/>
    <cellStyle name="Standard 6 2 2 3 4 2 2 2 2" xfId="2468" xr:uid="{00000000-0005-0000-0000-0000AB090000}"/>
    <cellStyle name="Standard 6 2 2 3 4 2 2 2 2 2" xfId="14429" xr:uid="{2C80B845-4600-4B9E-ADD0-30574713D707}"/>
    <cellStyle name="Standard 6 2 2 3 4 2 2 2 3" xfId="14428" xr:uid="{C0CC60C3-F357-47AB-ACE5-B0EB22A0BCDD}"/>
    <cellStyle name="Standard 6 2 2 3 4 2 2 3" xfId="2469" xr:uid="{00000000-0005-0000-0000-0000AC090000}"/>
    <cellStyle name="Standard 6 2 2 3 4 2 2 3 2" xfId="14430" xr:uid="{D47F1A47-631D-47E1-85F1-EDAA3D203AC6}"/>
    <cellStyle name="Standard 6 2 2 3 4 2 2 4" xfId="14427" xr:uid="{761D50E8-031B-4553-978A-96C114558F33}"/>
    <cellStyle name="Standard 6 2 2 3 4 2 3" xfId="2470" xr:uid="{00000000-0005-0000-0000-0000AD090000}"/>
    <cellStyle name="Standard 6 2 2 3 4 2 3 2" xfId="2471" xr:uid="{00000000-0005-0000-0000-0000AE090000}"/>
    <cellStyle name="Standard 6 2 2 3 4 2 3 2 2" xfId="2472" xr:uid="{00000000-0005-0000-0000-0000AF090000}"/>
    <cellStyle name="Standard 6 2 2 3 4 2 3 2 2 2" xfId="14433" xr:uid="{ABC78C4B-E30C-4729-8EFD-AB6D2B64DEE6}"/>
    <cellStyle name="Standard 6 2 2 3 4 2 3 2 3" xfId="14432" xr:uid="{26FDCD1C-87B3-4244-B9AA-F8D5E43494F3}"/>
    <cellStyle name="Standard 6 2 2 3 4 2 3 3" xfId="2473" xr:uid="{00000000-0005-0000-0000-0000B0090000}"/>
    <cellStyle name="Standard 6 2 2 3 4 2 3 3 2" xfId="14434" xr:uid="{BAA81CD4-0611-405C-81D9-A0003A46315B}"/>
    <cellStyle name="Standard 6 2 2 3 4 2 3 4" xfId="14431" xr:uid="{214BC695-0EE7-4A31-BE3B-3AD7F5674337}"/>
    <cellStyle name="Standard 6 2 2 3 4 2 4" xfId="2474" xr:uid="{00000000-0005-0000-0000-0000B1090000}"/>
    <cellStyle name="Standard 6 2 2 3 4 2 4 2" xfId="2475" xr:uid="{00000000-0005-0000-0000-0000B2090000}"/>
    <cellStyle name="Standard 6 2 2 3 4 2 4 2 2" xfId="2476" xr:uid="{00000000-0005-0000-0000-0000B3090000}"/>
    <cellStyle name="Standard 6 2 2 3 4 2 4 2 2 2" xfId="14437" xr:uid="{9CD5E615-8943-427A-9FAC-95C9F11E10EF}"/>
    <cellStyle name="Standard 6 2 2 3 4 2 4 2 3" xfId="14436" xr:uid="{BAD996F9-A231-4DE9-BFB4-27749AEBDA3D}"/>
    <cellStyle name="Standard 6 2 2 3 4 2 4 3" xfId="2477" xr:uid="{00000000-0005-0000-0000-0000B4090000}"/>
    <cellStyle name="Standard 6 2 2 3 4 2 4 3 2" xfId="14438" xr:uid="{40699208-CE9E-42CB-9A75-3A51E81B7CD3}"/>
    <cellStyle name="Standard 6 2 2 3 4 2 4 4" xfId="14435" xr:uid="{15B09C58-0211-4F9B-9E85-557C0A97486D}"/>
    <cellStyle name="Standard 6 2 2 3 4 2 5" xfId="2478" xr:uid="{00000000-0005-0000-0000-0000B5090000}"/>
    <cellStyle name="Standard 6 2 2 3 4 2 5 2" xfId="2479" xr:uid="{00000000-0005-0000-0000-0000B6090000}"/>
    <cellStyle name="Standard 6 2 2 3 4 2 5 2 2" xfId="2480" xr:uid="{00000000-0005-0000-0000-0000B7090000}"/>
    <cellStyle name="Standard 6 2 2 3 4 2 5 2 2 2" xfId="14441" xr:uid="{8AEAA0F4-36C5-4293-B1B9-572617CBFA2D}"/>
    <cellStyle name="Standard 6 2 2 3 4 2 5 2 3" xfId="14440" xr:uid="{B11AF3CE-870E-45CA-9935-FF813E0A88C8}"/>
    <cellStyle name="Standard 6 2 2 3 4 2 5 3" xfId="2481" xr:uid="{00000000-0005-0000-0000-0000B8090000}"/>
    <cellStyle name="Standard 6 2 2 3 4 2 5 3 2" xfId="14442" xr:uid="{4E0AAA56-79B3-4BD8-96AB-88A41126C04E}"/>
    <cellStyle name="Standard 6 2 2 3 4 2 5 4" xfId="14439" xr:uid="{F197B8E7-6305-4C44-96B8-056D65682D0D}"/>
    <cellStyle name="Standard 6 2 2 3 4 2 6" xfId="2482" xr:uid="{00000000-0005-0000-0000-0000B9090000}"/>
    <cellStyle name="Standard 6 2 2 3 4 2 6 2" xfId="2483" xr:uid="{00000000-0005-0000-0000-0000BA090000}"/>
    <cellStyle name="Standard 6 2 2 3 4 2 6 2 2" xfId="2484" xr:uid="{00000000-0005-0000-0000-0000BB090000}"/>
    <cellStyle name="Standard 6 2 2 3 4 2 6 2 2 2" xfId="14445" xr:uid="{697946C2-DEA7-474D-A8C5-53352190D4FE}"/>
    <cellStyle name="Standard 6 2 2 3 4 2 6 2 3" xfId="14444" xr:uid="{84EC9386-D13E-46DA-80A9-052E17B0F97C}"/>
    <cellStyle name="Standard 6 2 2 3 4 2 6 3" xfId="2485" xr:uid="{00000000-0005-0000-0000-0000BC090000}"/>
    <cellStyle name="Standard 6 2 2 3 4 2 6 3 2" xfId="14446" xr:uid="{5DFD3072-E8C6-44DD-B868-13DA79F0371D}"/>
    <cellStyle name="Standard 6 2 2 3 4 2 6 4" xfId="14443" xr:uid="{811235AA-B74A-4E96-9DB4-42E10860399A}"/>
    <cellStyle name="Standard 6 2 2 3 4 2 7" xfId="2486" xr:uid="{00000000-0005-0000-0000-0000BD090000}"/>
    <cellStyle name="Standard 6 2 2 3 4 2 7 2" xfId="2487" xr:uid="{00000000-0005-0000-0000-0000BE090000}"/>
    <cellStyle name="Standard 6 2 2 3 4 2 7 2 2" xfId="2488" xr:uid="{00000000-0005-0000-0000-0000BF090000}"/>
    <cellStyle name="Standard 6 2 2 3 4 2 7 2 2 2" xfId="14449" xr:uid="{B8F076C7-7A58-47C6-B274-728B70EF467D}"/>
    <cellStyle name="Standard 6 2 2 3 4 2 7 2 3" xfId="14448" xr:uid="{10C6187C-9285-4EA9-AA06-9790CF528F69}"/>
    <cellStyle name="Standard 6 2 2 3 4 2 7 3" xfId="2489" xr:uid="{00000000-0005-0000-0000-0000C0090000}"/>
    <cellStyle name="Standard 6 2 2 3 4 2 7 3 2" xfId="14450" xr:uid="{86212D78-3B14-4509-AF9E-FB32E9201A33}"/>
    <cellStyle name="Standard 6 2 2 3 4 2 7 4" xfId="14447" xr:uid="{CEEE4F75-8E30-4D9E-B9CF-A65887F53AED}"/>
    <cellStyle name="Standard 6 2 2 3 4 2 8" xfId="2490" xr:uid="{00000000-0005-0000-0000-0000C1090000}"/>
    <cellStyle name="Standard 6 2 2 3 4 2 8 2" xfId="2491" xr:uid="{00000000-0005-0000-0000-0000C2090000}"/>
    <cellStyle name="Standard 6 2 2 3 4 2 8 2 2" xfId="14452" xr:uid="{8CD78EB6-90A4-4D3F-A1B8-BB65374E4937}"/>
    <cellStyle name="Standard 6 2 2 3 4 2 8 3" xfId="14451" xr:uid="{EF0EABBF-108E-4639-B60F-51A8ED90E6CA}"/>
    <cellStyle name="Standard 6 2 2 3 4 2 9" xfId="2492" xr:uid="{00000000-0005-0000-0000-0000C3090000}"/>
    <cellStyle name="Standard 6 2 2 3 4 2 9 2" xfId="14453" xr:uid="{758316DC-A4F6-40B2-875E-9CD08295DAE8}"/>
    <cellStyle name="Standard 6 2 2 3 4 3" xfId="2493" xr:uid="{00000000-0005-0000-0000-0000C4090000}"/>
    <cellStyle name="Standard 6 2 2 3 4 3 2" xfId="2494" xr:uid="{00000000-0005-0000-0000-0000C5090000}"/>
    <cellStyle name="Standard 6 2 2 3 4 3 2 2" xfId="2495" xr:uid="{00000000-0005-0000-0000-0000C6090000}"/>
    <cellStyle name="Standard 6 2 2 3 4 3 2 2 2" xfId="14456" xr:uid="{12DFD711-13C7-4AA5-9AD4-5408DA2697A9}"/>
    <cellStyle name="Standard 6 2 2 3 4 3 2 3" xfId="14455" xr:uid="{08482D42-56CA-4996-A8B2-60568209CD9F}"/>
    <cellStyle name="Standard 6 2 2 3 4 3 3" xfId="2496" xr:uid="{00000000-0005-0000-0000-0000C7090000}"/>
    <cellStyle name="Standard 6 2 2 3 4 3 3 2" xfId="14457" xr:uid="{F849150D-120A-4AF6-B9EB-BF8D1D2B447B}"/>
    <cellStyle name="Standard 6 2 2 3 4 3 4" xfId="14454" xr:uid="{CC39260C-DC94-435B-8A4E-A1F7527EC99A}"/>
    <cellStyle name="Standard 6 2 2 3 4 4" xfId="2497" xr:uid="{00000000-0005-0000-0000-0000C8090000}"/>
    <cellStyle name="Standard 6 2 2 3 4 4 2" xfId="2498" xr:uid="{00000000-0005-0000-0000-0000C9090000}"/>
    <cellStyle name="Standard 6 2 2 3 4 4 2 2" xfId="2499" xr:uid="{00000000-0005-0000-0000-0000CA090000}"/>
    <cellStyle name="Standard 6 2 2 3 4 4 2 2 2" xfId="14460" xr:uid="{F0C79DB7-1931-422E-9F29-6B00EF6E162B}"/>
    <cellStyle name="Standard 6 2 2 3 4 4 2 3" xfId="14459" xr:uid="{05C8E8BB-167A-4DE3-81F7-365265971680}"/>
    <cellStyle name="Standard 6 2 2 3 4 4 3" xfId="2500" xr:uid="{00000000-0005-0000-0000-0000CB090000}"/>
    <cellStyle name="Standard 6 2 2 3 4 4 3 2" xfId="14461" xr:uid="{9A581F64-B4D3-4F7E-9CA3-636657200D12}"/>
    <cellStyle name="Standard 6 2 2 3 4 4 4" xfId="14458" xr:uid="{B3D7F7AE-4557-4717-AD3B-264775A21D6B}"/>
    <cellStyle name="Standard 6 2 2 3 4 5" xfId="2501" xr:uid="{00000000-0005-0000-0000-0000CC090000}"/>
    <cellStyle name="Standard 6 2 2 3 4 5 2" xfId="2502" xr:uid="{00000000-0005-0000-0000-0000CD090000}"/>
    <cellStyle name="Standard 6 2 2 3 4 5 2 2" xfId="2503" xr:uid="{00000000-0005-0000-0000-0000CE090000}"/>
    <cellStyle name="Standard 6 2 2 3 4 5 2 2 2" xfId="14464" xr:uid="{EF9EBCA7-7E7F-464F-9929-A4B43FF353AC}"/>
    <cellStyle name="Standard 6 2 2 3 4 5 2 3" xfId="14463" xr:uid="{F11246DF-04E9-4277-9020-D6F2B8BDB5C8}"/>
    <cellStyle name="Standard 6 2 2 3 4 5 3" xfId="2504" xr:uid="{00000000-0005-0000-0000-0000CF090000}"/>
    <cellStyle name="Standard 6 2 2 3 4 5 3 2" xfId="14465" xr:uid="{87948776-B8EA-4F8C-9C10-CB59C9D51457}"/>
    <cellStyle name="Standard 6 2 2 3 4 5 4" xfId="14462" xr:uid="{12895D67-7DE1-46BF-AD5F-B3152251BAC4}"/>
    <cellStyle name="Standard 6 2 2 3 4 6" xfId="2505" xr:uid="{00000000-0005-0000-0000-0000D0090000}"/>
    <cellStyle name="Standard 6 2 2 3 4 6 2" xfId="2506" xr:uid="{00000000-0005-0000-0000-0000D1090000}"/>
    <cellStyle name="Standard 6 2 2 3 4 6 2 2" xfId="2507" xr:uid="{00000000-0005-0000-0000-0000D2090000}"/>
    <cellStyle name="Standard 6 2 2 3 4 6 2 2 2" xfId="14468" xr:uid="{003D20FA-3EF3-4456-9190-13C7E8D11BBD}"/>
    <cellStyle name="Standard 6 2 2 3 4 6 2 3" xfId="14467" xr:uid="{062509FA-B37D-4C98-9E7A-64A689E78626}"/>
    <cellStyle name="Standard 6 2 2 3 4 6 3" xfId="2508" xr:uid="{00000000-0005-0000-0000-0000D3090000}"/>
    <cellStyle name="Standard 6 2 2 3 4 6 3 2" xfId="14469" xr:uid="{6592248D-8A47-4C22-BE02-8F81DC7B79AB}"/>
    <cellStyle name="Standard 6 2 2 3 4 6 4" xfId="14466" xr:uid="{D840C616-413F-4879-97D4-2E02563F1E74}"/>
    <cellStyle name="Standard 6 2 2 3 4 7" xfId="2509" xr:uid="{00000000-0005-0000-0000-0000D4090000}"/>
    <cellStyle name="Standard 6 2 2 3 4 7 2" xfId="2510" xr:uid="{00000000-0005-0000-0000-0000D5090000}"/>
    <cellStyle name="Standard 6 2 2 3 4 7 2 2" xfId="2511" xr:uid="{00000000-0005-0000-0000-0000D6090000}"/>
    <cellStyle name="Standard 6 2 2 3 4 7 2 2 2" xfId="14472" xr:uid="{EBE8DAB6-FF43-437C-A3A3-B06F22EFFDDD}"/>
    <cellStyle name="Standard 6 2 2 3 4 7 2 3" xfId="14471" xr:uid="{A6B84DC8-1B04-4EEF-BA62-74C9ED76D033}"/>
    <cellStyle name="Standard 6 2 2 3 4 7 3" xfId="2512" xr:uid="{00000000-0005-0000-0000-0000D7090000}"/>
    <cellStyle name="Standard 6 2 2 3 4 7 3 2" xfId="14473" xr:uid="{0F8F3005-4A44-4B46-A498-B2FD3F665994}"/>
    <cellStyle name="Standard 6 2 2 3 4 7 4" xfId="14470" xr:uid="{138A2CAB-2821-4959-AF79-EE3729DE086D}"/>
    <cellStyle name="Standard 6 2 2 3 4 8" xfId="2513" xr:uid="{00000000-0005-0000-0000-0000D8090000}"/>
    <cellStyle name="Standard 6 2 2 3 4 8 2" xfId="2514" xr:uid="{00000000-0005-0000-0000-0000D9090000}"/>
    <cellStyle name="Standard 6 2 2 3 4 8 2 2" xfId="2515" xr:uid="{00000000-0005-0000-0000-0000DA090000}"/>
    <cellStyle name="Standard 6 2 2 3 4 8 2 2 2" xfId="14476" xr:uid="{3944CEC7-9B94-4F9D-BC16-7BA0329A31E1}"/>
    <cellStyle name="Standard 6 2 2 3 4 8 2 3" xfId="14475" xr:uid="{B3C62727-E897-46C0-B9C3-A0057A987858}"/>
    <cellStyle name="Standard 6 2 2 3 4 8 3" xfId="2516" xr:uid="{00000000-0005-0000-0000-0000DB090000}"/>
    <cellStyle name="Standard 6 2 2 3 4 8 3 2" xfId="14477" xr:uid="{4E4C2100-F757-48D8-A991-F0B94BB55575}"/>
    <cellStyle name="Standard 6 2 2 3 4 8 4" xfId="14474" xr:uid="{1EF540EF-8FCF-4581-B127-14E23ED05524}"/>
    <cellStyle name="Standard 6 2 2 3 4 9" xfId="2517" xr:uid="{00000000-0005-0000-0000-0000DC090000}"/>
    <cellStyle name="Standard 6 2 2 3 4 9 2" xfId="2518" xr:uid="{00000000-0005-0000-0000-0000DD090000}"/>
    <cellStyle name="Standard 6 2 2 3 4 9 2 2" xfId="14479" xr:uid="{767F5D71-C0ED-4D8C-9D6A-07B0E55B9B6F}"/>
    <cellStyle name="Standard 6 2 2 3 4 9 3" xfId="14478" xr:uid="{580FAF1C-E8D6-4E42-83BC-B52006D39CD5}"/>
    <cellStyle name="Standard 6 2 2 3 5" xfId="2519" xr:uid="{00000000-0005-0000-0000-0000DE090000}"/>
    <cellStyle name="Standard 6 2 2 3 5 10" xfId="2520" xr:uid="{00000000-0005-0000-0000-0000DF090000}"/>
    <cellStyle name="Standard 6 2 2 3 5 10 2" xfId="14481" xr:uid="{ABFBE9BF-6BA2-4A77-87F2-6CAEEABE3354}"/>
    <cellStyle name="Standard 6 2 2 3 5 11" xfId="14480" xr:uid="{41EC2F09-4DDD-421A-BEE2-9E8F1D11E7DC}"/>
    <cellStyle name="Standard 6 2 2 3 5 2" xfId="2521" xr:uid="{00000000-0005-0000-0000-0000E0090000}"/>
    <cellStyle name="Standard 6 2 2 3 5 2 10" xfId="14482" xr:uid="{DE7F717E-D166-45AD-A215-4089BFAE0C4C}"/>
    <cellStyle name="Standard 6 2 2 3 5 2 2" xfId="2522" xr:uid="{00000000-0005-0000-0000-0000E1090000}"/>
    <cellStyle name="Standard 6 2 2 3 5 2 2 2" xfId="2523" xr:uid="{00000000-0005-0000-0000-0000E2090000}"/>
    <cellStyle name="Standard 6 2 2 3 5 2 2 2 2" xfId="2524" xr:uid="{00000000-0005-0000-0000-0000E3090000}"/>
    <cellStyle name="Standard 6 2 2 3 5 2 2 2 2 2" xfId="14485" xr:uid="{8A40A6AD-421B-422F-A457-44977090AFEE}"/>
    <cellStyle name="Standard 6 2 2 3 5 2 2 2 3" xfId="14484" xr:uid="{A9240D71-15E0-4F43-9107-A66D112F7C1B}"/>
    <cellStyle name="Standard 6 2 2 3 5 2 2 3" xfId="2525" xr:uid="{00000000-0005-0000-0000-0000E4090000}"/>
    <cellStyle name="Standard 6 2 2 3 5 2 2 3 2" xfId="14486" xr:uid="{1147DD6D-5F33-47A7-B84C-ABDB521A1E6F}"/>
    <cellStyle name="Standard 6 2 2 3 5 2 2 4" xfId="14483" xr:uid="{D603B19B-9C64-4D14-8397-4B8CA268F183}"/>
    <cellStyle name="Standard 6 2 2 3 5 2 3" xfId="2526" xr:uid="{00000000-0005-0000-0000-0000E5090000}"/>
    <cellStyle name="Standard 6 2 2 3 5 2 3 2" xfId="2527" xr:uid="{00000000-0005-0000-0000-0000E6090000}"/>
    <cellStyle name="Standard 6 2 2 3 5 2 3 2 2" xfId="2528" xr:uid="{00000000-0005-0000-0000-0000E7090000}"/>
    <cellStyle name="Standard 6 2 2 3 5 2 3 2 2 2" xfId="14489" xr:uid="{E7D20C2A-A83A-4CD0-9DEE-862BA7401F28}"/>
    <cellStyle name="Standard 6 2 2 3 5 2 3 2 3" xfId="14488" xr:uid="{7AD72950-527A-4DB4-AA5D-5099C21ABB63}"/>
    <cellStyle name="Standard 6 2 2 3 5 2 3 3" xfId="2529" xr:uid="{00000000-0005-0000-0000-0000E8090000}"/>
    <cellStyle name="Standard 6 2 2 3 5 2 3 3 2" xfId="14490" xr:uid="{4A2D3229-D645-4349-8160-CA1169A77F1E}"/>
    <cellStyle name="Standard 6 2 2 3 5 2 3 4" xfId="14487" xr:uid="{4550A22C-F23F-4D6D-B82A-DA29120EC7A7}"/>
    <cellStyle name="Standard 6 2 2 3 5 2 4" xfId="2530" xr:uid="{00000000-0005-0000-0000-0000E9090000}"/>
    <cellStyle name="Standard 6 2 2 3 5 2 4 2" xfId="2531" xr:uid="{00000000-0005-0000-0000-0000EA090000}"/>
    <cellStyle name="Standard 6 2 2 3 5 2 4 2 2" xfId="2532" xr:uid="{00000000-0005-0000-0000-0000EB090000}"/>
    <cellStyle name="Standard 6 2 2 3 5 2 4 2 2 2" xfId="14493" xr:uid="{90512967-B804-45EE-B26D-DDB5A627D8C7}"/>
    <cellStyle name="Standard 6 2 2 3 5 2 4 2 3" xfId="14492" xr:uid="{1BBBDEA4-EA36-4E54-BB85-089DEA3A58AF}"/>
    <cellStyle name="Standard 6 2 2 3 5 2 4 3" xfId="2533" xr:uid="{00000000-0005-0000-0000-0000EC090000}"/>
    <cellStyle name="Standard 6 2 2 3 5 2 4 3 2" xfId="14494" xr:uid="{169DCE2A-51A2-4F39-B447-0F2BF9D67333}"/>
    <cellStyle name="Standard 6 2 2 3 5 2 4 4" xfId="14491" xr:uid="{F525E192-16F8-44D4-8062-A005D47C5A66}"/>
    <cellStyle name="Standard 6 2 2 3 5 2 5" xfId="2534" xr:uid="{00000000-0005-0000-0000-0000ED090000}"/>
    <cellStyle name="Standard 6 2 2 3 5 2 5 2" xfId="2535" xr:uid="{00000000-0005-0000-0000-0000EE090000}"/>
    <cellStyle name="Standard 6 2 2 3 5 2 5 2 2" xfId="2536" xr:uid="{00000000-0005-0000-0000-0000EF090000}"/>
    <cellStyle name="Standard 6 2 2 3 5 2 5 2 2 2" xfId="14497" xr:uid="{71BC9766-C58E-48D6-BB1C-67FE1AC6E982}"/>
    <cellStyle name="Standard 6 2 2 3 5 2 5 2 3" xfId="14496" xr:uid="{C87EE5F4-F8F2-4A16-AB24-05099076309B}"/>
    <cellStyle name="Standard 6 2 2 3 5 2 5 3" xfId="2537" xr:uid="{00000000-0005-0000-0000-0000F0090000}"/>
    <cellStyle name="Standard 6 2 2 3 5 2 5 3 2" xfId="14498" xr:uid="{ACAC9602-647C-4652-832D-CEC1662F3920}"/>
    <cellStyle name="Standard 6 2 2 3 5 2 5 4" xfId="14495" xr:uid="{CD0D2A62-A0A1-4441-A998-CF9A6C1E4DC9}"/>
    <cellStyle name="Standard 6 2 2 3 5 2 6" xfId="2538" xr:uid="{00000000-0005-0000-0000-0000F1090000}"/>
    <cellStyle name="Standard 6 2 2 3 5 2 6 2" xfId="2539" xr:uid="{00000000-0005-0000-0000-0000F2090000}"/>
    <cellStyle name="Standard 6 2 2 3 5 2 6 2 2" xfId="2540" xr:uid="{00000000-0005-0000-0000-0000F3090000}"/>
    <cellStyle name="Standard 6 2 2 3 5 2 6 2 2 2" xfId="14501" xr:uid="{BFE15AA6-443F-42B6-843E-C81B7981FB40}"/>
    <cellStyle name="Standard 6 2 2 3 5 2 6 2 3" xfId="14500" xr:uid="{4C7EE942-05CC-413D-90B6-3B3344EDECF9}"/>
    <cellStyle name="Standard 6 2 2 3 5 2 6 3" xfId="2541" xr:uid="{00000000-0005-0000-0000-0000F4090000}"/>
    <cellStyle name="Standard 6 2 2 3 5 2 6 3 2" xfId="14502" xr:uid="{CBFB4F59-B64B-4882-82BA-E31078F429ED}"/>
    <cellStyle name="Standard 6 2 2 3 5 2 6 4" xfId="14499" xr:uid="{16F51898-7DD6-462B-B821-8A740E5B2BB4}"/>
    <cellStyle name="Standard 6 2 2 3 5 2 7" xfId="2542" xr:uid="{00000000-0005-0000-0000-0000F5090000}"/>
    <cellStyle name="Standard 6 2 2 3 5 2 7 2" xfId="2543" xr:uid="{00000000-0005-0000-0000-0000F6090000}"/>
    <cellStyle name="Standard 6 2 2 3 5 2 7 2 2" xfId="2544" xr:uid="{00000000-0005-0000-0000-0000F7090000}"/>
    <cellStyle name="Standard 6 2 2 3 5 2 7 2 2 2" xfId="14505" xr:uid="{742F0187-2E36-4E66-B510-9824E6EC2EFC}"/>
    <cellStyle name="Standard 6 2 2 3 5 2 7 2 3" xfId="14504" xr:uid="{240D6EF0-3AD2-4247-B81A-88A5F5965385}"/>
    <cellStyle name="Standard 6 2 2 3 5 2 7 3" xfId="2545" xr:uid="{00000000-0005-0000-0000-0000F8090000}"/>
    <cellStyle name="Standard 6 2 2 3 5 2 7 3 2" xfId="14506" xr:uid="{4174C48B-F8AD-4D3F-926F-068106969F76}"/>
    <cellStyle name="Standard 6 2 2 3 5 2 7 4" xfId="14503" xr:uid="{64057643-F242-40B1-A968-29F8D9DB563F}"/>
    <cellStyle name="Standard 6 2 2 3 5 2 8" xfId="2546" xr:uid="{00000000-0005-0000-0000-0000F9090000}"/>
    <cellStyle name="Standard 6 2 2 3 5 2 8 2" xfId="2547" xr:uid="{00000000-0005-0000-0000-0000FA090000}"/>
    <cellStyle name="Standard 6 2 2 3 5 2 8 2 2" xfId="14508" xr:uid="{D83B5F17-2ADB-45CF-BBDA-5F23F72F8ADE}"/>
    <cellStyle name="Standard 6 2 2 3 5 2 8 3" xfId="14507" xr:uid="{F3DAFE21-325D-4EB3-9FF7-6211108550CE}"/>
    <cellStyle name="Standard 6 2 2 3 5 2 9" xfId="2548" xr:uid="{00000000-0005-0000-0000-0000FB090000}"/>
    <cellStyle name="Standard 6 2 2 3 5 2 9 2" xfId="14509" xr:uid="{392D6700-42A9-4C91-A424-485ED8E07C0A}"/>
    <cellStyle name="Standard 6 2 2 3 5 3" xfId="2549" xr:uid="{00000000-0005-0000-0000-0000FC090000}"/>
    <cellStyle name="Standard 6 2 2 3 5 3 2" xfId="2550" xr:uid="{00000000-0005-0000-0000-0000FD090000}"/>
    <cellStyle name="Standard 6 2 2 3 5 3 2 2" xfId="2551" xr:uid="{00000000-0005-0000-0000-0000FE090000}"/>
    <cellStyle name="Standard 6 2 2 3 5 3 2 2 2" xfId="14512" xr:uid="{4715B06D-9082-4432-BD28-5EA7B59C016B}"/>
    <cellStyle name="Standard 6 2 2 3 5 3 2 3" xfId="14511" xr:uid="{B8837CA1-059C-418F-B02A-F68413630A09}"/>
    <cellStyle name="Standard 6 2 2 3 5 3 3" xfId="2552" xr:uid="{00000000-0005-0000-0000-0000FF090000}"/>
    <cellStyle name="Standard 6 2 2 3 5 3 3 2" xfId="14513" xr:uid="{A65EE1FE-B320-485F-AD01-7DE65CBB59DF}"/>
    <cellStyle name="Standard 6 2 2 3 5 3 4" xfId="14510" xr:uid="{230C4EB1-3D52-467F-8115-FA4B5F78DCC7}"/>
    <cellStyle name="Standard 6 2 2 3 5 4" xfId="2553" xr:uid="{00000000-0005-0000-0000-0000000A0000}"/>
    <cellStyle name="Standard 6 2 2 3 5 4 2" xfId="2554" xr:uid="{00000000-0005-0000-0000-0000010A0000}"/>
    <cellStyle name="Standard 6 2 2 3 5 4 2 2" xfId="2555" xr:uid="{00000000-0005-0000-0000-0000020A0000}"/>
    <cellStyle name="Standard 6 2 2 3 5 4 2 2 2" xfId="14516" xr:uid="{6273AD34-4BBE-4F8E-8B52-1095FCF7F05E}"/>
    <cellStyle name="Standard 6 2 2 3 5 4 2 3" xfId="14515" xr:uid="{985DB946-3BB7-4679-8ACC-BAD301787F49}"/>
    <cellStyle name="Standard 6 2 2 3 5 4 3" xfId="2556" xr:uid="{00000000-0005-0000-0000-0000030A0000}"/>
    <cellStyle name="Standard 6 2 2 3 5 4 3 2" xfId="14517" xr:uid="{3586523D-AAE1-4EEB-8AE9-DC4F24BD211A}"/>
    <cellStyle name="Standard 6 2 2 3 5 4 4" xfId="14514" xr:uid="{4DDC396A-799C-4592-91F5-A1A9128858CA}"/>
    <cellStyle name="Standard 6 2 2 3 5 5" xfId="2557" xr:uid="{00000000-0005-0000-0000-0000040A0000}"/>
    <cellStyle name="Standard 6 2 2 3 5 5 2" xfId="2558" xr:uid="{00000000-0005-0000-0000-0000050A0000}"/>
    <cellStyle name="Standard 6 2 2 3 5 5 2 2" xfId="2559" xr:uid="{00000000-0005-0000-0000-0000060A0000}"/>
    <cellStyle name="Standard 6 2 2 3 5 5 2 2 2" xfId="14520" xr:uid="{964D0FAC-B614-446F-9676-EF8F6D8FC6FA}"/>
    <cellStyle name="Standard 6 2 2 3 5 5 2 3" xfId="14519" xr:uid="{31993ADC-021F-4A5C-A556-B9611F42B097}"/>
    <cellStyle name="Standard 6 2 2 3 5 5 3" xfId="2560" xr:uid="{00000000-0005-0000-0000-0000070A0000}"/>
    <cellStyle name="Standard 6 2 2 3 5 5 3 2" xfId="14521" xr:uid="{CD76D2AC-8E7B-4CB9-9AC3-17E6A45F9E28}"/>
    <cellStyle name="Standard 6 2 2 3 5 5 4" xfId="14518" xr:uid="{27D8C5C4-993B-4AA0-AD76-4578411C0484}"/>
    <cellStyle name="Standard 6 2 2 3 5 6" xfId="2561" xr:uid="{00000000-0005-0000-0000-0000080A0000}"/>
    <cellStyle name="Standard 6 2 2 3 5 6 2" xfId="2562" xr:uid="{00000000-0005-0000-0000-0000090A0000}"/>
    <cellStyle name="Standard 6 2 2 3 5 6 2 2" xfId="2563" xr:uid="{00000000-0005-0000-0000-00000A0A0000}"/>
    <cellStyle name="Standard 6 2 2 3 5 6 2 2 2" xfId="14524" xr:uid="{53F61E3E-4BC9-4091-ADE1-D47559C0DC57}"/>
    <cellStyle name="Standard 6 2 2 3 5 6 2 3" xfId="14523" xr:uid="{3692BA9F-449B-42A2-BCE3-283278FF8994}"/>
    <cellStyle name="Standard 6 2 2 3 5 6 3" xfId="2564" xr:uid="{00000000-0005-0000-0000-00000B0A0000}"/>
    <cellStyle name="Standard 6 2 2 3 5 6 3 2" xfId="14525" xr:uid="{3DB31D81-B16F-4265-856A-B059F48869DC}"/>
    <cellStyle name="Standard 6 2 2 3 5 6 4" xfId="14522" xr:uid="{03190748-6C96-4AA7-8C98-2ACEAAE97277}"/>
    <cellStyle name="Standard 6 2 2 3 5 7" xfId="2565" xr:uid="{00000000-0005-0000-0000-00000C0A0000}"/>
    <cellStyle name="Standard 6 2 2 3 5 7 2" xfId="2566" xr:uid="{00000000-0005-0000-0000-00000D0A0000}"/>
    <cellStyle name="Standard 6 2 2 3 5 7 2 2" xfId="2567" xr:uid="{00000000-0005-0000-0000-00000E0A0000}"/>
    <cellStyle name="Standard 6 2 2 3 5 7 2 2 2" xfId="14528" xr:uid="{DE3492AB-4996-49BA-AF91-BE7DBFFE5F10}"/>
    <cellStyle name="Standard 6 2 2 3 5 7 2 3" xfId="14527" xr:uid="{C45C72AC-76DF-4B20-82DB-68499DDCF450}"/>
    <cellStyle name="Standard 6 2 2 3 5 7 3" xfId="2568" xr:uid="{00000000-0005-0000-0000-00000F0A0000}"/>
    <cellStyle name="Standard 6 2 2 3 5 7 3 2" xfId="14529" xr:uid="{7F45C4DD-4B7C-4DBB-A67D-4AB25C5B61DD}"/>
    <cellStyle name="Standard 6 2 2 3 5 7 4" xfId="14526" xr:uid="{617D3E70-0AD4-48FD-87EB-45149341E4F1}"/>
    <cellStyle name="Standard 6 2 2 3 5 8" xfId="2569" xr:uid="{00000000-0005-0000-0000-0000100A0000}"/>
    <cellStyle name="Standard 6 2 2 3 5 8 2" xfId="2570" xr:uid="{00000000-0005-0000-0000-0000110A0000}"/>
    <cellStyle name="Standard 6 2 2 3 5 8 2 2" xfId="2571" xr:uid="{00000000-0005-0000-0000-0000120A0000}"/>
    <cellStyle name="Standard 6 2 2 3 5 8 2 2 2" xfId="14532" xr:uid="{F81AED7B-09E1-4343-BE3F-DB23CEFF9EFF}"/>
    <cellStyle name="Standard 6 2 2 3 5 8 2 3" xfId="14531" xr:uid="{96B02880-017D-4E1B-8A22-7F87D448CA01}"/>
    <cellStyle name="Standard 6 2 2 3 5 8 3" xfId="2572" xr:uid="{00000000-0005-0000-0000-0000130A0000}"/>
    <cellStyle name="Standard 6 2 2 3 5 8 3 2" xfId="14533" xr:uid="{CB97D64D-0A26-4E00-BE0D-8481639028C9}"/>
    <cellStyle name="Standard 6 2 2 3 5 8 4" xfId="14530" xr:uid="{6D1EF431-74AD-4C2C-935B-D43F944022B5}"/>
    <cellStyle name="Standard 6 2 2 3 5 9" xfId="2573" xr:uid="{00000000-0005-0000-0000-0000140A0000}"/>
    <cellStyle name="Standard 6 2 2 3 5 9 2" xfId="2574" xr:uid="{00000000-0005-0000-0000-0000150A0000}"/>
    <cellStyle name="Standard 6 2 2 3 5 9 2 2" xfId="14535" xr:uid="{2415D5B4-C401-4230-82C3-5C05874028E2}"/>
    <cellStyle name="Standard 6 2 2 3 5 9 3" xfId="14534" xr:uid="{824A9AEC-F59F-49A1-A6DF-6AD7761E6B37}"/>
    <cellStyle name="Standard 6 2 2 3 6" xfId="2575" xr:uid="{00000000-0005-0000-0000-0000160A0000}"/>
    <cellStyle name="Standard 6 2 2 3 6 10" xfId="2576" xr:uid="{00000000-0005-0000-0000-0000170A0000}"/>
    <cellStyle name="Standard 6 2 2 3 6 10 2" xfId="14537" xr:uid="{A93A3F81-337D-4E7F-94C5-14ED8235FC52}"/>
    <cellStyle name="Standard 6 2 2 3 6 11" xfId="14536" xr:uid="{595E2272-1477-4B4D-8E6F-D2746DC4925D}"/>
    <cellStyle name="Standard 6 2 2 3 6 2" xfId="2577" xr:uid="{00000000-0005-0000-0000-0000180A0000}"/>
    <cellStyle name="Standard 6 2 2 3 6 2 10" xfId="14538" xr:uid="{DE1589CF-344E-4B38-BAD5-C77C1EBA5D31}"/>
    <cellStyle name="Standard 6 2 2 3 6 2 2" xfId="2578" xr:uid="{00000000-0005-0000-0000-0000190A0000}"/>
    <cellStyle name="Standard 6 2 2 3 6 2 2 2" xfId="2579" xr:uid="{00000000-0005-0000-0000-00001A0A0000}"/>
    <cellStyle name="Standard 6 2 2 3 6 2 2 2 2" xfId="2580" xr:uid="{00000000-0005-0000-0000-00001B0A0000}"/>
    <cellStyle name="Standard 6 2 2 3 6 2 2 2 2 2" xfId="14541" xr:uid="{1F74D62A-91BC-4206-AAA0-908824F3C520}"/>
    <cellStyle name="Standard 6 2 2 3 6 2 2 2 3" xfId="14540" xr:uid="{05A4BDDC-8AC7-40EA-AC62-EE3BCB2BD483}"/>
    <cellStyle name="Standard 6 2 2 3 6 2 2 3" xfId="2581" xr:uid="{00000000-0005-0000-0000-00001C0A0000}"/>
    <cellStyle name="Standard 6 2 2 3 6 2 2 3 2" xfId="14542" xr:uid="{60AA8476-CD0F-4B53-A8D0-CC06CF31FFA8}"/>
    <cellStyle name="Standard 6 2 2 3 6 2 2 4" xfId="14539" xr:uid="{4BC7B5AC-EBEE-42E9-ADDD-B0EC02B073B2}"/>
    <cellStyle name="Standard 6 2 2 3 6 2 3" xfId="2582" xr:uid="{00000000-0005-0000-0000-00001D0A0000}"/>
    <cellStyle name="Standard 6 2 2 3 6 2 3 2" xfId="2583" xr:uid="{00000000-0005-0000-0000-00001E0A0000}"/>
    <cellStyle name="Standard 6 2 2 3 6 2 3 2 2" xfId="2584" xr:uid="{00000000-0005-0000-0000-00001F0A0000}"/>
    <cellStyle name="Standard 6 2 2 3 6 2 3 2 2 2" xfId="14545" xr:uid="{32DDE5C9-94F0-4A2F-A696-E6C91C2D5CAE}"/>
    <cellStyle name="Standard 6 2 2 3 6 2 3 2 3" xfId="14544" xr:uid="{FF6F2636-9605-41F5-9420-187E3A321604}"/>
    <cellStyle name="Standard 6 2 2 3 6 2 3 3" xfId="2585" xr:uid="{00000000-0005-0000-0000-0000200A0000}"/>
    <cellStyle name="Standard 6 2 2 3 6 2 3 3 2" xfId="14546" xr:uid="{89BB4177-D5B8-4923-8805-BB80834CD395}"/>
    <cellStyle name="Standard 6 2 2 3 6 2 3 4" xfId="14543" xr:uid="{E7076411-A21D-42EB-9EC9-29FAADD9AFB4}"/>
    <cellStyle name="Standard 6 2 2 3 6 2 4" xfId="2586" xr:uid="{00000000-0005-0000-0000-0000210A0000}"/>
    <cellStyle name="Standard 6 2 2 3 6 2 4 2" xfId="2587" xr:uid="{00000000-0005-0000-0000-0000220A0000}"/>
    <cellStyle name="Standard 6 2 2 3 6 2 4 2 2" xfId="2588" xr:uid="{00000000-0005-0000-0000-0000230A0000}"/>
    <cellStyle name="Standard 6 2 2 3 6 2 4 2 2 2" xfId="14549" xr:uid="{39432410-A71B-4432-9009-3EAF999826DE}"/>
    <cellStyle name="Standard 6 2 2 3 6 2 4 2 3" xfId="14548" xr:uid="{B2824CC0-0609-4B00-85DA-CA3D8D04B162}"/>
    <cellStyle name="Standard 6 2 2 3 6 2 4 3" xfId="2589" xr:uid="{00000000-0005-0000-0000-0000240A0000}"/>
    <cellStyle name="Standard 6 2 2 3 6 2 4 3 2" xfId="14550" xr:uid="{E9F458CC-3993-4D24-A198-51CF7CEA88C7}"/>
    <cellStyle name="Standard 6 2 2 3 6 2 4 4" xfId="14547" xr:uid="{1E593A63-D661-4C79-92A6-E981ACD7C6B4}"/>
    <cellStyle name="Standard 6 2 2 3 6 2 5" xfId="2590" xr:uid="{00000000-0005-0000-0000-0000250A0000}"/>
    <cellStyle name="Standard 6 2 2 3 6 2 5 2" xfId="2591" xr:uid="{00000000-0005-0000-0000-0000260A0000}"/>
    <cellStyle name="Standard 6 2 2 3 6 2 5 2 2" xfId="2592" xr:uid="{00000000-0005-0000-0000-0000270A0000}"/>
    <cellStyle name="Standard 6 2 2 3 6 2 5 2 2 2" xfId="14553" xr:uid="{775A1DC0-27C5-4D89-9C0C-B7EC09727501}"/>
    <cellStyle name="Standard 6 2 2 3 6 2 5 2 3" xfId="14552" xr:uid="{A5405028-65A4-4CDA-9DB3-4BBFB52C7388}"/>
    <cellStyle name="Standard 6 2 2 3 6 2 5 3" xfId="2593" xr:uid="{00000000-0005-0000-0000-0000280A0000}"/>
    <cellStyle name="Standard 6 2 2 3 6 2 5 3 2" xfId="14554" xr:uid="{12C9F8F7-6AC2-4309-BCE7-4DDE2B95567B}"/>
    <cellStyle name="Standard 6 2 2 3 6 2 5 4" xfId="14551" xr:uid="{7A42FF46-E161-4FE4-9611-B6E2372A8F2D}"/>
    <cellStyle name="Standard 6 2 2 3 6 2 6" xfId="2594" xr:uid="{00000000-0005-0000-0000-0000290A0000}"/>
    <cellStyle name="Standard 6 2 2 3 6 2 6 2" xfId="2595" xr:uid="{00000000-0005-0000-0000-00002A0A0000}"/>
    <cellStyle name="Standard 6 2 2 3 6 2 6 2 2" xfId="2596" xr:uid="{00000000-0005-0000-0000-00002B0A0000}"/>
    <cellStyle name="Standard 6 2 2 3 6 2 6 2 2 2" xfId="14557" xr:uid="{7B232576-15C6-44E1-BF06-52C077E70D4B}"/>
    <cellStyle name="Standard 6 2 2 3 6 2 6 2 3" xfId="14556" xr:uid="{6EC48411-0950-45AE-9DB9-088DD3506999}"/>
    <cellStyle name="Standard 6 2 2 3 6 2 6 3" xfId="2597" xr:uid="{00000000-0005-0000-0000-00002C0A0000}"/>
    <cellStyle name="Standard 6 2 2 3 6 2 6 3 2" xfId="14558" xr:uid="{66512E12-6F6C-420F-AEE5-7E8094CB81FA}"/>
    <cellStyle name="Standard 6 2 2 3 6 2 6 4" xfId="14555" xr:uid="{EAFBEAAD-DFCC-48D5-B4F0-F3CD96E3C8F5}"/>
    <cellStyle name="Standard 6 2 2 3 6 2 7" xfId="2598" xr:uid="{00000000-0005-0000-0000-00002D0A0000}"/>
    <cellStyle name="Standard 6 2 2 3 6 2 7 2" xfId="2599" xr:uid="{00000000-0005-0000-0000-00002E0A0000}"/>
    <cellStyle name="Standard 6 2 2 3 6 2 7 2 2" xfId="2600" xr:uid="{00000000-0005-0000-0000-00002F0A0000}"/>
    <cellStyle name="Standard 6 2 2 3 6 2 7 2 2 2" xfId="14561" xr:uid="{DB56745C-98F2-4F64-97C4-33EE632EF0F9}"/>
    <cellStyle name="Standard 6 2 2 3 6 2 7 2 3" xfId="14560" xr:uid="{A692F168-A481-40A7-9A24-64A0CF285386}"/>
    <cellStyle name="Standard 6 2 2 3 6 2 7 3" xfId="2601" xr:uid="{00000000-0005-0000-0000-0000300A0000}"/>
    <cellStyle name="Standard 6 2 2 3 6 2 7 3 2" xfId="14562" xr:uid="{4D9F6BB9-0F78-4182-9925-CE8CBA32E87E}"/>
    <cellStyle name="Standard 6 2 2 3 6 2 7 4" xfId="14559" xr:uid="{DCFB4FA3-4DC4-45CA-9014-9C477B5060D7}"/>
    <cellStyle name="Standard 6 2 2 3 6 2 8" xfId="2602" xr:uid="{00000000-0005-0000-0000-0000310A0000}"/>
    <cellStyle name="Standard 6 2 2 3 6 2 8 2" xfId="2603" xr:uid="{00000000-0005-0000-0000-0000320A0000}"/>
    <cellStyle name="Standard 6 2 2 3 6 2 8 2 2" xfId="14564" xr:uid="{925C6F58-D17D-4720-BF7B-19440D3871B2}"/>
    <cellStyle name="Standard 6 2 2 3 6 2 8 3" xfId="14563" xr:uid="{27314CFD-FE04-4814-ADC6-A245385ECC03}"/>
    <cellStyle name="Standard 6 2 2 3 6 2 9" xfId="2604" xr:uid="{00000000-0005-0000-0000-0000330A0000}"/>
    <cellStyle name="Standard 6 2 2 3 6 2 9 2" xfId="14565" xr:uid="{BBFE4865-6097-421D-87C7-D4CEA9933FB9}"/>
    <cellStyle name="Standard 6 2 2 3 6 3" xfId="2605" xr:uid="{00000000-0005-0000-0000-0000340A0000}"/>
    <cellStyle name="Standard 6 2 2 3 6 3 2" xfId="2606" xr:uid="{00000000-0005-0000-0000-0000350A0000}"/>
    <cellStyle name="Standard 6 2 2 3 6 3 2 2" xfId="2607" xr:uid="{00000000-0005-0000-0000-0000360A0000}"/>
    <cellStyle name="Standard 6 2 2 3 6 3 2 2 2" xfId="14568" xr:uid="{936176C9-F631-47FD-ADBF-47EF86E42D09}"/>
    <cellStyle name="Standard 6 2 2 3 6 3 2 3" xfId="14567" xr:uid="{ECADBE8B-D3BA-4FC6-AAD5-5AFB02C5FC48}"/>
    <cellStyle name="Standard 6 2 2 3 6 3 3" xfId="2608" xr:uid="{00000000-0005-0000-0000-0000370A0000}"/>
    <cellStyle name="Standard 6 2 2 3 6 3 3 2" xfId="14569" xr:uid="{179FE304-14F1-485B-ACE3-AF7787383A3F}"/>
    <cellStyle name="Standard 6 2 2 3 6 3 4" xfId="14566" xr:uid="{25CD90D7-945C-480D-B439-1D3C09B213CD}"/>
    <cellStyle name="Standard 6 2 2 3 6 4" xfId="2609" xr:uid="{00000000-0005-0000-0000-0000380A0000}"/>
    <cellStyle name="Standard 6 2 2 3 6 4 2" xfId="2610" xr:uid="{00000000-0005-0000-0000-0000390A0000}"/>
    <cellStyle name="Standard 6 2 2 3 6 4 2 2" xfId="2611" xr:uid="{00000000-0005-0000-0000-00003A0A0000}"/>
    <cellStyle name="Standard 6 2 2 3 6 4 2 2 2" xfId="14572" xr:uid="{20F7AB5D-6CF1-424D-978C-3C9730F2CB23}"/>
    <cellStyle name="Standard 6 2 2 3 6 4 2 3" xfId="14571" xr:uid="{6937EAAC-DC9B-4121-906D-7A40D4ECF1A1}"/>
    <cellStyle name="Standard 6 2 2 3 6 4 3" xfId="2612" xr:uid="{00000000-0005-0000-0000-00003B0A0000}"/>
    <cellStyle name="Standard 6 2 2 3 6 4 3 2" xfId="14573" xr:uid="{57AB17D8-6E30-4703-95B8-29F51FA03E85}"/>
    <cellStyle name="Standard 6 2 2 3 6 4 4" xfId="14570" xr:uid="{4BBB1BE1-6BDC-4EBC-91F4-ECE410273131}"/>
    <cellStyle name="Standard 6 2 2 3 6 5" xfId="2613" xr:uid="{00000000-0005-0000-0000-00003C0A0000}"/>
    <cellStyle name="Standard 6 2 2 3 6 5 2" xfId="2614" xr:uid="{00000000-0005-0000-0000-00003D0A0000}"/>
    <cellStyle name="Standard 6 2 2 3 6 5 2 2" xfId="2615" xr:uid="{00000000-0005-0000-0000-00003E0A0000}"/>
    <cellStyle name="Standard 6 2 2 3 6 5 2 2 2" xfId="14576" xr:uid="{ABC46C88-C34B-4148-9A47-14231EBB97B4}"/>
    <cellStyle name="Standard 6 2 2 3 6 5 2 3" xfId="14575" xr:uid="{E5344249-8F16-4403-92A7-46C1F8749580}"/>
    <cellStyle name="Standard 6 2 2 3 6 5 3" xfId="2616" xr:uid="{00000000-0005-0000-0000-00003F0A0000}"/>
    <cellStyle name="Standard 6 2 2 3 6 5 3 2" xfId="14577" xr:uid="{44041416-1B85-4EEA-80DA-09A9228CBC9B}"/>
    <cellStyle name="Standard 6 2 2 3 6 5 4" xfId="14574" xr:uid="{3A71D84B-6960-4278-B0B0-1938D2D07B5C}"/>
    <cellStyle name="Standard 6 2 2 3 6 6" xfId="2617" xr:uid="{00000000-0005-0000-0000-0000400A0000}"/>
    <cellStyle name="Standard 6 2 2 3 6 6 2" xfId="2618" xr:uid="{00000000-0005-0000-0000-0000410A0000}"/>
    <cellStyle name="Standard 6 2 2 3 6 6 2 2" xfId="2619" xr:uid="{00000000-0005-0000-0000-0000420A0000}"/>
    <cellStyle name="Standard 6 2 2 3 6 6 2 2 2" xfId="14580" xr:uid="{975EC45F-58EF-4D85-98C7-D655B9185028}"/>
    <cellStyle name="Standard 6 2 2 3 6 6 2 3" xfId="14579" xr:uid="{28FDFFD9-0220-4AF1-9475-44DB78C91444}"/>
    <cellStyle name="Standard 6 2 2 3 6 6 3" xfId="2620" xr:uid="{00000000-0005-0000-0000-0000430A0000}"/>
    <cellStyle name="Standard 6 2 2 3 6 6 3 2" xfId="14581" xr:uid="{27ADF0C4-F2FE-414A-88CE-2B68E66DF83E}"/>
    <cellStyle name="Standard 6 2 2 3 6 6 4" xfId="14578" xr:uid="{856A251B-66CC-41F1-9AAC-8B838842B65D}"/>
    <cellStyle name="Standard 6 2 2 3 6 7" xfId="2621" xr:uid="{00000000-0005-0000-0000-0000440A0000}"/>
    <cellStyle name="Standard 6 2 2 3 6 7 2" xfId="2622" xr:uid="{00000000-0005-0000-0000-0000450A0000}"/>
    <cellStyle name="Standard 6 2 2 3 6 7 2 2" xfId="2623" xr:uid="{00000000-0005-0000-0000-0000460A0000}"/>
    <cellStyle name="Standard 6 2 2 3 6 7 2 2 2" xfId="14584" xr:uid="{1AB3C91B-78DC-4405-B4C3-0C18CA288839}"/>
    <cellStyle name="Standard 6 2 2 3 6 7 2 3" xfId="14583" xr:uid="{E1ADDB10-944B-483D-A4B4-34043F525153}"/>
    <cellStyle name="Standard 6 2 2 3 6 7 3" xfId="2624" xr:uid="{00000000-0005-0000-0000-0000470A0000}"/>
    <cellStyle name="Standard 6 2 2 3 6 7 3 2" xfId="14585" xr:uid="{97D70E63-E9DC-4785-9344-A1D803BDC8DC}"/>
    <cellStyle name="Standard 6 2 2 3 6 7 4" xfId="14582" xr:uid="{211EFDCD-14DA-4AB5-A1F9-FADAADBECD9B}"/>
    <cellStyle name="Standard 6 2 2 3 6 8" xfId="2625" xr:uid="{00000000-0005-0000-0000-0000480A0000}"/>
    <cellStyle name="Standard 6 2 2 3 6 8 2" xfId="2626" xr:uid="{00000000-0005-0000-0000-0000490A0000}"/>
    <cellStyle name="Standard 6 2 2 3 6 8 2 2" xfId="2627" xr:uid="{00000000-0005-0000-0000-00004A0A0000}"/>
    <cellStyle name="Standard 6 2 2 3 6 8 2 2 2" xfId="14588" xr:uid="{D609693B-B3AE-4B62-9C16-97A4BED63C10}"/>
    <cellStyle name="Standard 6 2 2 3 6 8 2 3" xfId="14587" xr:uid="{B879EA1C-2DBE-473A-984D-313D4F491999}"/>
    <cellStyle name="Standard 6 2 2 3 6 8 3" xfId="2628" xr:uid="{00000000-0005-0000-0000-00004B0A0000}"/>
    <cellStyle name="Standard 6 2 2 3 6 8 3 2" xfId="14589" xr:uid="{BC4857EB-1C08-4616-9D9F-3B1EFDF9C972}"/>
    <cellStyle name="Standard 6 2 2 3 6 8 4" xfId="14586" xr:uid="{39FDA09A-9462-4C32-B8CE-CAF2FEC585FB}"/>
    <cellStyle name="Standard 6 2 2 3 6 9" xfId="2629" xr:uid="{00000000-0005-0000-0000-00004C0A0000}"/>
    <cellStyle name="Standard 6 2 2 3 6 9 2" xfId="2630" xr:uid="{00000000-0005-0000-0000-00004D0A0000}"/>
    <cellStyle name="Standard 6 2 2 3 6 9 2 2" xfId="14591" xr:uid="{D9D68E19-88CB-4E3C-91B7-BFB24534468D}"/>
    <cellStyle name="Standard 6 2 2 3 6 9 3" xfId="14590" xr:uid="{EAF369F2-A3F6-4D3E-A7C3-0F19B5130EAA}"/>
    <cellStyle name="Standard 6 2 2 3 7" xfId="2631" xr:uid="{00000000-0005-0000-0000-00004E0A0000}"/>
    <cellStyle name="Standard 6 2 2 3 7 10" xfId="2632" xr:uid="{00000000-0005-0000-0000-00004F0A0000}"/>
    <cellStyle name="Standard 6 2 2 3 7 10 2" xfId="14593" xr:uid="{98259263-723C-40A7-A939-90FAFDCCC9F0}"/>
    <cellStyle name="Standard 6 2 2 3 7 11" xfId="14592" xr:uid="{3B66C127-21BF-46BB-8CDA-23088CA531FB}"/>
    <cellStyle name="Standard 6 2 2 3 7 2" xfId="2633" xr:uid="{00000000-0005-0000-0000-0000500A0000}"/>
    <cellStyle name="Standard 6 2 2 3 7 2 10" xfId="14594" xr:uid="{FE70766A-D873-4F06-A847-096EEC21098C}"/>
    <cellStyle name="Standard 6 2 2 3 7 2 2" xfId="2634" xr:uid="{00000000-0005-0000-0000-0000510A0000}"/>
    <cellStyle name="Standard 6 2 2 3 7 2 2 2" xfId="2635" xr:uid="{00000000-0005-0000-0000-0000520A0000}"/>
    <cellStyle name="Standard 6 2 2 3 7 2 2 2 2" xfId="2636" xr:uid="{00000000-0005-0000-0000-0000530A0000}"/>
    <cellStyle name="Standard 6 2 2 3 7 2 2 2 2 2" xfId="14597" xr:uid="{42624A3D-9587-44FB-8CD1-622D55EAD84C}"/>
    <cellStyle name="Standard 6 2 2 3 7 2 2 2 3" xfId="14596" xr:uid="{7ED2D4BC-EE58-4976-B104-59059A893828}"/>
    <cellStyle name="Standard 6 2 2 3 7 2 2 3" xfId="2637" xr:uid="{00000000-0005-0000-0000-0000540A0000}"/>
    <cellStyle name="Standard 6 2 2 3 7 2 2 3 2" xfId="14598" xr:uid="{E001A9E5-58DB-4384-AF04-93F6E51B5025}"/>
    <cellStyle name="Standard 6 2 2 3 7 2 2 4" xfId="14595" xr:uid="{7F7ECCDF-5559-484E-92AD-858643B1EA39}"/>
    <cellStyle name="Standard 6 2 2 3 7 2 3" xfId="2638" xr:uid="{00000000-0005-0000-0000-0000550A0000}"/>
    <cellStyle name="Standard 6 2 2 3 7 2 3 2" xfId="2639" xr:uid="{00000000-0005-0000-0000-0000560A0000}"/>
    <cellStyle name="Standard 6 2 2 3 7 2 3 2 2" xfId="2640" xr:uid="{00000000-0005-0000-0000-0000570A0000}"/>
    <cellStyle name="Standard 6 2 2 3 7 2 3 2 2 2" xfId="14601" xr:uid="{1210B840-BB39-414A-A6A9-034FA5EF4442}"/>
    <cellStyle name="Standard 6 2 2 3 7 2 3 2 3" xfId="14600" xr:uid="{1309175D-DE33-4B7E-812D-8B3D8CBD9C99}"/>
    <cellStyle name="Standard 6 2 2 3 7 2 3 3" xfId="2641" xr:uid="{00000000-0005-0000-0000-0000580A0000}"/>
    <cellStyle name="Standard 6 2 2 3 7 2 3 3 2" xfId="14602" xr:uid="{DC5F3858-B3D6-4304-9424-C2D7C0E2ABF0}"/>
    <cellStyle name="Standard 6 2 2 3 7 2 3 4" xfId="14599" xr:uid="{A8B26496-C2CF-4D3C-A3FD-E1DDEED7B53A}"/>
    <cellStyle name="Standard 6 2 2 3 7 2 4" xfId="2642" xr:uid="{00000000-0005-0000-0000-0000590A0000}"/>
    <cellStyle name="Standard 6 2 2 3 7 2 4 2" xfId="2643" xr:uid="{00000000-0005-0000-0000-00005A0A0000}"/>
    <cellStyle name="Standard 6 2 2 3 7 2 4 2 2" xfId="2644" xr:uid="{00000000-0005-0000-0000-00005B0A0000}"/>
    <cellStyle name="Standard 6 2 2 3 7 2 4 2 2 2" xfId="14605" xr:uid="{AB3E4F4D-D103-4F96-A52B-C0B029BD6086}"/>
    <cellStyle name="Standard 6 2 2 3 7 2 4 2 3" xfId="14604" xr:uid="{6469CFA5-DF12-4346-B1DC-5228EAA9596E}"/>
    <cellStyle name="Standard 6 2 2 3 7 2 4 3" xfId="2645" xr:uid="{00000000-0005-0000-0000-00005C0A0000}"/>
    <cellStyle name="Standard 6 2 2 3 7 2 4 3 2" xfId="14606" xr:uid="{A36E558A-C325-4747-96FA-77E1EB421A72}"/>
    <cellStyle name="Standard 6 2 2 3 7 2 4 4" xfId="14603" xr:uid="{30F1D5A7-F171-4E34-8B14-97BAB4217D21}"/>
    <cellStyle name="Standard 6 2 2 3 7 2 5" xfId="2646" xr:uid="{00000000-0005-0000-0000-00005D0A0000}"/>
    <cellStyle name="Standard 6 2 2 3 7 2 5 2" xfId="2647" xr:uid="{00000000-0005-0000-0000-00005E0A0000}"/>
    <cellStyle name="Standard 6 2 2 3 7 2 5 2 2" xfId="2648" xr:uid="{00000000-0005-0000-0000-00005F0A0000}"/>
    <cellStyle name="Standard 6 2 2 3 7 2 5 2 2 2" xfId="14609" xr:uid="{7DDE0D32-A8FA-4DE1-8BDC-6CC4FA1AD27B}"/>
    <cellStyle name="Standard 6 2 2 3 7 2 5 2 3" xfId="14608" xr:uid="{FAF64C7C-1600-4DE5-8D40-C96271384D9C}"/>
    <cellStyle name="Standard 6 2 2 3 7 2 5 3" xfId="2649" xr:uid="{00000000-0005-0000-0000-0000600A0000}"/>
    <cellStyle name="Standard 6 2 2 3 7 2 5 3 2" xfId="14610" xr:uid="{DD64E878-98B7-4A9D-91A7-8448E6C4AF67}"/>
    <cellStyle name="Standard 6 2 2 3 7 2 5 4" xfId="14607" xr:uid="{1AAEB0F9-53EC-41E0-AF79-39EEB6DBB4B7}"/>
    <cellStyle name="Standard 6 2 2 3 7 2 6" xfId="2650" xr:uid="{00000000-0005-0000-0000-0000610A0000}"/>
    <cellStyle name="Standard 6 2 2 3 7 2 6 2" xfId="2651" xr:uid="{00000000-0005-0000-0000-0000620A0000}"/>
    <cellStyle name="Standard 6 2 2 3 7 2 6 2 2" xfId="2652" xr:uid="{00000000-0005-0000-0000-0000630A0000}"/>
    <cellStyle name="Standard 6 2 2 3 7 2 6 2 2 2" xfId="14613" xr:uid="{FA03D2C9-B5DE-493D-960B-5FD827D2637A}"/>
    <cellStyle name="Standard 6 2 2 3 7 2 6 2 3" xfId="14612" xr:uid="{8166652F-F2B2-4691-8B16-34CD736D2901}"/>
    <cellStyle name="Standard 6 2 2 3 7 2 6 3" xfId="2653" xr:uid="{00000000-0005-0000-0000-0000640A0000}"/>
    <cellStyle name="Standard 6 2 2 3 7 2 6 3 2" xfId="14614" xr:uid="{223291BF-4198-4525-A2F0-132B4BBABFC6}"/>
    <cellStyle name="Standard 6 2 2 3 7 2 6 4" xfId="14611" xr:uid="{7F92E6E7-F85E-46AB-933B-CFF62095E9D6}"/>
    <cellStyle name="Standard 6 2 2 3 7 2 7" xfId="2654" xr:uid="{00000000-0005-0000-0000-0000650A0000}"/>
    <cellStyle name="Standard 6 2 2 3 7 2 7 2" xfId="2655" xr:uid="{00000000-0005-0000-0000-0000660A0000}"/>
    <cellStyle name="Standard 6 2 2 3 7 2 7 2 2" xfId="2656" xr:uid="{00000000-0005-0000-0000-0000670A0000}"/>
    <cellStyle name="Standard 6 2 2 3 7 2 7 2 2 2" xfId="14617" xr:uid="{5ABB1E1B-6DE9-4BC9-882A-EF21BB3F2B72}"/>
    <cellStyle name="Standard 6 2 2 3 7 2 7 2 3" xfId="14616" xr:uid="{FFC78F4D-755B-47B6-B064-F6FE08492191}"/>
    <cellStyle name="Standard 6 2 2 3 7 2 7 3" xfId="2657" xr:uid="{00000000-0005-0000-0000-0000680A0000}"/>
    <cellStyle name="Standard 6 2 2 3 7 2 7 3 2" xfId="14618" xr:uid="{F47CF365-D3E1-4D13-984D-073167DDF54C}"/>
    <cellStyle name="Standard 6 2 2 3 7 2 7 4" xfId="14615" xr:uid="{0981459A-861C-4A9F-A7D2-733E194666D7}"/>
    <cellStyle name="Standard 6 2 2 3 7 2 8" xfId="2658" xr:uid="{00000000-0005-0000-0000-0000690A0000}"/>
    <cellStyle name="Standard 6 2 2 3 7 2 8 2" xfId="2659" xr:uid="{00000000-0005-0000-0000-00006A0A0000}"/>
    <cellStyle name="Standard 6 2 2 3 7 2 8 2 2" xfId="14620" xr:uid="{C870AAA6-1AFA-41D1-B254-909C2E893F08}"/>
    <cellStyle name="Standard 6 2 2 3 7 2 8 3" xfId="14619" xr:uid="{4303EE55-0BFE-4ABE-9A90-FCD1F79FA891}"/>
    <cellStyle name="Standard 6 2 2 3 7 2 9" xfId="2660" xr:uid="{00000000-0005-0000-0000-00006B0A0000}"/>
    <cellStyle name="Standard 6 2 2 3 7 2 9 2" xfId="14621" xr:uid="{19B92AB8-3D30-46BF-99D5-1D5F1ACE9D53}"/>
    <cellStyle name="Standard 6 2 2 3 7 3" xfId="2661" xr:uid="{00000000-0005-0000-0000-00006C0A0000}"/>
    <cellStyle name="Standard 6 2 2 3 7 3 2" xfId="2662" xr:uid="{00000000-0005-0000-0000-00006D0A0000}"/>
    <cellStyle name="Standard 6 2 2 3 7 3 2 2" xfId="2663" xr:uid="{00000000-0005-0000-0000-00006E0A0000}"/>
    <cellStyle name="Standard 6 2 2 3 7 3 2 2 2" xfId="14624" xr:uid="{286D4B6A-F942-43A7-9149-D5D2EC0AACE8}"/>
    <cellStyle name="Standard 6 2 2 3 7 3 2 3" xfId="14623" xr:uid="{BDDFE47B-143D-46BE-BC82-DD98BFBF17E0}"/>
    <cellStyle name="Standard 6 2 2 3 7 3 3" xfId="2664" xr:uid="{00000000-0005-0000-0000-00006F0A0000}"/>
    <cellStyle name="Standard 6 2 2 3 7 3 3 2" xfId="14625" xr:uid="{82F2F1F8-7A1D-4E8F-ACC7-260E695A5F09}"/>
    <cellStyle name="Standard 6 2 2 3 7 3 4" xfId="14622" xr:uid="{A11C4925-34AA-4817-9CCB-0A16582AC721}"/>
    <cellStyle name="Standard 6 2 2 3 7 4" xfId="2665" xr:uid="{00000000-0005-0000-0000-0000700A0000}"/>
    <cellStyle name="Standard 6 2 2 3 7 4 2" xfId="2666" xr:uid="{00000000-0005-0000-0000-0000710A0000}"/>
    <cellStyle name="Standard 6 2 2 3 7 4 2 2" xfId="2667" xr:uid="{00000000-0005-0000-0000-0000720A0000}"/>
    <cellStyle name="Standard 6 2 2 3 7 4 2 2 2" xfId="14628" xr:uid="{EC57F607-6AD3-412B-9988-B11F85ADE444}"/>
    <cellStyle name="Standard 6 2 2 3 7 4 2 3" xfId="14627" xr:uid="{0E0B9D74-AA27-41E4-9E02-41BBBEB88110}"/>
    <cellStyle name="Standard 6 2 2 3 7 4 3" xfId="2668" xr:uid="{00000000-0005-0000-0000-0000730A0000}"/>
    <cellStyle name="Standard 6 2 2 3 7 4 3 2" xfId="14629" xr:uid="{6A78ED17-CBF2-4027-848F-E84B46717803}"/>
    <cellStyle name="Standard 6 2 2 3 7 4 4" xfId="14626" xr:uid="{267B7470-13A2-4C1E-A61D-4A1A24C2C7CF}"/>
    <cellStyle name="Standard 6 2 2 3 7 5" xfId="2669" xr:uid="{00000000-0005-0000-0000-0000740A0000}"/>
    <cellStyle name="Standard 6 2 2 3 7 5 2" xfId="2670" xr:uid="{00000000-0005-0000-0000-0000750A0000}"/>
    <cellStyle name="Standard 6 2 2 3 7 5 2 2" xfId="2671" xr:uid="{00000000-0005-0000-0000-0000760A0000}"/>
    <cellStyle name="Standard 6 2 2 3 7 5 2 2 2" xfId="14632" xr:uid="{CF2857C4-310F-42E5-B0B3-340DA4353250}"/>
    <cellStyle name="Standard 6 2 2 3 7 5 2 3" xfId="14631" xr:uid="{BA2F7F7B-E0BD-4169-9BC1-03134BB4FE77}"/>
    <cellStyle name="Standard 6 2 2 3 7 5 3" xfId="2672" xr:uid="{00000000-0005-0000-0000-0000770A0000}"/>
    <cellStyle name="Standard 6 2 2 3 7 5 3 2" xfId="14633" xr:uid="{6AD6AB2C-9D69-4927-A0C6-41F582EAE78B}"/>
    <cellStyle name="Standard 6 2 2 3 7 5 4" xfId="14630" xr:uid="{CB39028E-D79E-4F4B-AC0B-06BB13945E8D}"/>
    <cellStyle name="Standard 6 2 2 3 7 6" xfId="2673" xr:uid="{00000000-0005-0000-0000-0000780A0000}"/>
    <cellStyle name="Standard 6 2 2 3 7 6 2" xfId="2674" xr:uid="{00000000-0005-0000-0000-0000790A0000}"/>
    <cellStyle name="Standard 6 2 2 3 7 6 2 2" xfId="2675" xr:uid="{00000000-0005-0000-0000-00007A0A0000}"/>
    <cellStyle name="Standard 6 2 2 3 7 6 2 2 2" xfId="14636" xr:uid="{DC7FB860-013F-4966-906A-78ABCE91F8F4}"/>
    <cellStyle name="Standard 6 2 2 3 7 6 2 3" xfId="14635" xr:uid="{FD25FC96-75F9-47C2-BE86-A1EC764D6964}"/>
    <cellStyle name="Standard 6 2 2 3 7 6 3" xfId="2676" xr:uid="{00000000-0005-0000-0000-00007B0A0000}"/>
    <cellStyle name="Standard 6 2 2 3 7 6 3 2" xfId="14637" xr:uid="{C63A43EF-F141-4B8C-98A5-5EA0B90051BF}"/>
    <cellStyle name="Standard 6 2 2 3 7 6 4" xfId="14634" xr:uid="{BB409C7E-5B89-4D1B-94E5-A3E99735C79A}"/>
    <cellStyle name="Standard 6 2 2 3 7 7" xfId="2677" xr:uid="{00000000-0005-0000-0000-00007C0A0000}"/>
    <cellStyle name="Standard 6 2 2 3 7 7 2" xfId="2678" xr:uid="{00000000-0005-0000-0000-00007D0A0000}"/>
    <cellStyle name="Standard 6 2 2 3 7 7 2 2" xfId="2679" xr:uid="{00000000-0005-0000-0000-00007E0A0000}"/>
    <cellStyle name="Standard 6 2 2 3 7 7 2 2 2" xfId="14640" xr:uid="{1DDCA728-8F08-4538-8F41-911D361DD427}"/>
    <cellStyle name="Standard 6 2 2 3 7 7 2 3" xfId="14639" xr:uid="{7F3DFBD7-DA3D-4543-944F-2AB54246C66C}"/>
    <cellStyle name="Standard 6 2 2 3 7 7 3" xfId="2680" xr:uid="{00000000-0005-0000-0000-00007F0A0000}"/>
    <cellStyle name="Standard 6 2 2 3 7 7 3 2" xfId="14641" xr:uid="{AF3E4BB0-E707-494B-9D1A-89DFFC6365BD}"/>
    <cellStyle name="Standard 6 2 2 3 7 7 4" xfId="14638" xr:uid="{2E636671-177B-4CCE-941C-09FC5E3B078E}"/>
    <cellStyle name="Standard 6 2 2 3 7 8" xfId="2681" xr:uid="{00000000-0005-0000-0000-0000800A0000}"/>
    <cellStyle name="Standard 6 2 2 3 7 8 2" xfId="2682" xr:uid="{00000000-0005-0000-0000-0000810A0000}"/>
    <cellStyle name="Standard 6 2 2 3 7 8 2 2" xfId="2683" xr:uid="{00000000-0005-0000-0000-0000820A0000}"/>
    <cellStyle name="Standard 6 2 2 3 7 8 2 2 2" xfId="14644" xr:uid="{46B0FC3D-2FE2-4436-AB8C-ED07363496BA}"/>
    <cellStyle name="Standard 6 2 2 3 7 8 2 3" xfId="14643" xr:uid="{226D8ABE-D890-4318-B655-9D4AA8A230F9}"/>
    <cellStyle name="Standard 6 2 2 3 7 8 3" xfId="2684" xr:uid="{00000000-0005-0000-0000-0000830A0000}"/>
    <cellStyle name="Standard 6 2 2 3 7 8 3 2" xfId="14645" xr:uid="{9925CCB6-81B7-4749-98CE-A08D8176B7C9}"/>
    <cellStyle name="Standard 6 2 2 3 7 8 4" xfId="14642" xr:uid="{FF30F679-D51B-42BF-B065-519AAA8FFD82}"/>
    <cellStyle name="Standard 6 2 2 3 7 9" xfId="2685" xr:uid="{00000000-0005-0000-0000-0000840A0000}"/>
    <cellStyle name="Standard 6 2 2 3 7 9 2" xfId="2686" xr:uid="{00000000-0005-0000-0000-0000850A0000}"/>
    <cellStyle name="Standard 6 2 2 3 7 9 2 2" xfId="14647" xr:uid="{99606B75-C21D-4970-B67E-702D8D115FB2}"/>
    <cellStyle name="Standard 6 2 2 3 7 9 3" xfId="14646" xr:uid="{3C21D276-359C-43AD-B07B-48A60838D586}"/>
    <cellStyle name="Standard 6 2 2 3 8" xfId="2687" xr:uid="{00000000-0005-0000-0000-0000860A0000}"/>
    <cellStyle name="Standard 6 2 2 3 8 10" xfId="14648" xr:uid="{BC3C9905-1EB5-40CA-B5E3-F0DB5DEE6FA4}"/>
    <cellStyle name="Standard 6 2 2 3 8 2" xfId="2688" xr:uid="{00000000-0005-0000-0000-0000870A0000}"/>
    <cellStyle name="Standard 6 2 2 3 8 2 2" xfId="2689" xr:uid="{00000000-0005-0000-0000-0000880A0000}"/>
    <cellStyle name="Standard 6 2 2 3 8 2 2 2" xfId="2690" xr:uid="{00000000-0005-0000-0000-0000890A0000}"/>
    <cellStyle name="Standard 6 2 2 3 8 2 2 2 2" xfId="14651" xr:uid="{C914105A-796B-4958-A43E-D2946A2E2E11}"/>
    <cellStyle name="Standard 6 2 2 3 8 2 2 3" xfId="14650" xr:uid="{BEF20F17-5FFA-4E6C-A14F-5B7229D182B3}"/>
    <cellStyle name="Standard 6 2 2 3 8 2 3" xfId="2691" xr:uid="{00000000-0005-0000-0000-00008A0A0000}"/>
    <cellStyle name="Standard 6 2 2 3 8 2 3 2" xfId="14652" xr:uid="{7B2329E0-C272-4AA0-A198-4CA32B2B47DD}"/>
    <cellStyle name="Standard 6 2 2 3 8 2 4" xfId="14649" xr:uid="{56B012BF-18E4-4754-9CE4-F63984BC90A7}"/>
    <cellStyle name="Standard 6 2 2 3 8 3" xfId="2692" xr:uid="{00000000-0005-0000-0000-00008B0A0000}"/>
    <cellStyle name="Standard 6 2 2 3 8 3 2" xfId="2693" xr:uid="{00000000-0005-0000-0000-00008C0A0000}"/>
    <cellStyle name="Standard 6 2 2 3 8 3 2 2" xfId="2694" xr:uid="{00000000-0005-0000-0000-00008D0A0000}"/>
    <cellStyle name="Standard 6 2 2 3 8 3 2 2 2" xfId="14655" xr:uid="{12EC56E1-92D6-4F18-AB4A-2BDB22C299F7}"/>
    <cellStyle name="Standard 6 2 2 3 8 3 2 3" xfId="14654" xr:uid="{0A3928E9-498D-4DB0-9CE1-CAA19C6F0173}"/>
    <cellStyle name="Standard 6 2 2 3 8 3 3" xfId="2695" xr:uid="{00000000-0005-0000-0000-00008E0A0000}"/>
    <cellStyle name="Standard 6 2 2 3 8 3 3 2" xfId="14656" xr:uid="{5461FC57-CEA0-4D04-B74C-6468FA0E0AA3}"/>
    <cellStyle name="Standard 6 2 2 3 8 3 4" xfId="14653" xr:uid="{D1979914-E094-4CDE-BF3B-884F6D64F39B}"/>
    <cellStyle name="Standard 6 2 2 3 8 4" xfId="2696" xr:uid="{00000000-0005-0000-0000-00008F0A0000}"/>
    <cellStyle name="Standard 6 2 2 3 8 4 2" xfId="2697" xr:uid="{00000000-0005-0000-0000-0000900A0000}"/>
    <cellStyle name="Standard 6 2 2 3 8 4 2 2" xfId="2698" xr:uid="{00000000-0005-0000-0000-0000910A0000}"/>
    <cellStyle name="Standard 6 2 2 3 8 4 2 2 2" xfId="14659" xr:uid="{1EB4A20B-85E1-4154-832F-72F00DD42994}"/>
    <cellStyle name="Standard 6 2 2 3 8 4 2 3" xfId="14658" xr:uid="{736F1374-71EE-4444-A270-96FD6D91C087}"/>
    <cellStyle name="Standard 6 2 2 3 8 4 3" xfId="2699" xr:uid="{00000000-0005-0000-0000-0000920A0000}"/>
    <cellStyle name="Standard 6 2 2 3 8 4 3 2" xfId="14660" xr:uid="{9E3055BF-5287-4D65-93C7-68D40962297E}"/>
    <cellStyle name="Standard 6 2 2 3 8 4 4" xfId="14657" xr:uid="{956BABD9-09EA-49A6-A8B7-21B8CAFE0B8A}"/>
    <cellStyle name="Standard 6 2 2 3 8 5" xfId="2700" xr:uid="{00000000-0005-0000-0000-0000930A0000}"/>
    <cellStyle name="Standard 6 2 2 3 8 5 2" xfId="2701" xr:uid="{00000000-0005-0000-0000-0000940A0000}"/>
    <cellStyle name="Standard 6 2 2 3 8 5 2 2" xfId="2702" xr:uid="{00000000-0005-0000-0000-0000950A0000}"/>
    <cellStyle name="Standard 6 2 2 3 8 5 2 2 2" xfId="14663" xr:uid="{9BC18784-B899-4349-BDE6-2F467CC54AEA}"/>
    <cellStyle name="Standard 6 2 2 3 8 5 2 3" xfId="14662" xr:uid="{FF1BBCEA-69BC-4747-8288-1BF054B144A2}"/>
    <cellStyle name="Standard 6 2 2 3 8 5 3" xfId="2703" xr:uid="{00000000-0005-0000-0000-0000960A0000}"/>
    <cellStyle name="Standard 6 2 2 3 8 5 3 2" xfId="14664" xr:uid="{8EA78616-1B26-4683-94AC-BD88E935E945}"/>
    <cellStyle name="Standard 6 2 2 3 8 5 4" xfId="14661" xr:uid="{C088D414-FDC5-4AA6-AF56-52B3A2672396}"/>
    <cellStyle name="Standard 6 2 2 3 8 6" xfId="2704" xr:uid="{00000000-0005-0000-0000-0000970A0000}"/>
    <cellStyle name="Standard 6 2 2 3 8 6 2" xfId="2705" xr:uid="{00000000-0005-0000-0000-0000980A0000}"/>
    <cellStyle name="Standard 6 2 2 3 8 6 2 2" xfId="2706" xr:uid="{00000000-0005-0000-0000-0000990A0000}"/>
    <cellStyle name="Standard 6 2 2 3 8 6 2 2 2" xfId="14667" xr:uid="{247428B5-337A-4329-A1C9-7B2F5435FD06}"/>
    <cellStyle name="Standard 6 2 2 3 8 6 2 3" xfId="14666" xr:uid="{0B470F16-2560-466A-9DC1-C750DAB678D2}"/>
    <cellStyle name="Standard 6 2 2 3 8 6 3" xfId="2707" xr:uid="{00000000-0005-0000-0000-00009A0A0000}"/>
    <cellStyle name="Standard 6 2 2 3 8 6 3 2" xfId="14668" xr:uid="{49E4316F-44AD-4748-B6CD-4523183429AC}"/>
    <cellStyle name="Standard 6 2 2 3 8 6 4" xfId="14665" xr:uid="{33C83C0E-4DBF-458C-B6AA-C691454143D0}"/>
    <cellStyle name="Standard 6 2 2 3 8 7" xfId="2708" xr:uid="{00000000-0005-0000-0000-00009B0A0000}"/>
    <cellStyle name="Standard 6 2 2 3 8 7 2" xfId="2709" xr:uid="{00000000-0005-0000-0000-00009C0A0000}"/>
    <cellStyle name="Standard 6 2 2 3 8 7 2 2" xfId="2710" xr:uid="{00000000-0005-0000-0000-00009D0A0000}"/>
    <cellStyle name="Standard 6 2 2 3 8 7 2 2 2" xfId="14671" xr:uid="{7AA1157D-4155-4CD8-9A01-2127DA42950A}"/>
    <cellStyle name="Standard 6 2 2 3 8 7 2 3" xfId="14670" xr:uid="{780A871A-F5F8-4A1C-8FE0-BE73A7DE70F7}"/>
    <cellStyle name="Standard 6 2 2 3 8 7 3" xfId="2711" xr:uid="{00000000-0005-0000-0000-00009E0A0000}"/>
    <cellStyle name="Standard 6 2 2 3 8 7 3 2" xfId="14672" xr:uid="{1E55B82E-4C30-4AC6-B08B-27B61B271A97}"/>
    <cellStyle name="Standard 6 2 2 3 8 7 4" xfId="14669" xr:uid="{805671E9-8F29-43CA-BC10-DE7072E6D7A7}"/>
    <cellStyle name="Standard 6 2 2 3 8 8" xfId="2712" xr:uid="{00000000-0005-0000-0000-00009F0A0000}"/>
    <cellStyle name="Standard 6 2 2 3 8 8 2" xfId="2713" xr:uid="{00000000-0005-0000-0000-0000A00A0000}"/>
    <cellStyle name="Standard 6 2 2 3 8 8 2 2" xfId="14674" xr:uid="{4E8042DF-DAF3-4D50-953C-6A5F1E1DB764}"/>
    <cellStyle name="Standard 6 2 2 3 8 8 3" xfId="14673" xr:uid="{1029A93A-FCC9-44F6-842E-C9586BED4EE5}"/>
    <cellStyle name="Standard 6 2 2 3 8 9" xfId="2714" xr:uid="{00000000-0005-0000-0000-0000A10A0000}"/>
    <cellStyle name="Standard 6 2 2 3 8 9 2" xfId="14675" xr:uid="{6C76E088-2421-4009-A08F-8A295934C0D2}"/>
    <cellStyle name="Standard 6 2 2 3 9" xfId="2715" xr:uid="{00000000-0005-0000-0000-0000A20A0000}"/>
    <cellStyle name="Standard 6 2 2 3 9 2" xfId="2716" xr:uid="{00000000-0005-0000-0000-0000A30A0000}"/>
    <cellStyle name="Standard 6 2 2 3 9 2 2" xfId="2717" xr:uid="{00000000-0005-0000-0000-0000A40A0000}"/>
    <cellStyle name="Standard 6 2 2 3 9 2 2 2" xfId="2718" xr:uid="{00000000-0005-0000-0000-0000A50A0000}"/>
    <cellStyle name="Standard 6 2 2 3 9 2 2 2 2" xfId="14679" xr:uid="{77E8176B-259F-4636-AC0B-63829363EFD0}"/>
    <cellStyle name="Standard 6 2 2 3 9 2 2 3" xfId="14678" xr:uid="{E9A2B8AD-0A58-4821-B618-DE17D9D4D936}"/>
    <cellStyle name="Standard 6 2 2 3 9 2 3" xfId="2719" xr:uid="{00000000-0005-0000-0000-0000A60A0000}"/>
    <cellStyle name="Standard 6 2 2 3 9 2 3 2" xfId="14680" xr:uid="{3B831D44-7E40-4AF6-B4B6-F9938B94D898}"/>
    <cellStyle name="Standard 6 2 2 3 9 2 4" xfId="14677" xr:uid="{4311E8AE-7312-4911-8660-CCB518ADB979}"/>
    <cellStyle name="Standard 6 2 2 3 9 3" xfId="2720" xr:uid="{00000000-0005-0000-0000-0000A70A0000}"/>
    <cellStyle name="Standard 6 2 2 3 9 3 2" xfId="2721" xr:uid="{00000000-0005-0000-0000-0000A80A0000}"/>
    <cellStyle name="Standard 6 2 2 3 9 3 2 2" xfId="2722" xr:uid="{00000000-0005-0000-0000-0000A90A0000}"/>
    <cellStyle name="Standard 6 2 2 3 9 3 2 2 2" xfId="14683" xr:uid="{BB9A3FF0-BF68-4F69-B560-DAFDD0806B46}"/>
    <cellStyle name="Standard 6 2 2 3 9 3 2 3" xfId="14682" xr:uid="{DCEB9018-76E2-41D3-A82E-DD4F6AB83A22}"/>
    <cellStyle name="Standard 6 2 2 3 9 3 3" xfId="2723" xr:uid="{00000000-0005-0000-0000-0000AA0A0000}"/>
    <cellStyle name="Standard 6 2 2 3 9 3 3 2" xfId="14684" xr:uid="{8B8FFDDC-8FC6-4AD6-A540-4FDE80FE24B3}"/>
    <cellStyle name="Standard 6 2 2 3 9 3 4" xfId="14681" xr:uid="{7F900353-99A3-4CF6-8BB8-7DD9B46C73E1}"/>
    <cellStyle name="Standard 6 2 2 3 9 4" xfId="2724" xr:uid="{00000000-0005-0000-0000-0000AB0A0000}"/>
    <cellStyle name="Standard 6 2 2 3 9 4 2" xfId="2725" xr:uid="{00000000-0005-0000-0000-0000AC0A0000}"/>
    <cellStyle name="Standard 6 2 2 3 9 4 2 2" xfId="2726" xr:uid="{00000000-0005-0000-0000-0000AD0A0000}"/>
    <cellStyle name="Standard 6 2 2 3 9 4 2 2 2" xfId="14687" xr:uid="{4038FAD8-764A-4BB3-AB5A-11F8D4CB473D}"/>
    <cellStyle name="Standard 6 2 2 3 9 4 2 3" xfId="14686" xr:uid="{A0A17591-99AF-47CB-B816-9CDF6DE553CF}"/>
    <cellStyle name="Standard 6 2 2 3 9 4 3" xfId="2727" xr:uid="{00000000-0005-0000-0000-0000AE0A0000}"/>
    <cellStyle name="Standard 6 2 2 3 9 4 3 2" xfId="14688" xr:uid="{F5D8B11C-5D6B-4B6D-AA29-E5291E65F126}"/>
    <cellStyle name="Standard 6 2 2 3 9 4 4" xfId="14685" xr:uid="{22AA035A-B083-435C-8D40-35A7FDF77066}"/>
    <cellStyle name="Standard 6 2 2 3 9 5" xfId="2728" xr:uid="{00000000-0005-0000-0000-0000AF0A0000}"/>
    <cellStyle name="Standard 6 2 2 3 9 5 2" xfId="2729" xr:uid="{00000000-0005-0000-0000-0000B00A0000}"/>
    <cellStyle name="Standard 6 2 2 3 9 5 2 2" xfId="2730" xr:uid="{00000000-0005-0000-0000-0000B10A0000}"/>
    <cellStyle name="Standard 6 2 2 3 9 5 2 2 2" xfId="14691" xr:uid="{480A917B-7980-4A05-AF50-C7FBD4B1F4C1}"/>
    <cellStyle name="Standard 6 2 2 3 9 5 2 3" xfId="14690" xr:uid="{85EB4AE0-357F-4842-83CB-4F2AB92AAC34}"/>
    <cellStyle name="Standard 6 2 2 3 9 5 3" xfId="2731" xr:uid="{00000000-0005-0000-0000-0000B20A0000}"/>
    <cellStyle name="Standard 6 2 2 3 9 5 3 2" xfId="14692" xr:uid="{9E826291-C3A4-43E5-9CFE-891E2926B6D0}"/>
    <cellStyle name="Standard 6 2 2 3 9 5 4" xfId="14689" xr:uid="{FD4DE4F0-1007-4B8B-BCC9-05BEEF1867C8}"/>
    <cellStyle name="Standard 6 2 2 3 9 6" xfId="2732" xr:uid="{00000000-0005-0000-0000-0000B30A0000}"/>
    <cellStyle name="Standard 6 2 2 3 9 6 2" xfId="2733" xr:uid="{00000000-0005-0000-0000-0000B40A0000}"/>
    <cellStyle name="Standard 6 2 2 3 9 6 2 2" xfId="2734" xr:uid="{00000000-0005-0000-0000-0000B50A0000}"/>
    <cellStyle name="Standard 6 2 2 3 9 6 2 2 2" xfId="14695" xr:uid="{BB25370B-06D3-4DBE-9502-02CE31CD0369}"/>
    <cellStyle name="Standard 6 2 2 3 9 6 2 3" xfId="14694" xr:uid="{27CAA438-F079-469B-992E-C02779470E64}"/>
    <cellStyle name="Standard 6 2 2 3 9 6 3" xfId="2735" xr:uid="{00000000-0005-0000-0000-0000B60A0000}"/>
    <cellStyle name="Standard 6 2 2 3 9 6 3 2" xfId="14696" xr:uid="{B99C7A95-DA23-4A5B-A62E-39618E455471}"/>
    <cellStyle name="Standard 6 2 2 3 9 6 4" xfId="14693" xr:uid="{A18A59C1-5398-4D44-8958-AA39BB3146BF}"/>
    <cellStyle name="Standard 6 2 2 3 9 7" xfId="2736" xr:uid="{00000000-0005-0000-0000-0000B70A0000}"/>
    <cellStyle name="Standard 6 2 2 3 9 7 2" xfId="2737" xr:uid="{00000000-0005-0000-0000-0000B80A0000}"/>
    <cellStyle name="Standard 6 2 2 3 9 7 2 2" xfId="14698" xr:uid="{8A5463E1-BE0B-4A6C-98EB-28BF0274A774}"/>
    <cellStyle name="Standard 6 2 2 3 9 7 3" xfId="14697" xr:uid="{88695551-C4E8-446D-B65F-7B0C52A52FC6}"/>
    <cellStyle name="Standard 6 2 2 3 9 8" xfId="2738" xr:uid="{00000000-0005-0000-0000-0000B90A0000}"/>
    <cellStyle name="Standard 6 2 2 3 9 8 2" xfId="14699" xr:uid="{C909804C-C460-4565-BC70-34B1616D0036}"/>
    <cellStyle name="Standard 6 2 2 3 9 9" xfId="14676" xr:uid="{F89954C3-A364-4EFB-B4E8-2213C47B9D84}"/>
    <cellStyle name="Standard 6 2 2 4" xfId="2739" xr:uid="{00000000-0005-0000-0000-0000BA0A0000}"/>
    <cellStyle name="Standard 6 2 2 4 10" xfId="2740" xr:uid="{00000000-0005-0000-0000-0000BB0A0000}"/>
    <cellStyle name="Standard 6 2 2 4 10 2" xfId="2741" xr:uid="{00000000-0005-0000-0000-0000BC0A0000}"/>
    <cellStyle name="Standard 6 2 2 4 10 2 2" xfId="2742" xr:uid="{00000000-0005-0000-0000-0000BD0A0000}"/>
    <cellStyle name="Standard 6 2 2 4 10 2 2 2" xfId="14703" xr:uid="{DD6A12F6-BFB4-4B4C-80BE-47AF24BB4958}"/>
    <cellStyle name="Standard 6 2 2 4 10 2 3" xfId="14702" xr:uid="{B5CD8F82-DD4E-44EF-BE13-8F854200F516}"/>
    <cellStyle name="Standard 6 2 2 4 10 3" xfId="2743" xr:uid="{00000000-0005-0000-0000-0000BE0A0000}"/>
    <cellStyle name="Standard 6 2 2 4 10 3 2" xfId="14704" xr:uid="{79E4DE42-B6DA-43C1-B705-D8ED9838C4AA}"/>
    <cellStyle name="Standard 6 2 2 4 10 4" xfId="14701" xr:uid="{A7EA279F-1724-4936-87B5-E02E5E69C631}"/>
    <cellStyle name="Standard 6 2 2 4 11" xfId="2744" xr:uid="{00000000-0005-0000-0000-0000BF0A0000}"/>
    <cellStyle name="Standard 6 2 2 4 11 2" xfId="2745" xr:uid="{00000000-0005-0000-0000-0000C00A0000}"/>
    <cellStyle name="Standard 6 2 2 4 11 2 2" xfId="2746" xr:uid="{00000000-0005-0000-0000-0000C10A0000}"/>
    <cellStyle name="Standard 6 2 2 4 11 2 2 2" xfId="14707" xr:uid="{CD48ACD9-9D70-4C65-B485-B538CDE3356F}"/>
    <cellStyle name="Standard 6 2 2 4 11 2 3" xfId="14706" xr:uid="{A518ED9B-C97F-4FBD-B18C-CFD23AAD4ED3}"/>
    <cellStyle name="Standard 6 2 2 4 11 3" xfId="2747" xr:uid="{00000000-0005-0000-0000-0000C20A0000}"/>
    <cellStyle name="Standard 6 2 2 4 11 3 2" xfId="14708" xr:uid="{59ADB5D3-4C1E-4CAF-8762-2A598DA77722}"/>
    <cellStyle name="Standard 6 2 2 4 11 4" xfId="14705" xr:uid="{EC804F2B-D26D-491A-904C-BFB5366CFD85}"/>
    <cellStyle name="Standard 6 2 2 4 12" xfId="2748" xr:uid="{00000000-0005-0000-0000-0000C30A0000}"/>
    <cellStyle name="Standard 6 2 2 4 12 2" xfId="2749" xr:uid="{00000000-0005-0000-0000-0000C40A0000}"/>
    <cellStyle name="Standard 6 2 2 4 12 2 2" xfId="2750" xr:uid="{00000000-0005-0000-0000-0000C50A0000}"/>
    <cellStyle name="Standard 6 2 2 4 12 2 2 2" xfId="14711" xr:uid="{6693EE6B-1065-4A5F-87DB-029AB8C4728C}"/>
    <cellStyle name="Standard 6 2 2 4 12 2 3" xfId="14710" xr:uid="{A8636D40-9915-441B-9B3B-46C6ABDACD7D}"/>
    <cellStyle name="Standard 6 2 2 4 12 3" xfId="2751" xr:uid="{00000000-0005-0000-0000-0000C60A0000}"/>
    <cellStyle name="Standard 6 2 2 4 12 3 2" xfId="14712" xr:uid="{706343E9-FAD9-4B2A-BED0-E22C8B3B830B}"/>
    <cellStyle name="Standard 6 2 2 4 12 4" xfId="14709" xr:uid="{3DE5959B-089C-4B44-B047-3F3E698C626D}"/>
    <cellStyle name="Standard 6 2 2 4 13" xfId="2752" xr:uid="{00000000-0005-0000-0000-0000C70A0000}"/>
    <cellStyle name="Standard 6 2 2 4 13 2" xfId="2753" xr:uid="{00000000-0005-0000-0000-0000C80A0000}"/>
    <cellStyle name="Standard 6 2 2 4 13 2 2" xfId="2754" xr:uid="{00000000-0005-0000-0000-0000C90A0000}"/>
    <cellStyle name="Standard 6 2 2 4 13 2 2 2" xfId="14715" xr:uid="{44DCA960-12F9-426F-9147-923DFAE7EB6C}"/>
    <cellStyle name="Standard 6 2 2 4 13 2 3" xfId="14714" xr:uid="{A94955AA-9BC6-47AF-9296-3B487C04A11A}"/>
    <cellStyle name="Standard 6 2 2 4 13 3" xfId="2755" xr:uid="{00000000-0005-0000-0000-0000CA0A0000}"/>
    <cellStyle name="Standard 6 2 2 4 13 3 2" xfId="14716" xr:uid="{B98AE2EF-B288-4899-B99D-A4661FA273D5}"/>
    <cellStyle name="Standard 6 2 2 4 13 4" xfId="14713" xr:uid="{DAD96201-E5E5-41D4-BDFB-0FB98FBBA96C}"/>
    <cellStyle name="Standard 6 2 2 4 14" xfId="2756" xr:uid="{00000000-0005-0000-0000-0000CB0A0000}"/>
    <cellStyle name="Standard 6 2 2 4 14 2" xfId="2757" xr:uid="{00000000-0005-0000-0000-0000CC0A0000}"/>
    <cellStyle name="Standard 6 2 2 4 14 2 2" xfId="2758" xr:uid="{00000000-0005-0000-0000-0000CD0A0000}"/>
    <cellStyle name="Standard 6 2 2 4 14 2 2 2" xfId="14719" xr:uid="{BF9AAF77-64AB-47FF-9120-813DD9110EA7}"/>
    <cellStyle name="Standard 6 2 2 4 14 2 3" xfId="14718" xr:uid="{087E1E69-91E8-4821-A954-5AA65A6962AB}"/>
    <cellStyle name="Standard 6 2 2 4 14 3" xfId="2759" xr:uid="{00000000-0005-0000-0000-0000CE0A0000}"/>
    <cellStyle name="Standard 6 2 2 4 14 3 2" xfId="14720" xr:uid="{D3BD727F-2A43-429B-9B88-3E0F545F34ED}"/>
    <cellStyle name="Standard 6 2 2 4 14 4" xfId="14717" xr:uid="{E5D61A68-BF0A-4C2B-AF2D-C474C364F785}"/>
    <cellStyle name="Standard 6 2 2 4 15" xfId="2760" xr:uid="{00000000-0005-0000-0000-0000CF0A0000}"/>
    <cellStyle name="Standard 6 2 2 4 15 2" xfId="2761" xr:uid="{00000000-0005-0000-0000-0000D00A0000}"/>
    <cellStyle name="Standard 6 2 2 4 15 2 2" xfId="2762" xr:uid="{00000000-0005-0000-0000-0000D10A0000}"/>
    <cellStyle name="Standard 6 2 2 4 15 2 2 2" xfId="14723" xr:uid="{8BF66EA3-8088-4213-8B75-22452A19448B}"/>
    <cellStyle name="Standard 6 2 2 4 15 2 3" xfId="14722" xr:uid="{6803ECB8-47B5-4CD9-9EF5-0254438C1FFA}"/>
    <cellStyle name="Standard 6 2 2 4 15 3" xfId="2763" xr:uid="{00000000-0005-0000-0000-0000D20A0000}"/>
    <cellStyle name="Standard 6 2 2 4 15 3 2" xfId="14724" xr:uid="{3D8CCC0F-C377-4F1D-B8EE-3A03385867E0}"/>
    <cellStyle name="Standard 6 2 2 4 15 4" xfId="14721" xr:uid="{70A83C57-6A05-4ECE-BFF3-0CF0D1FAE66C}"/>
    <cellStyle name="Standard 6 2 2 4 16" xfId="2764" xr:uid="{00000000-0005-0000-0000-0000D30A0000}"/>
    <cellStyle name="Standard 6 2 2 4 16 2" xfId="2765" xr:uid="{00000000-0005-0000-0000-0000D40A0000}"/>
    <cellStyle name="Standard 6 2 2 4 16 2 2" xfId="2766" xr:uid="{00000000-0005-0000-0000-0000D50A0000}"/>
    <cellStyle name="Standard 6 2 2 4 16 2 2 2" xfId="14727" xr:uid="{CD097DE6-4D38-4774-BDDE-3361A391E4A9}"/>
    <cellStyle name="Standard 6 2 2 4 16 2 3" xfId="14726" xr:uid="{63786FBA-566E-4DCD-9804-CCB2402BD683}"/>
    <cellStyle name="Standard 6 2 2 4 16 3" xfId="2767" xr:uid="{00000000-0005-0000-0000-0000D60A0000}"/>
    <cellStyle name="Standard 6 2 2 4 16 3 2" xfId="14728" xr:uid="{00BBF68D-5DF1-42F8-995A-D787C0CDDCF5}"/>
    <cellStyle name="Standard 6 2 2 4 16 4" xfId="14725" xr:uid="{54A0E707-40A7-4FF3-8EE4-89FAD6583FC7}"/>
    <cellStyle name="Standard 6 2 2 4 17" xfId="2768" xr:uid="{00000000-0005-0000-0000-0000D70A0000}"/>
    <cellStyle name="Standard 6 2 2 4 17 2" xfId="2769" xr:uid="{00000000-0005-0000-0000-0000D80A0000}"/>
    <cellStyle name="Standard 6 2 2 4 17 2 2" xfId="2770" xr:uid="{00000000-0005-0000-0000-0000D90A0000}"/>
    <cellStyle name="Standard 6 2 2 4 17 2 2 2" xfId="14731" xr:uid="{B15E45DA-C55C-4944-996C-E3D1B0B3F394}"/>
    <cellStyle name="Standard 6 2 2 4 17 2 3" xfId="14730" xr:uid="{A6E4F813-AAF9-4C32-AAB6-9982C5641E4E}"/>
    <cellStyle name="Standard 6 2 2 4 17 3" xfId="2771" xr:uid="{00000000-0005-0000-0000-0000DA0A0000}"/>
    <cellStyle name="Standard 6 2 2 4 17 3 2" xfId="14732" xr:uid="{1F65792B-D2FC-4175-80E9-7A1FC64692BE}"/>
    <cellStyle name="Standard 6 2 2 4 17 4" xfId="14729" xr:uid="{827C9106-0037-4560-8C3C-6D6633D9784B}"/>
    <cellStyle name="Standard 6 2 2 4 18" xfId="2772" xr:uid="{00000000-0005-0000-0000-0000DB0A0000}"/>
    <cellStyle name="Standard 6 2 2 4 18 2" xfId="2773" xr:uid="{00000000-0005-0000-0000-0000DC0A0000}"/>
    <cellStyle name="Standard 6 2 2 4 18 2 2" xfId="2774" xr:uid="{00000000-0005-0000-0000-0000DD0A0000}"/>
    <cellStyle name="Standard 6 2 2 4 18 2 2 2" xfId="14735" xr:uid="{CFF2BB43-3149-4C05-BD5E-DEDD8165E8F0}"/>
    <cellStyle name="Standard 6 2 2 4 18 2 3" xfId="14734" xr:uid="{7121861E-A652-459B-B99C-5C96E0B9EEDB}"/>
    <cellStyle name="Standard 6 2 2 4 18 3" xfId="2775" xr:uid="{00000000-0005-0000-0000-0000DE0A0000}"/>
    <cellStyle name="Standard 6 2 2 4 18 3 2" xfId="14736" xr:uid="{9AB30957-7040-42EE-AD15-CF9B71F0A88B}"/>
    <cellStyle name="Standard 6 2 2 4 18 4" xfId="14733" xr:uid="{301FFEE0-410C-4C05-95AF-4A131CA2D14F}"/>
    <cellStyle name="Standard 6 2 2 4 19" xfId="2776" xr:uid="{00000000-0005-0000-0000-0000DF0A0000}"/>
    <cellStyle name="Standard 6 2 2 4 19 2" xfId="2777" xr:uid="{00000000-0005-0000-0000-0000E00A0000}"/>
    <cellStyle name="Standard 6 2 2 4 19 2 2" xfId="2778" xr:uid="{00000000-0005-0000-0000-0000E10A0000}"/>
    <cellStyle name="Standard 6 2 2 4 19 2 2 2" xfId="14739" xr:uid="{F40BA772-FABB-4A9E-A48F-666B989590A6}"/>
    <cellStyle name="Standard 6 2 2 4 19 2 3" xfId="14738" xr:uid="{A1DB7294-EC6E-4127-BC1A-1D1E05B04F94}"/>
    <cellStyle name="Standard 6 2 2 4 19 3" xfId="2779" xr:uid="{00000000-0005-0000-0000-0000E20A0000}"/>
    <cellStyle name="Standard 6 2 2 4 19 3 2" xfId="14740" xr:uid="{0085F722-D9D7-446F-80FC-1636094C9E96}"/>
    <cellStyle name="Standard 6 2 2 4 19 4" xfId="14737" xr:uid="{4F2DB051-C86F-4A87-A6E2-C76EA2071F79}"/>
    <cellStyle name="Standard 6 2 2 4 2" xfId="2780" xr:uid="{00000000-0005-0000-0000-0000E30A0000}"/>
    <cellStyle name="Standard 6 2 2 4 2 10" xfId="2781" xr:uid="{00000000-0005-0000-0000-0000E40A0000}"/>
    <cellStyle name="Standard 6 2 2 4 2 10 2" xfId="2782" xr:uid="{00000000-0005-0000-0000-0000E50A0000}"/>
    <cellStyle name="Standard 6 2 2 4 2 10 2 2" xfId="14743" xr:uid="{C316B3A1-E96E-44F5-A958-A3792DDF6422}"/>
    <cellStyle name="Standard 6 2 2 4 2 10 3" xfId="14742" xr:uid="{7B6B969D-CC67-4121-83EA-9081FC77ACC3}"/>
    <cellStyle name="Standard 6 2 2 4 2 11" xfId="2783" xr:uid="{00000000-0005-0000-0000-0000E60A0000}"/>
    <cellStyle name="Standard 6 2 2 4 2 11 2" xfId="14744" xr:uid="{317A98DB-AB20-44FB-A71C-0D451906F137}"/>
    <cellStyle name="Standard 6 2 2 4 2 12" xfId="14741" xr:uid="{6A847E46-3813-415E-B145-43F65ECB55E1}"/>
    <cellStyle name="Standard 6 2 2 4 2 2" xfId="2784" xr:uid="{00000000-0005-0000-0000-0000E70A0000}"/>
    <cellStyle name="Standard 6 2 2 4 2 2 10" xfId="2785" xr:uid="{00000000-0005-0000-0000-0000E80A0000}"/>
    <cellStyle name="Standard 6 2 2 4 2 2 10 2" xfId="14746" xr:uid="{28DA03CF-311D-46EB-89A3-FB7C9A810E65}"/>
    <cellStyle name="Standard 6 2 2 4 2 2 11" xfId="14745" xr:uid="{B23BF3A0-431C-4F17-83E3-2F1A631E6154}"/>
    <cellStyle name="Standard 6 2 2 4 2 2 2" xfId="2786" xr:uid="{00000000-0005-0000-0000-0000E90A0000}"/>
    <cellStyle name="Standard 6 2 2 4 2 2 2 10" xfId="14747" xr:uid="{370D2530-0770-4383-9D57-7B9315CDAE83}"/>
    <cellStyle name="Standard 6 2 2 4 2 2 2 2" xfId="2787" xr:uid="{00000000-0005-0000-0000-0000EA0A0000}"/>
    <cellStyle name="Standard 6 2 2 4 2 2 2 2 2" xfId="2788" xr:uid="{00000000-0005-0000-0000-0000EB0A0000}"/>
    <cellStyle name="Standard 6 2 2 4 2 2 2 2 2 2" xfId="2789" xr:uid="{00000000-0005-0000-0000-0000EC0A0000}"/>
    <cellStyle name="Standard 6 2 2 4 2 2 2 2 2 2 2" xfId="14750" xr:uid="{139864DF-1FDC-4A4C-8DF8-7A4F59286C24}"/>
    <cellStyle name="Standard 6 2 2 4 2 2 2 2 2 3" xfId="14749" xr:uid="{00806B41-B88F-4E00-AE28-39B1E1996E84}"/>
    <cellStyle name="Standard 6 2 2 4 2 2 2 2 3" xfId="2790" xr:uid="{00000000-0005-0000-0000-0000ED0A0000}"/>
    <cellStyle name="Standard 6 2 2 4 2 2 2 2 3 2" xfId="14751" xr:uid="{53578B7C-296C-4716-9CDC-E55BFBED9DFB}"/>
    <cellStyle name="Standard 6 2 2 4 2 2 2 2 4" xfId="14748" xr:uid="{CFC86807-0B1A-4C3E-970A-5F3526605EDF}"/>
    <cellStyle name="Standard 6 2 2 4 2 2 2 3" xfId="2791" xr:uid="{00000000-0005-0000-0000-0000EE0A0000}"/>
    <cellStyle name="Standard 6 2 2 4 2 2 2 3 2" xfId="2792" xr:uid="{00000000-0005-0000-0000-0000EF0A0000}"/>
    <cellStyle name="Standard 6 2 2 4 2 2 2 3 2 2" xfId="2793" xr:uid="{00000000-0005-0000-0000-0000F00A0000}"/>
    <cellStyle name="Standard 6 2 2 4 2 2 2 3 2 2 2" xfId="14754" xr:uid="{9AC880FA-F9C7-4CF2-B815-872FB68E55BF}"/>
    <cellStyle name="Standard 6 2 2 4 2 2 2 3 2 3" xfId="14753" xr:uid="{3C53578B-4B44-48BD-989F-A8F204687272}"/>
    <cellStyle name="Standard 6 2 2 4 2 2 2 3 3" xfId="2794" xr:uid="{00000000-0005-0000-0000-0000F10A0000}"/>
    <cellStyle name="Standard 6 2 2 4 2 2 2 3 3 2" xfId="14755" xr:uid="{279472C6-F14F-4D4A-BF89-FC06AB2956D7}"/>
    <cellStyle name="Standard 6 2 2 4 2 2 2 3 4" xfId="14752" xr:uid="{63CE5AD9-5741-4FB8-BFF5-FC9EED08269F}"/>
    <cellStyle name="Standard 6 2 2 4 2 2 2 4" xfId="2795" xr:uid="{00000000-0005-0000-0000-0000F20A0000}"/>
    <cellStyle name="Standard 6 2 2 4 2 2 2 4 2" xfId="2796" xr:uid="{00000000-0005-0000-0000-0000F30A0000}"/>
    <cellStyle name="Standard 6 2 2 4 2 2 2 4 2 2" xfId="2797" xr:uid="{00000000-0005-0000-0000-0000F40A0000}"/>
    <cellStyle name="Standard 6 2 2 4 2 2 2 4 2 2 2" xfId="14758" xr:uid="{4164EA13-1CBB-48EE-BE98-43C7CA1AF9AA}"/>
    <cellStyle name="Standard 6 2 2 4 2 2 2 4 2 3" xfId="14757" xr:uid="{B5D267AD-B25D-450A-A9FB-27B91FE94615}"/>
    <cellStyle name="Standard 6 2 2 4 2 2 2 4 3" xfId="2798" xr:uid="{00000000-0005-0000-0000-0000F50A0000}"/>
    <cellStyle name="Standard 6 2 2 4 2 2 2 4 3 2" xfId="14759" xr:uid="{A320425B-01BC-4713-9B02-0A612B961B21}"/>
    <cellStyle name="Standard 6 2 2 4 2 2 2 4 4" xfId="14756" xr:uid="{2F8778A5-8F75-4ABE-A0B3-6949A6D56D5D}"/>
    <cellStyle name="Standard 6 2 2 4 2 2 2 5" xfId="2799" xr:uid="{00000000-0005-0000-0000-0000F60A0000}"/>
    <cellStyle name="Standard 6 2 2 4 2 2 2 5 2" xfId="2800" xr:uid="{00000000-0005-0000-0000-0000F70A0000}"/>
    <cellStyle name="Standard 6 2 2 4 2 2 2 5 2 2" xfId="2801" xr:uid="{00000000-0005-0000-0000-0000F80A0000}"/>
    <cellStyle name="Standard 6 2 2 4 2 2 2 5 2 2 2" xfId="14762" xr:uid="{039C02A1-7C67-4C1F-9E40-9939046DE93A}"/>
    <cellStyle name="Standard 6 2 2 4 2 2 2 5 2 3" xfId="14761" xr:uid="{9D1CA485-34DF-46C2-AC3A-1827CB0D91EF}"/>
    <cellStyle name="Standard 6 2 2 4 2 2 2 5 3" xfId="2802" xr:uid="{00000000-0005-0000-0000-0000F90A0000}"/>
    <cellStyle name="Standard 6 2 2 4 2 2 2 5 3 2" xfId="14763" xr:uid="{05762741-4CCB-4A79-B0C4-C18EE99A2CE4}"/>
    <cellStyle name="Standard 6 2 2 4 2 2 2 5 4" xfId="14760" xr:uid="{B3305B17-F6DD-4C06-8DB4-125153FC087F}"/>
    <cellStyle name="Standard 6 2 2 4 2 2 2 6" xfId="2803" xr:uid="{00000000-0005-0000-0000-0000FA0A0000}"/>
    <cellStyle name="Standard 6 2 2 4 2 2 2 6 2" xfId="2804" xr:uid="{00000000-0005-0000-0000-0000FB0A0000}"/>
    <cellStyle name="Standard 6 2 2 4 2 2 2 6 2 2" xfId="2805" xr:uid="{00000000-0005-0000-0000-0000FC0A0000}"/>
    <cellStyle name="Standard 6 2 2 4 2 2 2 6 2 2 2" xfId="14766" xr:uid="{E8D10BBA-C7E6-44D1-ADE3-4B0F16A64CDF}"/>
    <cellStyle name="Standard 6 2 2 4 2 2 2 6 2 3" xfId="14765" xr:uid="{3140C338-26A8-42CF-BAB6-D00D8ED1DFAE}"/>
    <cellStyle name="Standard 6 2 2 4 2 2 2 6 3" xfId="2806" xr:uid="{00000000-0005-0000-0000-0000FD0A0000}"/>
    <cellStyle name="Standard 6 2 2 4 2 2 2 6 3 2" xfId="14767" xr:uid="{FBC4FCF8-E999-41B5-B433-4C6F2B85D833}"/>
    <cellStyle name="Standard 6 2 2 4 2 2 2 6 4" xfId="14764" xr:uid="{4E5B9318-47A6-40FE-82C8-3D46D060E011}"/>
    <cellStyle name="Standard 6 2 2 4 2 2 2 7" xfId="2807" xr:uid="{00000000-0005-0000-0000-0000FE0A0000}"/>
    <cellStyle name="Standard 6 2 2 4 2 2 2 7 2" xfId="2808" xr:uid="{00000000-0005-0000-0000-0000FF0A0000}"/>
    <cellStyle name="Standard 6 2 2 4 2 2 2 7 2 2" xfId="2809" xr:uid="{00000000-0005-0000-0000-0000000B0000}"/>
    <cellStyle name="Standard 6 2 2 4 2 2 2 7 2 2 2" xfId="14770" xr:uid="{177C4C08-3263-4F2E-829D-7D95069CFF0C}"/>
    <cellStyle name="Standard 6 2 2 4 2 2 2 7 2 3" xfId="14769" xr:uid="{986A07D4-D66D-4618-B6C8-F549A3B02967}"/>
    <cellStyle name="Standard 6 2 2 4 2 2 2 7 3" xfId="2810" xr:uid="{00000000-0005-0000-0000-0000010B0000}"/>
    <cellStyle name="Standard 6 2 2 4 2 2 2 7 3 2" xfId="14771" xr:uid="{04F0B789-F272-4407-8E7E-7CB219BF2A6E}"/>
    <cellStyle name="Standard 6 2 2 4 2 2 2 7 4" xfId="14768" xr:uid="{C52CA38B-59C8-434B-897B-0758B6C20BB1}"/>
    <cellStyle name="Standard 6 2 2 4 2 2 2 8" xfId="2811" xr:uid="{00000000-0005-0000-0000-0000020B0000}"/>
    <cellStyle name="Standard 6 2 2 4 2 2 2 8 2" xfId="2812" xr:uid="{00000000-0005-0000-0000-0000030B0000}"/>
    <cellStyle name="Standard 6 2 2 4 2 2 2 8 2 2" xfId="14773" xr:uid="{7B7EB749-712B-4F2D-8137-154C4D5D99CC}"/>
    <cellStyle name="Standard 6 2 2 4 2 2 2 8 3" xfId="14772" xr:uid="{5A776B6B-A7DA-4699-9F5F-B05DF5C086E5}"/>
    <cellStyle name="Standard 6 2 2 4 2 2 2 9" xfId="2813" xr:uid="{00000000-0005-0000-0000-0000040B0000}"/>
    <cellStyle name="Standard 6 2 2 4 2 2 2 9 2" xfId="14774" xr:uid="{A8BFC33A-A666-4A18-8181-2B9065B745C6}"/>
    <cellStyle name="Standard 6 2 2 4 2 2 3" xfId="2814" xr:uid="{00000000-0005-0000-0000-0000050B0000}"/>
    <cellStyle name="Standard 6 2 2 4 2 2 3 2" xfId="2815" xr:uid="{00000000-0005-0000-0000-0000060B0000}"/>
    <cellStyle name="Standard 6 2 2 4 2 2 3 2 2" xfId="2816" xr:uid="{00000000-0005-0000-0000-0000070B0000}"/>
    <cellStyle name="Standard 6 2 2 4 2 2 3 2 2 2" xfId="14777" xr:uid="{1750028D-8214-4665-BCCC-9FA238E7E127}"/>
    <cellStyle name="Standard 6 2 2 4 2 2 3 2 3" xfId="14776" xr:uid="{2A57E77D-A5B6-4989-A2D7-DDE481B3D632}"/>
    <cellStyle name="Standard 6 2 2 4 2 2 3 3" xfId="2817" xr:uid="{00000000-0005-0000-0000-0000080B0000}"/>
    <cellStyle name="Standard 6 2 2 4 2 2 3 3 2" xfId="14778" xr:uid="{5C840843-6F37-48D1-81BF-4A7E58E68046}"/>
    <cellStyle name="Standard 6 2 2 4 2 2 3 4" xfId="14775" xr:uid="{BE15054A-E319-48F4-8CFB-FDE30ED93E05}"/>
    <cellStyle name="Standard 6 2 2 4 2 2 4" xfId="2818" xr:uid="{00000000-0005-0000-0000-0000090B0000}"/>
    <cellStyle name="Standard 6 2 2 4 2 2 4 2" xfId="2819" xr:uid="{00000000-0005-0000-0000-00000A0B0000}"/>
    <cellStyle name="Standard 6 2 2 4 2 2 4 2 2" xfId="2820" xr:uid="{00000000-0005-0000-0000-00000B0B0000}"/>
    <cellStyle name="Standard 6 2 2 4 2 2 4 2 2 2" xfId="14781" xr:uid="{9B1E623E-8247-46CE-B552-048660E6B92C}"/>
    <cellStyle name="Standard 6 2 2 4 2 2 4 2 3" xfId="14780" xr:uid="{BF9848FF-7E5E-4B4D-9785-DD4326EEB12B}"/>
    <cellStyle name="Standard 6 2 2 4 2 2 4 3" xfId="2821" xr:uid="{00000000-0005-0000-0000-00000C0B0000}"/>
    <cellStyle name="Standard 6 2 2 4 2 2 4 3 2" xfId="14782" xr:uid="{B65A0295-E8B7-4130-BDA0-C3A0A705E556}"/>
    <cellStyle name="Standard 6 2 2 4 2 2 4 4" xfId="14779" xr:uid="{469299EA-0B40-44BD-BD15-1CBA0E7F4793}"/>
    <cellStyle name="Standard 6 2 2 4 2 2 5" xfId="2822" xr:uid="{00000000-0005-0000-0000-00000D0B0000}"/>
    <cellStyle name="Standard 6 2 2 4 2 2 5 2" xfId="2823" xr:uid="{00000000-0005-0000-0000-00000E0B0000}"/>
    <cellStyle name="Standard 6 2 2 4 2 2 5 2 2" xfId="2824" xr:uid="{00000000-0005-0000-0000-00000F0B0000}"/>
    <cellStyle name="Standard 6 2 2 4 2 2 5 2 2 2" xfId="14785" xr:uid="{D27EE901-F568-41DF-9362-E66822B77B04}"/>
    <cellStyle name="Standard 6 2 2 4 2 2 5 2 3" xfId="14784" xr:uid="{EB650222-B098-4D9A-B71B-2E36DE27F2FC}"/>
    <cellStyle name="Standard 6 2 2 4 2 2 5 3" xfId="2825" xr:uid="{00000000-0005-0000-0000-0000100B0000}"/>
    <cellStyle name="Standard 6 2 2 4 2 2 5 3 2" xfId="14786" xr:uid="{8E485296-35F3-4DE4-ABC5-C9AB416C5982}"/>
    <cellStyle name="Standard 6 2 2 4 2 2 5 4" xfId="14783" xr:uid="{C5E0229B-34C6-41B6-B7A7-2DE1B0E092AB}"/>
    <cellStyle name="Standard 6 2 2 4 2 2 6" xfId="2826" xr:uid="{00000000-0005-0000-0000-0000110B0000}"/>
    <cellStyle name="Standard 6 2 2 4 2 2 6 2" xfId="2827" xr:uid="{00000000-0005-0000-0000-0000120B0000}"/>
    <cellStyle name="Standard 6 2 2 4 2 2 6 2 2" xfId="2828" xr:uid="{00000000-0005-0000-0000-0000130B0000}"/>
    <cellStyle name="Standard 6 2 2 4 2 2 6 2 2 2" xfId="14789" xr:uid="{D2CF32DF-E28D-4CD0-98EC-000606AB6528}"/>
    <cellStyle name="Standard 6 2 2 4 2 2 6 2 3" xfId="14788" xr:uid="{E3450DDC-6538-487F-81FF-66F474D392C2}"/>
    <cellStyle name="Standard 6 2 2 4 2 2 6 3" xfId="2829" xr:uid="{00000000-0005-0000-0000-0000140B0000}"/>
    <cellStyle name="Standard 6 2 2 4 2 2 6 3 2" xfId="14790" xr:uid="{8552C5B8-0014-4990-BFEE-9981E1CD56FC}"/>
    <cellStyle name="Standard 6 2 2 4 2 2 6 4" xfId="14787" xr:uid="{E778B450-55EE-4F5B-9A40-B22B9843E912}"/>
    <cellStyle name="Standard 6 2 2 4 2 2 7" xfId="2830" xr:uid="{00000000-0005-0000-0000-0000150B0000}"/>
    <cellStyle name="Standard 6 2 2 4 2 2 7 2" xfId="2831" xr:uid="{00000000-0005-0000-0000-0000160B0000}"/>
    <cellStyle name="Standard 6 2 2 4 2 2 7 2 2" xfId="2832" xr:uid="{00000000-0005-0000-0000-0000170B0000}"/>
    <cellStyle name="Standard 6 2 2 4 2 2 7 2 2 2" xfId="14793" xr:uid="{F0E7FD9E-C2BA-4EC8-B68C-0D2C52869A63}"/>
    <cellStyle name="Standard 6 2 2 4 2 2 7 2 3" xfId="14792" xr:uid="{5EB7FD5E-31FA-4329-A792-8CD88D0BE792}"/>
    <cellStyle name="Standard 6 2 2 4 2 2 7 3" xfId="2833" xr:uid="{00000000-0005-0000-0000-0000180B0000}"/>
    <cellStyle name="Standard 6 2 2 4 2 2 7 3 2" xfId="14794" xr:uid="{3A67DED8-924C-473F-9187-7DBBD77E2A7C}"/>
    <cellStyle name="Standard 6 2 2 4 2 2 7 4" xfId="14791" xr:uid="{C7669711-55E9-40C4-BA81-1C14ACE8099F}"/>
    <cellStyle name="Standard 6 2 2 4 2 2 8" xfId="2834" xr:uid="{00000000-0005-0000-0000-0000190B0000}"/>
    <cellStyle name="Standard 6 2 2 4 2 2 8 2" xfId="2835" xr:uid="{00000000-0005-0000-0000-00001A0B0000}"/>
    <cellStyle name="Standard 6 2 2 4 2 2 8 2 2" xfId="2836" xr:uid="{00000000-0005-0000-0000-00001B0B0000}"/>
    <cellStyle name="Standard 6 2 2 4 2 2 8 2 2 2" xfId="14797" xr:uid="{C8709BB9-77F4-4738-B87E-0E5356AC04D8}"/>
    <cellStyle name="Standard 6 2 2 4 2 2 8 2 3" xfId="14796" xr:uid="{355D9087-B713-4D22-922F-F270B6AF955B}"/>
    <cellStyle name="Standard 6 2 2 4 2 2 8 3" xfId="2837" xr:uid="{00000000-0005-0000-0000-00001C0B0000}"/>
    <cellStyle name="Standard 6 2 2 4 2 2 8 3 2" xfId="14798" xr:uid="{9A95FA39-0FC3-43CF-9782-50B747DC3C1E}"/>
    <cellStyle name="Standard 6 2 2 4 2 2 8 4" xfId="14795" xr:uid="{DD719E5B-E3BC-46E2-90C1-2E6A20B399D9}"/>
    <cellStyle name="Standard 6 2 2 4 2 2 9" xfId="2838" xr:uid="{00000000-0005-0000-0000-00001D0B0000}"/>
    <cellStyle name="Standard 6 2 2 4 2 2 9 2" xfId="2839" xr:uid="{00000000-0005-0000-0000-00001E0B0000}"/>
    <cellStyle name="Standard 6 2 2 4 2 2 9 2 2" xfId="14800" xr:uid="{44D50B88-6A99-4097-B663-89C557F7BD23}"/>
    <cellStyle name="Standard 6 2 2 4 2 2 9 3" xfId="14799" xr:uid="{D0ABFE5F-7F89-4174-86D2-D67F15AAD509}"/>
    <cellStyle name="Standard 6 2 2 4 2 3" xfId="2840" xr:uid="{00000000-0005-0000-0000-00001F0B0000}"/>
    <cellStyle name="Standard 6 2 2 4 2 3 10" xfId="14801" xr:uid="{68258364-3056-47D1-B9DC-1935C567D1A7}"/>
    <cellStyle name="Standard 6 2 2 4 2 3 2" xfId="2841" xr:uid="{00000000-0005-0000-0000-0000200B0000}"/>
    <cellStyle name="Standard 6 2 2 4 2 3 2 2" xfId="2842" xr:uid="{00000000-0005-0000-0000-0000210B0000}"/>
    <cellStyle name="Standard 6 2 2 4 2 3 2 2 2" xfId="2843" xr:uid="{00000000-0005-0000-0000-0000220B0000}"/>
    <cellStyle name="Standard 6 2 2 4 2 3 2 2 2 2" xfId="14804" xr:uid="{00C9A3B5-87F3-434F-885A-F76338CF3914}"/>
    <cellStyle name="Standard 6 2 2 4 2 3 2 2 3" xfId="14803" xr:uid="{5641758D-797A-4ABC-B4D1-985282E3BD18}"/>
    <cellStyle name="Standard 6 2 2 4 2 3 2 3" xfId="2844" xr:uid="{00000000-0005-0000-0000-0000230B0000}"/>
    <cellStyle name="Standard 6 2 2 4 2 3 2 3 2" xfId="14805" xr:uid="{6C87BAF8-82FB-4EDA-8239-BBD7B5CB9969}"/>
    <cellStyle name="Standard 6 2 2 4 2 3 2 4" xfId="14802" xr:uid="{575DF8AD-A385-47B9-A091-C3194D7448B1}"/>
    <cellStyle name="Standard 6 2 2 4 2 3 3" xfId="2845" xr:uid="{00000000-0005-0000-0000-0000240B0000}"/>
    <cellStyle name="Standard 6 2 2 4 2 3 3 2" xfId="2846" xr:uid="{00000000-0005-0000-0000-0000250B0000}"/>
    <cellStyle name="Standard 6 2 2 4 2 3 3 2 2" xfId="2847" xr:uid="{00000000-0005-0000-0000-0000260B0000}"/>
    <cellStyle name="Standard 6 2 2 4 2 3 3 2 2 2" xfId="14808" xr:uid="{87A1C25D-1C64-4DE7-9055-004B7A66A6E1}"/>
    <cellStyle name="Standard 6 2 2 4 2 3 3 2 3" xfId="14807" xr:uid="{6217571D-721F-4F54-8F5B-56E7AC2D446E}"/>
    <cellStyle name="Standard 6 2 2 4 2 3 3 3" xfId="2848" xr:uid="{00000000-0005-0000-0000-0000270B0000}"/>
    <cellStyle name="Standard 6 2 2 4 2 3 3 3 2" xfId="14809" xr:uid="{C18A9977-3BEB-4EF2-BE3E-FCEC368FFF8A}"/>
    <cellStyle name="Standard 6 2 2 4 2 3 3 4" xfId="14806" xr:uid="{DFF25C1D-BE84-4B2A-9571-58520CB88E87}"/>
    <cellStyle name="Standard 6 2 2 4 2 3 4" xfId="2849" xr:uid="{00000000-0005-0000-0000-0000280B0000}"/>
    <cellStyle name="Standard 6 2 2 4 2 3 4 2" xfId="2850" xr:uid="{00000000-0005-0000-0000-0000290B0000}"/>
    <cellStyle name="Standard 6 2 2 4 2 3 4 2 2" xfId="2851" xr:uid="{00000000-0005-0000-0000-00002A0B0000}"/>
    <cellStyle name="Standard 6 2 2 4 2 3 4 2 2 2" xfId="14812" xr:uid="{00CF4C3F-6246-40AE-8852-293483646F3D}"/>
    <cellStyle name="Standard 6 2 2 4 2 3 4 2 3" xfId="14811" xr:uid="{EEFBBAD1-6E21-46A0-8D60-1EEC4C06D7C7}"/>
    <cellStyle name="Standard 6 2 2 4 2 3 4 3" xfId="2852" xr:uid="{00000000-0005-0000-0000-00002B0B0000}"/>
    <cellStyle name="Standard 6 2 2 4 2 3 4 3 2" xfId="14813" xr:uid="{D1CA7AB7-E3C4-4426-B6FC-DD14DA2D21B0}"/>
    <cellStyle name="Standard 6 2 2 4 2 3 4 4" xfId="14810" xr:uid="{ADAD382E-65E0-406F-8796-F9D5553683AE}"/>
    <cellStyle name="Standard 6 2 2 4 2 3 5" xfId="2853" xr:uid="{00000000-0005-0000-0000-00002C0B0000}"/>
    <cellStyle name="Standard 6 2 2 4 2 3 5 2" xfId="2854" xr:uid="{00000000-0005-0000-0000-00002D0B0000}"/>
    <cellStyle name="Standard 6 2 2 4 2 3 5 2 2" xfId="2855" xr:uid="{00000000-0005-0000-0000-00002E0B0000}"/>
    <cellStyle name="Standard 6 2 2 4 2 3 5 2 2 2" xfId="14816" xr:uid="{D24D9542-1066-4B6E-8189-EF0C0F1820FF}"/>
    <cellStyle name="Standard 6 2 2 4 2 3 5 2 3" xfId="14815" xr:uid="{8044A39D-6DCF-4083-9C71-92435EAD6656}"/>
    <cellStyle name="Standard 6 2 2 4 2 3 5 3" xfId="2856" xr:uid="{00000000-0005-0000-0000-00002F0B0000}"/>
    <cellStyle name="Standard 6 2 2 4 2 3 5 3 2" xfId="14817" xr:uid="{1EF2DC45-F82B-4FA1-B0B4-072BE3ABD11A}"/>
    <cellStyle name="Standard 6 2 2 4 2 3 5 4" xfId="14814" xr:uid="{653B641F-07B2-4B5D-A4F3-F41591C7A197}"/>
    <cellStyle name="Standard 6 2 2 4 2 3 6" xfId="2857" xr:uid="{00000000-0005-0000-0000-0000300B0000}"/>
    <cellStyle name="Standard 6 2 2 4 2 3 6 2" xfId="2858" xr:uid="{00000000-0005-0000-0000-0000310B0000}"/>
    <cellStyle name="Standard 6 2 2 4 2 3 6 2 2" xfId="2859" xr:uid="{00000000-0005-0000-0000-0000320B0000}"/>
    <cellStyle name="Standard 6 2 2 4 2 3 6 2 2 2" xfId="14820" xr:uid="{24BD05F2-20FD-45FA-A4D7-ABBB39DE3180}"/>
    <cellStyle name="Standard 6 2 2 4 2 3 6 2 3" xfId="14819" xr:uid="{4DFD417C-06A5-4A83-A4C8-AA0C5E9193A1}"/>
    <cellStyle name="Standard 6 2 2 4 2 3 6 3" xfId="2860" xr:uid="{00000000-0005-0000-0000-0000330B0000}"/>
    <cellStyle name="Standard 6 2 2 4 2 3 6 3 2" xfId="14821" xr:uid="{4F3DDFCF-4884-40F7-8198-A76A6CB6FA75}"/>
    <cellStyle name="Standard 6 2 2 4 2 3 6 4" xfId="14818" xr:uid="{8755A5A1-36CB-4853-A1B1-91283E0DA606}"/>
    <cellStyle name="Standard 6 2 2 4 2 3 7" xfId="2861" xr:uid="{00000000-0005-0000-0000-0000340B0000}"/>
    <cellStyle name="Standard 6 2 2 4 2 3 7 2" xfId="2862" xr:uid="{00000000-0005-0000-0000-0000350B0000}"/>
    <cellStyle name="Standard 6 2 2 4 2 3 7 2 2" xfId="2863" xr:uid="{00000000-0005-0000-0000-0000360B0000}"/>
    <cellStyle name="Standard 6 2 2 4 2 3 7 2 2 2" xfId="14824" xr:uid="{8E8BAB16-8071-4E55-9E14-82A4D6796A17}"/>
    <cellStyle name="Standard 6 2 2 4 2 3 7 2 3" xfId="14823" xr:uid="{FED37BDA-24E9-4053-848F-34E55D0F42DB}"/>
    <cellStyle name="Standard 6 2 2 4 2 3 7 3" xfId="2864" xr:uid="{00000000-0005-0000-0000-0000370B0000}"/>
    <cellStyle name="Standard 6 2 2 4 2 3 7 3 2" xfId="14825" xr:uid="{AFF0F6C3-5122-40E0-9C43-6D5D7ADCAB88}"/>
    <cellStyle name="Standard 6 2 2 4 2 3 7 4" xfId="14822" xr:uid="{2EF213E0-D28E-4E5A-8655-057A1C7D2334}"/>
    <cellStyle name="Standard 6 2 2 4 2 3 8" xfId="2865" xr:uid="{00000000-0005-0000-0000-0000380B0000}"/>
    <cellStyle name="Standard 6 2 2 4 2 3 8 2" xfId="2866" xr:uid="{00000000-0005-0000-0000-0000390B0000}"/>
    <cellStyle name="Standard 6 2 2 4 2 3 8 2 2" xfId="14827" xr:uid="{918351DE-06F8-4ABF-B5C1-07D1D8F3340B}"/>
    <cellStyle name="Standard 6 2 2 4 2 3 8 3" xfId="14826" xr:uid="{E77BD4A3-6310-4D1F-99C3-21EB484F71E5}"/>
    <cellStyle name="Standard 6 2 2 4 2 3 9" xfId="2867" xr:uid="{00000000-0005-0000-0000-00003A0B0000}"/>
    <cellStyle name="Standard 6 2 2 4 2 3 9 2" xfId="14828" xr:uid="{EB0DCA63-5A87-4EC7-9204-713D528B9267}"/>
    <cellStyle name="Standard 6 2 2 4 2 4" xfId="2868" xr:uid="{00000000-0005-0000-0000-00003B0B0000}"/>
    <cellStyle name="Standard 6 2 2 4 2 4 2" xfId="2869" xr:uid="{00000000-0005-0000-0000-00003C0B0000}"/>
    <cellStyle name="Standard 6 2 2 4 2 4 2 2" xfId="2870" xr:uid="{00000000-0005-0000-0000-00003D0B0000}"/>
    <cellStyle name="Standard 6 2 2 4 2 4 2 2 2" xfId="14831" xr:uid="{1D702B9D-41A4-41ED-B1DD-00299FBD7E10}"/>
    <cellStyle name="Standard 6 2 2 4 2 4 2 3" xfId="14830" xr:uid="{F6ADA908-A6EB-4635-8400-D5384B7767D5}"/>
    <cellStyle name="Standard 6 2 2 4 2 4 3" xfId="2871" xr:uid="{00000000-0005-0000-0000-00003E0B0000}"/>
    <cellStyle name="Standard 6 2 2 4 2 4 3 2" xfId="14832" xr:uid="{0282B718-11DC-49DA-B70D-37CC5CD1BDA3}"/>
    <cellStyle name="Standard 6 2 2 4 2 4 4" xfId="14829" xr:uid="{1040F8E1-41E9-42BB-A117-1BEA9D6E795C}"/>
    <cellStyle name="Standard 6 2 2 4 2 5" xfId="2872" xr:uid="{00000000-0005-0000-0000-00003F0B0000}"/>
    <cellStyle name="Standard 6 2 2 4 2 5 2" xfId="2873" xr:uid="{00000000-0005-0000-0000-0000400B0000}"/>
    <cellStyle name="Standard 6 2 2 4 2 5 2 2" xfId="2874" xr:uid="{00000000-0005-0000-0000-0000410B0000}"/>
    <cellStyle name="Standard 6 2 2 4 2 5 2 2 2" xfId="14835" xr:uid="{B0E4D59F-2D9B-4090-B311-68422C5004EC}"/>
    <cellStyle name="Standard 6 2 2 4 2 5 2 3" xfId="14834" xr:uid="{4650F973-4D27-418C-918F-AB813D39B60F}"/>
    <cellStyle name="Standard 6 2 2 4 2 5 3" xfId="2875" xr:uid="{00000000-0005-0000-0000-0000420B0000}"/>
    <cellStyle name="Standard 6 2 2 4 2 5 3 2" xfId="14836" xr:uid="{A746589D-20B5-497D-B671-2753E81D0599}"/>
    <cellStyle name="Standard 6 2 2 4 2 5 4" xfId="14833" xr:uid="{FC4FED17-0A9D-4B6E-BB39-89609E26BCDF}"/>
    <cellStyle name="Standard 6 2 2 4 2 6" xfId="2876" xr:uid="{00000000-0005-0000-0000-0000430B0000}"/>
    <cellStyle name="Standard 6 2 2 4 2 6 2" xfId="2877" xr:uid="{00000000-0005-0000-0000-0000440B0000}"/>
    <cellStyle name="Standard 6 2 2 4 2 6 2 2" xfId="2878" xr:uid="{00000000-0005-0000-0000-0000450B0000}"/>
    <cellStyle name="Standard 6 2 2 4 2 6 2 2 2" xfId="14839" xr:uid="{64B70F4C-FA8F-4681-B534-F284AEC46703}"/>
    <cellStyle name="Standard 6 2 2 4 2 6 2 3" xfId="14838" xr:uid="{48B22BB4-264C-4135-AAE1-50FA8D1140F9}"/>
    <cellStyle name="Standard 6 2 2 4 2 6 3" xfId="2879" xr:uid="{00000000-0005-0000-0000-0000460B0000}"/>
    <cellStyle name="Standard 6 2 2 4 2 6 3 2" xfId="14840" xr:uid="{40E15076-0488-4C96-BA1D-CD3992581532}"/>
    <cellStyle name="Standard 6 2 2 4 2 6 4" xfId="14837" xr:uid="{5F613C82-C35A-4BC3-8521-90410A70A2D8}"/>
    <cellStyle name="Standard 6 2 2 4 2 7" xfId="2880" xr:uid="{00000000-0005-0000-0000-0000470B0000}"/>
    <cellStyle name="Standard 6 2 2 4 2 7 2" xfId="2881" xr:uid="{00000000-0005-0000-0000-0000480B0000}"/>
    <cellStyle name="Standard 6 2 2 4 2 7 2 2" xfId="2882" xr:uid="{00000000-0005-0000-0000-0000490B0000}"/>
    <cellStyle name="Standard 6 2 2 4 2 7 2 2 2" xfId="14843" xr:uid="{A7EFD714-D5C1-454C-8660-016769888368}"/>
    <cellStyle name="Standard 6 2 2 4 2 7 2 3" xfId="14842" xr:uid="{FBBDB8C1-3C2F-492A-A841-5C2C56F18ECE}"/>
    <cellStyle name="Standard 6 2 2 4 2 7 3" xfId="2883" xr:uid="{00000000-0005-0000-0000-00004A0B0000}"/>
    <cellStyle name="Standard 6 2 2 4 2 7 3 2" xfId="14844" xr:uid="{5A35625E-D867-4B99-A76B-2DA20CC0FA00}"/>
    <cellStyle name="Standard 6 2 2 4 2 7 4" xfId="14841" xr:uid="{DDC9C74A-DE8B-4F84-B869-2F6DC1963DDE}"/>
    <cellStyle name="Standard 6 2 2 4 2 8" xfId="2884" xr:uid="{00000000-0005-0000-0000-00004B0B0000}"/>
    <cellStyle name="Standard 6 2 2 4 2 8 2" xfId="2885" xr:uid="{00000000-0005-0000-0000-00004C0B0000}"/>
    <cellStyle name="Standard 6 2 2 4 2 8 2 2" xfId="2886" xr:uid="{00000000-0005-0000-0000-00004D0B0000}"/>
    <cellStyle name="Standard 6 2 2 4 2 8 2 2 2" xfId="14847" xr:uid="{A10767D3-FE76-41CE-BD4B-A2CC1627530F}"/>
    <cellStyle name="Standard 6 2 2 4 2 8 2 3" xfId="14846" xr:uid="{225F1CBD-F4E9-4339-91A5-27B1E274B156}"/>
    <cellStyle name="Standard 6 2 2 4 2 8 3" xfId="2887" xr:uid="{00000000-0005-0000-0000-00004E0B0000}"/>
    <cellStyle name="Standard 6 2 2 4 2 8 3 2" xfId="14848" xr:uid="{97AFBA98-9394-4A8E-8B6D-679872E2DE8A}"/>
    <cellStyle name="Standard 6 2 2 4 2 8 4" xfId="14845" xr:uid="{0DA0373E-D10B-466B-94E2-45C376364EE4}"/>
    <cellStyle name="Standard 6 2 2 4 2 9" xfId="2888" xr:uid="{00000000-0005-0000-0000-00004F0B0000}"/>
    <cellStyle name="Standard 6 2 2 4 2 9 2" xfId="2889" xr:uid="{00000000-0005-0000-0000-0000500B0000}"/>
    <cellStyle name="Standard 6 2 2 4 2 9 2 2" xfId="2890" xr:uid="{00000000-0005-0000-0000-0000510B0000}"/>
    <cellStyle name="Standard 6 2 2 4 2 9 2 2 2" xfId="14851" xr:uid="{BD467C80-11B0-4979-92EB-3D3B3DF3FB8B}"/>
    <cellStyle name="Standard 6 2 2 4 2 9 2 3" xfId="14850" xr:uid="{D384F8A5-BFA7-4116-B544-DFB9CF305EAA}"/>
    <cellStyle name="Standard 6 2 2 4 2 9 3" xfId="2891" xr:uid="{00000000-0005-0000-0000-0000520B0000}"/>
    <cellStyle name="Standard 6 2 2 4 2 9 3 2" xfId="14852" xr:uid="{14177100-8756-40EE-9CFE-5F49859276C4}"/>
    <cellStyle name="Standard 6 2 2 4 2 9 4" xfId="14849" xr:uid="{031592CD-3237-4492-87B1-88FCD68035B7}"/>
    <cellStyle name="Standard 6 2 2 4 20" xfId="2892" xr:uid="{00000000-0005-0000-0000-0000530B0000}"/>
    <cellStyle name="Standard 6 2 2 4 20 2" xfId="2893" xr:uid="{00000000-0005-0000-0000-0000540B0000}"/>
    <cellStyle name="Standard 6 2 2 4 20 2 2" xfId="14854" xr:uid="{2E2A9061-C808-49C6-AFF0-01325D791FBF}"/>
    <cellStyle name="Standard 6 2 2 4 20 3" xfId="14853" xr:uid="{19C6EFEC-9469-4B6A-8BDF-AF3AB0DDF6BF}"/>
    <cellStyle name="Standard 6 2 2 4 21" xfId="2894" xr:uid="{00000000-0005-0000-0000-0000550B0000}"/>
    <cellStyle name="Standard 6 2 2 4 21 2" xfId="14855" xr:uid="{14F3515E-D49F-4FF6-B46B-2CF3BF6F7D11}"/>
    <cellStyle name="Standard 6 2 2 4 22" xfId="2895" xr:uid="{00000000-0005-0000-0000-0000560B0000}"/>
    <cellStyle name="Standard 6 2 2 4 22 2" xfId="14856" xr:uid="{3DE6F56D-1B16-4D5B-8425-09903DE9EA08}"/>
    <cellStyle name="Standard 6 2 2 4 23" xfId="14700" xr:uid="{347614DB-755A-424A-B2ED-1C45E5BEAE56}"/>
    <cellStyle name="Standard 6 2 2 4 3" xfId="2896" xr:uid="{00000000-0005-0000-0000-0000570B0000}"/>
    <cellStyle name="Standard 6 2 2 4 3 10" xfId="2897" xr:uid="{00000000-0005-0000-0000-0000580B0000}"/>
    <cellStyle name="Standard 6 2 2 4 3 10 2" xfId="14858" xr:uid="{9DFEF19A-D624-416D-8E42-A3CA3A6759AB}"/>
    <cellStyle name="Standard 6 2 2 4 3 11" xfId="14857" xr:uid="{A7EA6CEC-91FB-4AB3-A033-657807E37995}"/>
    <cellStyle name="Standard 6 2 2 4 3 2" xfId="2898" xr:uid="{00000000-0005-0000-0000-0000590B0000}"/>
    <cellStyle name="Standard 6 2 2 4 3 2 10" xfId="14859" xr:uid="{10261B36-874E-40AA-B28B-B0E54C11718C}"/>
    <cellStyle name="Standard 6 2 2 4 3 2 2" xfId="2899" xr:uid="{00000000-0005-0000-0000-00005A0B0000}"/>
    <cellStyle name="Standard 6 2 2 4 3 2 2 2" xfId="2900" xr:uid="{00000000-0005-0000-0000-00005B0B0000}"/>
    <cellStyle name="Standard 6 2 2 4 3 2 2 2 2" xfId="2901" xr:uid="{00000000-0005-0000-0000-00005C0B0000}"/>
    <cellStyle name="Standard 6 2 2 4 3 2 2 2 2 2" xfId="14862" xr:uid="{98D99C73-479B-4450-9E6B-9297F2A73E29}"/>
    <cellStyle name="Standard 6 2 2 4 3 2 2 2 3" xfId="14861" xr:uid="{3F2F3A68-B078-46E4-BD79-D8D947E0C6D4}"/>
    <cellStyle name="Standard 6 2 2 4 3 2 2 3" xfId="2902" xr:uid="{00000000-0005-0000-0000-00005D0B0000}"/>
    <cellStyle name="Standard 6 2 2 4 3 2 2 3 2" xfId="14863" xr:uid="{150C6188-3AF9-4C31-972A-B53B0EF39B56}"/>
    <cellStyle name="Standard 6 2 2 4 3 2 2 4" xfId="14860" xr:uid="{F22517F3-D47D-4C70-BF3B-5135812FD48E}"/>
    <cellStyle name="Standard 6 2 2 4 3 2 3" xfId="2903" xr:uid="{00000000-0005-0000-0000-00005E0B0000}"/>
    <cellStyle name="Standard 6 2 2 4 3 2 3 2" xfId="2904" xr:uid="{00000000-0005-0000-0000-00005F0B0000}"/>
    <cellStyle name="Standard 6 2 2 4 3 2 3 2 2" xfId="2905" xr:uid="{00000000-0005-0000-0000-0000600B0000}"/>
    <cellStyle name="Standard 6 2 2 4 3 2 3 2 2 2" xfId="14866" xr:uid="{F5243CD8-8BA4-4826-8891-4A01A471634B}"/>
    <cellStyle name="Standard 6 2 2 4 3 2 3 2 3" xfId="14865" xr:uid="{4A53C053-EE8C-4622-8750-75CDFA7E714C}"/>
    <cellStyle name="Standard 6 2 2 4 3 2 3 3" xfId="2906" xr:uid="{00000000-0005-0000-0000-0000610B0000}"/>
    <cellStyle name="Standard 6 2 2 4 3 2 3 3 2" xfId="14867" xr:uid="{E46851A0-5574-4A04-9BD6-E81EDBC3824C}"/>
    <cellStyle name="Standard 6 2 2 4 3 2 3 4" xfId="14864" xr:uid="{7D51B79F-5BAF-4D65-AB81-C0FD2E8ED182}"/>
    <cellStyle name="Standard 6 2 2 4 3 2 4" xfId="2907" xr:uid="{00000000-0005-0000-0000-0000620B0000}"/>
    <cellStyle name="Standard 6 2 2 4 3 2 4 2" xfId="2908" xr:uid="{00000000-0005-0000-0000-0000630B0000}"/>
    <cellStyle name="Standard 6 2 2 4 3 2 4 2 2" xfId="2909" xr:uid="{00000000-0005-0000-0000-0000640B0000}"/>
    <cellStyle name="Standard 6 2 2 4 3 2 4 2 2 2" xfId="14870" xr:uid="{6B43BD05-F57E-4406-983A-BFF5452F3286}"/>
    <cellStyle name="Standard 6 2 2 4 3 2 4 2 3" xfId="14869" xr:uid="{D594638E-5B95-46C1-A966-D6965B9E2A71}"/>
    <cellStyle name="Standard 6 2 2 4 3 2 4 3" xfId="2910" xr:uid="{00000000-0005-0000-0000-0000650B0000}"/>
    <cellStyle name="Standard 6 2 2 4 3 2 4 3 2" xfId="14871" xr:uid="{155CBB2E-622B-4CC3-8933-BA60DD3DDFFB}"/>
    <cellStyle name="Standard 6 2 2 4 3 2 4 4" xfId="14868" xr:uid="{CAF4C077-1C00-45AC-B21C-F2A3C43CF148}"/>
    <cellStyle name="Standard 6 2 2 4 3 2 5" xfId="2911" xr:uid="{00000000-0005-0000-0000-0000660B0000}"/>
    <cellStyle name="Standard 6 2 2 4 3 2 5 2" xfId="2912" xr:uid="{00000000-0005-0000-0000-0000670B0000}"/>
    <cellStyle name="Standard 6 2 2 4 3 2 5 2 2" xfId="2913" xr:uid="{00000000-0005-0000-0000-0000680B0000}"/>
    <cellStyle name="Standard 6 2 2 4 3 2 5 2 2 2" xfId="14874" xr:uid="{0B3D63C6-AC49-420D-8E0C-363C35BFAD9A}"/>
    <cellStyle name="Standard 6 2 2 4 3 2 5 2 3" xfId="14873" xr:uid="{4997FBC1-DE7E-483D-8398-19BCDDE28121}"/>
    <cellStyle name="Standard 6 2 2 4 3 2 5 3" xfId="2914" xr:uid="{00000000-0005-0000-0000-0000690B0000}"/>
    <cellStyle name="Standard 6 2 2 4 3 2 5 3 2" xfId="14875" xr:uid="{12653388-C8CF-44C9-9A50-5C50129A2E49}"/>
    <cellStyle name="Standard 6 2 2 4 3 2 5 4" xfId="14872" xr:uid="{D0B5AEC4-B80C-4C91-893B-49F9E5672527}"/>
    <cellStyle name="Standard 6 2 2 4 3 2 6" xfId="2915" xr:uid="{00000000-0005-0000-0000-00006A0B0000}"/>
    <cellStyle name="Standard 6 2 2 4 3 2 6 2" xfId="2916" xr:uid="{00000000-0005-0000-0000-00006B0B0000}"/>
    <cellStyle name="Standard 6 2 2 4 3 2 6 2 2" xfId="2917" xr:uid="{00000000-0005-0000-0000-00006C0B0000}"/>
    <cellStyle name="Standard 6 2 2 4 3 2 6 2 2 2" xfId="14878" xr:uid="{9EC067BA-4D2D-4F9D-9ECA-639F54B9DA65}"/>
    <cellStyle name="Standard 6 2 2 4 3 2 6 2 3" xfId="14877" xr:uid="{874B9ABA-8703-43E3-8EB5-5B0768CFA885}"/>
    <cellStyle name="Standard 6 2 2 4 3 2 6 3" xfId="2918" xr:uid="{00000000-0005-0000-0000-00006D0B0000}"/>
    <cellStyle name="Standard 6 2 2 4 3 2 6 3 2" xfId="14879" xr:uid="{59B289BD-5FEA-4285-AB8C-C1F771FE81D5}"/>
    <cellStyle name="Standard 6 2 2 4 3 2 6 4" xfId="14876" xr:uid="{7D858A0F-E544-4DDF-B6B8-329353A48D48}"/>
    <cellStyle name="Standard 6 2 2 4 3 2 7" xfId="2919" xr:uid="{00000000-0005-0000-0000-00006E0B0000}"/>
    <cellStyle name="Standard 6 2 2 4 3 2 7 2" xfId="2920" xr:uid="{00000000-0005-0000-0000-00006F0B0000}"/>
    <cellStyle name="Standard 6 2 2 4 3 2 7 2 2" xfId="2921" xr:uid="{00000000-0005-0000-0000-0000700B0000}"/>
    <cellStyle name="Standard 6 2 2 4 3 2 7 2 2 2" xfId="14882" xr:uid="{D1C539F8-A28C-43B5-AE15-EDF6E75E64E1}"/>
    <cellStyle name="Standard 6 2 2 4 3 2 7 2 3" xfId="14881" xr:uid="{BCAF72DC-B373-403B-920E-DAE1F54C90E6}"/>
    <cellStyle name="Standard 6 2 2 4 3 2 7 3" xfId="2922" xr:uid="{00000000-0005-0000-0000-0000710B0000}"/>
    <cellStyle name="Standard 6 2 2 4 3 2 7 3 2" xfId="14883" xr:uid="{49A8C8E3-3098-4007-B8C4-29C5207A6467}"/>
    <cellStyle name="Standard 6 2 2 4 3 2 7 4" xfId="14880" xr:uid="{167185A6-90D6-4251-AA4E-590D984C75F5}"/>
    <cellStyle name="Standard 6 2 2 4 3 2 8" xfId="2923" xr:uid="{00000000-0005-0000-0000-0000720B0000}"/>
    <cellStyle name="Standard 6 2 2 4 3 2 8 2" xfId="2924" xr:uid="{00000000-0005-0000-0000-0000730B0000}"/>
    <cellStyle name="Standard 6 2 2 4 3 2 8 2 2" xfId="14885" xr:uid="{E553CE42-BE0F-4429-A0AB-C23DD8182CF5}"/>
    <cellStyle name="Standard 6 2 2 4 3 2 8 3" xfId="14884" xr:uid="{35D21926-00B1-494F-9C6D-688B72E4F141}"/>
    <cellStyle name="Standard 6 2 2 4 3 2 9" xfId="2925" xr:uid="{00000000-0005-0000-0000-0000740B0000}"/>
    <cellStyle name="Standard 6 2 2 4 3 2 9 2" xfId="14886" xr:uid="{E1B063E0-292A-4AE1-BFA6-51966820E464}"/>
    <cellStyle name="Standard 6 2 2 4 3 3" xfId="2926" xr:uid="{00000000-0005-0000-0000-0000750B0000}"/>
    <cellStyle name="Standard 6 2 2 4 3 3 2" xfId="2927" xr:uid="{00000000-0005-0000-0000-0000760B0000}"/>
    <cellStyle name="Standard 6 2 2 4 3 3 2 2" xfId="2928" xr:uid="{00000000-0005-0000-0000-0000770B0000}"/>
    <cellStyle name="Standard 6 2 2 4 3 3 2 2 2" xfId="14889" xr:uid="{10B98B8C-F484-4DF8-BBE5-52C24932F6A3}"/>
    <cellStyle name="Standard 6 2 2 4 3 3 2 3" xfId="14888" xr:uid="{956C658A-47F7-4CC9-A41B-B0A508FAB7B0}"/>
    <cellStyle name="Standard 6 2 2 4 3 3 3" xfId="2929" xr:uid="{00000000-0005-0000-0000-0000780B0000}"/>
    <cellStyle name="Standard 6 2 2 4 3 3 3 2" xfId="14890" xr:uid="{9AF39D78-A254-451F-AD53-AAAF5356FAE6}"/>
    <cellStyle name="Standard 6 2 2 4 3 3 4" xfId="14887" xr:uid="{EA368A92-C951-4774-84B2-22670865DE6A}"/>
    <cellStyle name="Standard 6 2 2 4 3 4" xfId="2930" xr:uid="{00000000-0005-0000-0000-0000790B0000}"/>
    <cellStyle name="Standard 6 2 2 4 3 4 2" xfId="2931" xr:uid="{00000000-0005-0000-0000-00007A0B0000}"/>
    <cellStyle name="Standard 6 2 2 4 3 4 2 2" xfId="2932" xr:uid="{00000000-0005-0000-0000-00007B0B0000}"/>
    <cellStyle name="Standard 6 2 2 4 3 4 2 2 2" xfId="14893" xr:uid="{E3D3627E-4BEB-4803-AA51-CCACAB6440E0}"/>
    <cellStyle name="Standard 6 2 2 4 3 4 2 3" xfId="14892" xr:uid="{0F7CC0C1-03A6-44F3-95FF-BCBEAF357380}"/>
    <cellStyle name="Standard 6 2 2 4 3 4 3" xfId="2933" xr:uid="{00000000-0005-0000-0000-00007C0B0000}"/>
    <cellStyle name="Standard 6 2 2 4 3 4 3 2" xfId="14894" xr:uid="{C649949F-F1C5-47A7-9315-FDD63CAC4A3B}"/>
    <cellStyle name="Standard 6 2 2 4 3 4 4" xfId="14891" xr:uid="{9AB5BAA7-5E4F-488F-B8D3-5EF1CF3100FE}"/>
    <cellStyle name="Standard 6 2 2 4 3 5" xfId="2934" xr:uid="{00000000-0005-0000-0000-00007D0B0000}"/>
    <cellStyle name="Standard 6 2 2 4 3 5 2" xfId="2935" xr:uid="{00000000-0005-0000-0000-00007E0B0000}"/>
    <cellStyle name="Standard 6 2 2 4 3 5 2 2" xfId="2936" xr:uid="{00000000-0005-0000-0000-00007F0B0000}"/>
    <cellStyle name="Standard 6 2 2 4 3 5 2 2 2" xfId="14897" xr:uid="{0B4BB4C8-E39B-464A-A616-A8A11BAAC0E6}"/>
    <cellStyle name="Standard 6 2 2 4 3 5 2 3" xfId="14896" xr:uid="{C2FECCA9-04C0-40AE-92EB-58F6D941E630}"/>
    <cellStyle name="Standard 6 2 2 4 3 5 3" xfId="2937" xr:uid="{00000000-0005-0000-0000-0000800B0000}"/>
    <cellStyle name="Standard 6 2 2 4 3 5 3 2" xfId="14898" xr:uid="{19169ADF-52C3-4F2A-BA93-9D5CC25A7034}"/>
    <cellStyle name="Standard 6 2 2 4 3 5 4" xfId="14895" xr:uid="{F853C5E7-AF4D-41F5-9DFF-B47ABAFE2EFC}"/>
    <cellStyle name="Standard 6 2 2 4 3 6" xfId="2938" xr:uid="{00000000-0005-0000-0000-0000810B0000}"/>
    <cellStyle name="Standard 6 2 2 4 3 6 2" xfId="2939" xr:uid="{00000000-0005-0000-0000-0000820B0000}"/>
    <cellStyle name="Standard 6 2 2 4 3 6 2 2" xfId="2940" xr:uid="{00000000-0005-0000-0000-0000830B0000}"/>
    <cellStyle name="Standard 6 2 2 4 3 6 2 2 2" xfId="14901" xr:uid="{ECDEA63E-EE61-4111-B481-59BBE136BCD2}"/>
    <cellStyle name="Standard 6 2 2 4 3 6 2 3" xfId="14900" xr:uid="{821C72AB-D0C1-46F7-8225-E249849AA980}"/>
    <cellStyle name="Standard 6 2 2 4 3 6 3" xfId="2941" xr:uid="{00000000-0005-0000-0000-0000840B0000}"/>
    <cellStyle name="Standard 6 2 2 4 3 6 3 2" xfId="14902" xr:uid="{404443E6-9E40-4EB7-A866-3287C5B39928}"/>
    <cellStyle name="Standard 6 2 2 4 3 6 4" xfId="14899" xr:uid="{0087C9B7-5430-4760-BE33-9C2DE3D7B832}"/>
    <cellStyle name="Standard 6 2 2 4 3 7" xfId="2942" xr:uid="{00000000-0005-0000-0000-0000850B0000}"/>
    <cellStyle name="Standard 6 2 2 4 3 7 2" xfId="2943" xr:uid="{00000000-0005-0000-0000-0000860B0000}"/>
    <cellStyle name="Standard 6 2 2 4 3 7 2 2" xfId="2944" xr:uid="{00000000-0005-0000-0000-0000870B0000}"/>
    <cellStyle name="Standard 6 2 2 4 3 7 2 2 2" xfId="14905" xr:uid="{D71908EB-9D15-40F1-9BF6-A0C4AB4C6C62}"/>
    <cellStyle name="Standard 6 2 2 4 3 7 2 3" xfId="14904" xr:uid="{4D21ED07-A6B9-42CC-9829-E2833A08AA43}"/>
    <cellStyle name="Standard 6 2 2 4 3 7 3" xfId="2945" xr:uid="{00000000-0005-0000-0000-0000880B0000}"/>
    <cellStyle name="Standard 6 2 2 4 3 7 3 2" xfId="14906" xr:uid="{A2392534-6AC0-4A11-BD4D-6F1A4B0F898A}"/>
    <cellStyle name="Standard 6 2 2 4 3 7 4" xfId="14903" xr:uid="{12C2104E-EC15-4812-BF86-B2934F43D6B7}"/>
    <cellStyle name="Standard 6 2 2 4 3 8" xfId="2946" xr:uid="{00000000-0005-0000-0000-0000890B0000}"/>
    <cellStyle name="Standard 6 2 2 4 3 8 2" xfId="2947" xr:uid="{00000000-0005-0000-0000-00008A0B0000}"/>
    <cellStyle name="Standard 6 2 2 4 3 8 2 2" xfId="2948" xr:uid="{00000000-0005-0000-0000-00008B0B0000}"/>
    <cellStyle name="Standard 6 2 2 4 3 8 2 2 2" xfId="14909" xr:uid="{647A474A-6FC8-49C3-9DAD-E5615E8F3B3C}"/>
    <cellStyle name="Standard 6 2 2 4 3 8 2 3" xfId="14908" xr:uid="{87D5F9A5-77EF-4715-AD71-A84B1522316F}"/>
    <cellStyle name="Standard 6 2 2 4 3 8 3" xfId="2949" xr:uid="{00000000-0005-0000-0000-00008C0B0000}"/>
    <cellStyle name="Standard 6 2 2 4 3 8 3 2" xfId="14910" xr:uid="{4BE1E8AE-37C8-4DCC-96AE-6D75BF9C0F0C}"/>
    <cellStyle name="Standard 6 2 2 4 3 8 4" xfId="14907" xr:uid="{17E79249-08C4-45C0-A107-4EA3CCBBD4DE}"/>
    <cellStyle name="Standard 6 2 2 4 3 9" xfId="2950" xr:uid="{00000000-0005-0000-0000-00008D0B0000}"/>
    <cellStyle name="Standard 6 2 2 4 3 9 2" xfId="2951" xr:uid="{00000000-0005-0000-0000-00008E0B0000}"/>
    <cellStyle name="Standard 6 2 2 4 3 9 2 2" xfId="14912" xr:uid="{0D6428FB-0F0D-42F0-A054-3F004ED950AD}"/>
    <cellStyle name="Standard 6 2 2 4 3 9 3" xfId="14911" xr:uid="{B1B097BF-6FA0-4C07-ABFE-FA6D8AE382F5}"/>
    <cellStyle name="Standard 6 2 2 4 4" xfId="2952" xr:uid="{00000000-0005-0000-0000-00008F0B0000}"/>
    <cellStyle name="Standard 6 2 2 4 4 10" xfId="2953" xr:uid="{00000000-0005-0000-0000-0000900B0000}"/>
    <cellStyle name="Standard 6 2 2 4 4 10 2" xfId="14914" xr:uid="{16D34C42-02F7-4C34-8071-594C381C320E}"/>
    <cellStyle name="Standard 6 2 2 4 4 11" xfId="14913" xr:uid="{A8A9DF98-8122-4F9C-882E-77A5E9544B6E}"/>
    <cellStyle name="Standard 6 2 2 4 4 2" xfId="2954" xr:uid="{00000000-0005-0000-0000-0000910B0000}"/>
    <cellStyle name="Standard 6 2 2 4 4 2 10" xfId="14915" xr:uid="{0CAAB6D4-B179-4232-A439-DA116E8A6001}"/>
    <cellStyle name="Standard 6 2 2 4 4 2 2" xfId="2955" xr:uid="{00000000-0005-0000-0000-0000920B0000}"/>
    <cellStyle name="Standard 6 2 2 4 4 2 2 2" xfId="2956" xr:uid="{00000000-0005-0000-0000-0000930B0000}"/>
    <cellStyle name="Standard 6 2 2 4 4 2 2 2 2" xfId="2957" xr:uid="{00000000-0005-0000-0000-0000940B0000}"/>
    <cellStyle name="Standard 6 2 2 4 4 2 2 2 2 2" xfId="14918" xr:uid="{9306C98D-C3EF-42C5-89BE-D3301FB5EEE4}"/>
    <cellStyle name="Standard 6 2 2 4 4 2 2 2 3" xfId="14917" xr:uid="{5D21B468-E82C-41DD-A8F6-1B8A18C3F1AC}"/>
    <cellStyle name="Standard 6 2 2 4 4 2 2 3" xfId="2958" xr:uid="{00000000-0005-0000-0000-0000950B0000}"/>
    <cellStyle name="Standard 6 2 2 4 4 2 2 3 2" xfId="14919" xr:uid="{8E732EA1-6FF4-42B4-99DE-69D74F546ED2}"/>
    <cellStyle name="Standard 6 2 2 4 4 2 2 4" xfId="14916" xr:uid="{9EC65578-2EA0-45B6-B2E9-A2AD940DE64A}"/>
    <cellStyle name="Standard 6 2 2 4 4 2 3" xfId="2959" xr:uid="{00000000-0005-0000-0000-0000960B0000}"/>
    <cellStyle name="Standard 6 2 2 4 4 2 3 2" xfId="2960" xr:uid="{00000000-0005-0000-0000-0000970B0000}"/>
    <cellStyle name="Standard 6 2 2 4 4 2 3 2 2" xfId="2961" xr:uid="{00000000-0005-0000-0000-0000980B0000}"/>
    <cellStyle name="Standard 6 2 2 4 4 2 3 2 2 2" xfId="14922" xr:uid="{22E72D6D-A3A2-42CC-802B-1407D396C3E1}"/>
    <cellStyle name="Standard 6 2 2 4 4 2 3 2 3" xfId="14921" xr:uid="{BFC99EBB-882C-423A-9AAF-317C68EA810C}"/>
    <cellStyle name="Standard 6 2 2 4 4 2 3 3" xfId="2962" xr:uid="{00000000-0005-0000-0000-0000990B0000}"/>
    <cellStyle name="Standard 6 2 2 4 4 2 3 3 2" xfId="14923" xr:uid="{3134219B-4716-4541-8A8B-5F7D6C91C098}"/>
    <cellStyle name="Standard 6 2 2 4 4 2 3 4" xfId="14920" xr:uid="{29625586-F1F8-4D83-8E88-094146E1638D}"/>
    <cellStyle name="Standard 6 2 2 4 4 2 4" xfId="2963" xr:uid="{00000000-0005-0000-0000-00009A0B0000}"/>
    <cellStyle name="Standard 6 2 2 4 4 2 4 2" xfId="2964" xr:uid="{00000000-0005-0000-0000-00009B0B0000}"/>
    <cellStyle name="Standard 6 2 2 4 4 2 4 2 2" xfId="2965" xr:uid="{00000000-0005-0000-0000-00009C0B0000}"/>
    <cellStyle name="Standard 6 2 2 4 4 2 4 2 2 2" xfId="14926" xr:uid="{E0D2A481-8BDD-4C74-8933-9C33BB24D851}"/>
    <cellStyle name="Standard 6 2 2 4 4 2 4 2 3" xfId="14925" xr:uid="{4F68BB97-C1CA-49DE-A388-C98E2E789571}"/>
    <cellStyle name="Standard 6 2 2 4 4 2 4 3" xfId="2966" xr:uid="{00000000-0005-0000-0000-00009D0B0000}"/>
    <cellStyle name="Standard 6 2 2 4 4 2 4 3 2" xfId="14927" xr:uid="{0EBE0C58-61E9-47CB-B0F2-D19D612C38E8}"/>
    <cellStyle name="Standard 6 2 2 4 4 2 4 4" xfId="14924" xr:uid="{BE105816-E29A-4980-B585-2EC37DA6A95A}"/>
    <cellStyle name="Standard 6 2 2 4 4 2 5" xfId="2967" xr:uid="{00000000-0005-0000-0000-00009E0B0000}"/>
    <cellStyle name="Standard 6 2 2 4 4 2 5 2" xfId="2968" xr:uid="{00000000-0005-0000-0000-00009F0B0000}"/>
    <cellStyle name="Standard 6 2 2 4 4 2 5 2 2" xfId="2969" xr:uid="{00000000-0005-0000-0000-0000A00B0000}"/>
    <cellStyle name="Standard 6 2 2 4 4 2 5 2 2 2" xfId="14930" xr:uid="{9163B45E-DFA8-47B6-95EB-8C649707DE28}"/>
    <cellStyle name="Standard 6 2 2 4 4 2 5 2 3" xfId="14929" xr:uid="{E3CD10E1-4CCD-41AB-B217-796AC39A4819}"/>
    <cellStyle name="Standard 6 2 2 4 4 2 5 3" xfId="2970" xr:uid="{00000000-0005-0000-0000-0000A10B0000}"/>
    <cellStyle name="Standard 6 2 2 4 4 2 5 3 2" xfId="14931" xr:uid="{62E1FC88-A134-4646-A6AB-F33B5999AC0C}"/>
    <cellStyle name="Standard 6 2 2 4 4 2 5 4" xfId="14928" xr:uid="{A2B4176C-4C55-43E5-A254-67E769A98B06}"/>
    <cellStyle name="Standard 6 2 2 4 4 2 6" xfId="2971" xr:uid="{00000000-0005-0000-0000-0000A20B0000}"/>
    <cellStyle name="Standard 6 2 2 4 4 2 6 2" xfId="2972" xr:uid="{00000000-0005-0000-0000-0000A30B0000}"/>
    <cellStyle name="Standard 6 2 2 4 4 2 6 2 2" xfId="2973" xr:uid="{00000000-0005-0000-0000-0000A40B0000}"/>
    <cellStyle name="Standard 6 2 2 4 4 2 6 2 2 2" xfId="14934" xr:uid="{AD156866-A1F4-4252-9A48-CA3677FF8364}"/>
    <cellStyle name="Standard 6 2 2 4 4 2 6 2 3" xfId="14933" xr:uid="{2F21931F-E6B4-4789-8BCF-1D3241DCDE74}"/>
    <cellStyle name="Standard 6 2 2 4 4 2 6 3" xfId="2974" xr:uid="{00000000-0005-0000-0000-0000A50B0000}"/>
    <cellStyle name="Standard 6 2 2 4 4 2 6 3 2" xfId="14935" xr:uid="{D8FEBB57-5C55-44A8-B669-B31FA69889A0}"/>
    <cellStyle name="Standard 6 2 2 4 4 2 6 4" xfId="14932" xr:uid="{20DC7EA5-BD18-444E-9881-5EC8C981E4AA}"/>
    <cellStyle name="Standard 6 2 2 4 4 2 7" xfId="2975" xr:uid="{00000000-0005-0000-0000-0000A60B0000}"/>
    <cellStyle name="Standard 6 2 2 4 4 2 7 2" xfId="2976" xr:uid="{00000000-0005-0000-0000-0000A70B0000}"/>
    <cellStyle name="Standard 6 2 2 4 4 2 7 2 2" xfId="2977" xr:uid="{00000000-0005-0000-0000-0000A80B0000}"/>
    <cellStyle name="Standard 6 2 2 4 4 2 7 2 2 2" xfId="14938" xr:uid="{84BDDAB6-0455-4CA4-8AC8-797A15B31EE0}"/>
    <cellStyle name="Standard 6 2 2 4 4 2 7 2 3" xfId="14937" xr:uid="{59F87E13-820D-49E4-8CCE-E8161E6D380C}"/>
    <cellStyle name="Standard 6 2 2 4 4 2 7 3" xfId="2978" xr:uid="{00000000-0005-0000-0000-0000A90B0000}"/>
    <cellStyle name="Standard 6 2 2 4 4 2 7 3 2" xfId="14939" xr:uid="{82D9D6EE-7BA2-411B-809C-C55529F712CA}"/>
    <cellStyle name="Standard 6 2 2 4 4 2 7 4" xfId="14936" xr:uid="{9015CF6E-39F2-48C8-9268-068DB5A33275}"/>
    <cellStyle name="Standard 6 2 2 4 4 2 8" xfId="2979" xr:uid="{00000000-0005-0000-0000-0000AA0B0000}"/>
    <cellStyle name="Standard 6 2 2 4 4 2 8 2" xfId="2980" xr:uid="{00000000-0005-0000-0000-0000AB0B0000}"/>
    <cellStyle name="Standard 6 2 2 4 4 2 8 2 2" xfId="14941" xr:uid="{0317A3CE-E4F4-4637-A882-43D46F813012}"/>
    <cellStyle name="Standard 6 2 2 4 4 2 8 3" xfId="14940" xr:uid="{A76A2CE6-656F-4137-B433-950F5D86CE00}"/>
    <cellStyle name="Standard 6 2 2 4 4 2 9" xfId="2981" xr:uid="{00000000-0005-0000-0000-0000AC0B0000}"/>
    <cellStyle name="Standard 6 2 2 4 4 2 9 2" xfId="14942" xr:uid="{4BE82F4E-0692-4B1B-BFF9-D82CF55896BF}"/>
    <cellStyle name="Standard 6 2 2 4 4 3" xfId="2982" xr:uid="{00000000-0005-0000-0000-0000AD0B0000}"/>
    <cellStyle name="Standard 6 2 2 4 4 3 2" xfId="2983" xr:uid="{00000000-0005-0000-0000-0000AE0B0000}"/>
    <cellStyle name="Standard 6 2 2 4 4 3 2 2" xfId="2984" xr:uid="{00000000-0005-0000-0000-0000AF0B0000}"/>
    <cellStyle name="Standard 6 2 2 4 4 3 2 2 2" xfId="14945" xr:uid="{DAFC7AAA-0D8E-4684-B361-C71A540730C5}"/>
    <cellStyle name="Standard 6 2 2 4 4 3 2 3" xfId="14944" xr:uid="{6D459B3B-3A45-4352-914D-1C2ECFB3D228}"/>
    <cellStyle name="Standard 6 2 2 4 4 3 3" xfId="2985" xr:uid="{00000000-0005-0000-0000-0000B00B0000}"/>
    <cellStyle name="Standard 6 2 2 4 4 3 3 2" xfId="14946" xr:uid="{F5CC5D92-E424-4C64-AF9C-A4B3BC7EBB6F}"/>
    <cellStyle name="Standard 6 2 2 4 4 3 4" xfId="14943" xr:uid="{2B00A650-06A4-4131-BEC4-E72B26109365}"/>
    <cellStyle name="Standard 6 2 2 4 4 4" xfId="2986" xr:uid="{00000000-0005-0000-0000-0000B10B0000}"/>
    <cellStyle name="Standard 6 2 2 4 4 4 2" xfId="2987" xr:uid="{00000000-0005-0000-0000-0000B20B0000}"/>
    <cellStyle name="Standard 6 2 2 4 4 4 2 2" xfId="2988" xr:uid="{00000000-0005-0000-0000-0000B30B0000}"/>
    <cellStyle name="Standard 6 2 2 4 4 4 2 2 2" xfId="14949" xr:uid="{3B49A7A0-2834-4AED-BD96-C13B7217DB97}"/>
    <cellStyle name="Standard 6 2 2 4 4 4 2 3" xfId="14948" xr:uid="{F75DF88E-2A05-402B-9B79-9E2AC70159AA}"/>
    <cellStyle name="Standard 6 2 2 4 4 4 3" xfId="2989" xr:uid="{00000000-0005-0000-0000-0000B40B0000}"/>
    <cellStyle name="Standard 6 2 2 4 4 4 3 2" xfId="14950" xr:uid="{9F8BB5D6-2975-4A34-B314-50A4B14FBEB9}"/>
    <cellStyle name="Standard 6 2 2 4 4 4 4" xfId="14947" xr:uid="{B3B401EF-6AEF-41E8-ACA6-E1F6EBD8A645}"/>
    <cellStyle name="Standard 6 2 2 4 4 5" xfId="2990" xr:uid="{00000000-0005-0000-0000-0000B50B0000}"/>
    <cellStyle name="Standard 6 2 2 4 4 5 2" xfId="2991" xr:uid="{00000000-0005-0000-0000-0000B60B0000}"/>
    <cellStyle name="Standard 6 2 2 4 4 5 2 2" xfId="2992" xr:uid="{00000000-0005-0000-0000-0000B70B0000}"/>
    <cellStyle name="Standard 6 2 2 4 4 5 2 2 2" xfId="14953" xr:uid="{7D4ADF5F-0D71-4E31-8264-A7B415D7436D}"/>
    <cellStyle name="Standard 6 2 2 4 4 5 2 3" xfId="14952" xr:uid="{44308343-6AC1-4520-B950-0D51791B2142}"/>
    <cellStyle name="Standard 6 2 2 4 4 5 3" xfId="2993" xr:uid="{00000000-0005-0000-0000-0000B80B0000}"/>
    <cellStyle name="Standard 6 2 2 4 4 5 3 2" xfId="14954" xr:uid="{812990B8-17FD-46DF-A6F1-0E9E0DFD2BED}"/>
    <cellStyle name="Standard 6 2 2 4 4 5 4" xfId="14951" xr:uid="{3E06A793-3A98-4C2A-9E0D-524E682DF054}"/>
    <cellStyle name="Standard 6 2 2 4 4 6" xfId="2994" xr:uid="{00000000-0005-0000-0000-0000B90B0000}"/>
    <cellStyle name="Standard 6 2 2 4 4 6 2" xfId="2995" xr:uid="{00000000-0005-0000-0000-0000BA0B0000}"/>
    <cellStyle name="Standard 6 2 2 4 4 6 2 2" xfId="2996" xr:uid="{00000000-0005-0000-0000-0000BB0B0000}"/>
    <cellStyle name="Standard 6 2 2 4 4 6 2 2 2" xfId="14957" xr:uid="{1AC40715-88B4-460E-B2FE-D75B60365EE4}"/>
    <cellStyle name="Standard 6 2 2 4 4 6 2 3" xfId="14956" xr:uid="{5DC501F1-FBE6-4003-8990-1D4636997C59}"/>
    <cellStyle name="Standard 6 2 2 4 4 6 3" xfId="2997" xr:uid="{00000000-0005-0000-0000-0000BC0B0000}"/>
    <cellStyle name="Standard 6 2 2 4 4 6 3 2" xfId="14958" xr:uid="{3ACDF9F2-FE95-4F2F-8172-46B906C8B9D3}"/>
    <cellStyle name="Standard 6 2 2 4 4 6 4" xfId="14955" xr:uid="{0DC6F7D3-0B6E-43FB-B199-8E8DE383600F}"/>
    <cellStyle name="Standard 6 2 2 4 4 7" xfId="2998" xr:uid="{00000000-0005-0000-0000-0000BD0B0000}"/>
    <cellStyle name="Standard 6 2 2 4 4 7 2" xfId="2999" xr:uid="{00000000-0005-0000-0000-0000BE0B0000}"/>
    <cellStyle name="Standard 6 2 2 4 4 7 2 2" xfId="3000" xr:uid="{00000000-0005-0000-0000-0000BF0B0000}"/>
    <cellStyle name="Standard 6 2 2 4 4 7 2 2 2" xfId="14961" xr:uid="{8112AB28-DF0F-41C3-B955-025A0090EF1A}"/>
    <cellStyle name="Standard 6 2 2 4 4 7 2 3" xfId="14960" xr:uid="{F7E353E0-0F72-401F-920D-9BCCA987BFFF}"/>
    <cellStyle name="Standard 6 2 2 4 4 7 3" xfId="3001" xr:uid="{00000000-0005-0000-0000-0000C00B0000}"/>
    <cellStyle name="Standard 6 2 2 4 4 7 3 2" xfId="14962" xr:uid="{A865E132-A9AF-42BB-9244-893A4D391F2C}"/>
    <cellStyle name="Standard 6 2 2 4 4 7 4" xfId="14959" xr:uid="{710B1D5E-4BC7-43A4-983F-1E3839128E9A}"/>
    <cellStyle name="Standard 6 2 2 4 4 8" xfId="3002" xr:uid="{00000000-0005-0000-0000-0000C10B0000}"/>
    <cellStyle name="Standard 6 2 2 4 4 8 2" xfId="3003" xr:uid="{00000000-0005-0000-0000-0000C20B0000}"/>
    <cellStyle name="Standard 6 2 2 4 4 8 2 2" xfId="3004" xr:uid="{00000000-0005-0000-0000-0000C30B0000}"/>
    <cellStyle name="Standard 6 2 2 4 4 8 2 2 2" xfId="14965" xr:uid="{E14FED68-CE48-4DCE-92CE-041A937D5FEE}"/>
    <cellStyle name="Standard 6 2 2 4 4 8 2 3" xfId="14964" xr:uid="{D64528C4-A284-4594-B5B7-BC93D69BED80}"/>
    <cellStyle name="Standard 6 2 2 4 4 8 3" xfId="3005" xr:uid="{00000000-0005-0000-0000-0000C40B0000}"/>
    <cellStyle name="Standard 6 2 2 4 4 8 3 2" xfId="14966" xr:uid="{5E54C5C3-7362-4990-AFA0-9835CBC79FCE}"/>
    <cellStyle name="Standard 6 2 2 4 4 8 4" xfId="14963" xr:uid="{72885706-8E44-4FA4-A855-0067D17A1593}"/>
    <cellStyle name="Standard 6 2 2 4 4 9" xfId="3006" xr:uid="{00000000-0005-0000-0000-0000C50B0000}"/>
    <cellStyle name="Standard 6 2 2 4 4 9 2" xfId="3007" xr:uid="{00000000-0005-0000-0000-0000C60B0000}"/>
    <cellStyle name="Standard 6 2 2 4 4 9 2 2" xfId="14968" xr:uid="{3CBF4E42-1BB9-4E6F-81FB-DF5517E8DEEF}"/>
    <cellStyle name="Standard 6 2 2 4 4 9 3" xfId="14967" xr:uid="{0C9A80E1-EB60-476E-A1C6-EF1E1E5E08DF}"/>
    <cellStyle name="Standard 6 2 2 4 5" xfId="3008" xr:uid="{00000000-0005-0000-0000-0000C70B0000}"/>
    <cellStyle name="Standard 6 2 2 4 5 10" xfId="3009" xr:uid="{00000000-0005-0000-0000-0000C80B0000}"/>
    <cellStyle name="Standard 6 2 2 4 5 10 2" xfId="14970" xr:uid="{108AF607-863B-49BC-94B2-B138F2304558}"/>
    <cellStyle name="Standard 6 2 2 4 5 11" xfId="14969" xr:uid="{BAF709E5-25CF-4C5C-8C7D-B18428B7B853}"/>
    <cellStyle name="Standard 6 2 2 4 5 2" xfId="3010" xr:uid="{00000000-0005-0000-0000-0000C90B0000}"/>
    <cellStyle name="Standard 6 2 2 4 5 2 10" xfId="14971" xr:uid="{AC7519B7-F47D-4257-8739-4DE2CBAB43D3}"/>
    <cellStyle name="Standard 6 2 2 4 5 2 2" xfId="3011" xr:uid="{00000000-0005-0000-0000-0000CA0B0000}"/>
    <cellStyle name="Standard 6 2 2 4 5 2 2 2" xfId="3012" xr:uid="{00000000-0005-0000-0000-0000CB0B0000}"/>
    <cellStyle name="Standard 6 2 2 4 5 2 2 2 2" xfId="3013" xr:uid="{00000000-0005-0000-0000-0000CC0B0000}"/>
    <cellStyle name="Standard 6 2 2 4 5 2 2 2 2 2" xfId="14974" xr:uid="{BA4EFC39-5C4E-4897-8DFD-02F7A339CBA3}"/>
    <cellStyle name="Standard 6 2 2 4 5 2 2 2 3" xfId="14973" xr:uid="{16F867B0-9415-41E6-9AEC-25452512C4DD}"/>
    <cellStyle name="Standard 6 2 2 4 5 2 2 3" xfId="3014" xr:uid="{00000000-0005-0000-0000-0000CD0B0000}"/>
    <cellStyle name="Standard 6 2 2 4 5 2 2 3 2" xfId="14975" xr:uid="{9C1BC5CB-5B53-4E31-AF54-B6826CF4C74A}"/>
    <cellStyle name="Standard 6 2 2 4 5 2 2 4" xfId="14972" xr:uid="{C1847510-BA9D-4293-8E7F-F601BF6391F4}"/>
    <cellStyle name="Standard 6 2 2 4 5 2 3" xfId="3015" xr:uid="{00000000-0005-0000-0000-0000CE0B0000}"/>
    <cellStyle name="Standard 6 2 2 4 5 2 3 2" xfId="3016" xr:uid="{00000000-0005-0000-0000-0000CF0B0000}"/>
    <cellStyle name="Standard 6 2 2 4 5 2 3 2 2" xfId="3017" xr:uid="{00000000-0005-0000-0000-0000D00B0000}"/>
    <cellStyle name="Standard 6 2 2 4 5 2 3 2 2 2" xfId="14978" xr:uid="{B74F2BE8-2246-4411-BB78-D673A553C59C}"/>
    <cellStyle name="Standard 6 2 2 4 5 2 3 2 3" xfId="14977" xr:uid="{90DF3055-A471-46DC-8C6E-389E4DB01F13}"/>
    <cellStyle name="Standard 6 2 2 4 5 2 3 3" xfId="3018" xr:uid="{00000000-0005-0000-0000-0000D10B0000}"/>
    <cellStyle name="Standard 6 2 2 4 5 2 3 3 2" xfId="14979" xr:uid="{4EFF7F1F-C8FE-4481-BCD0-95CDB01D357B}"/>
    <cellStyle name="Standard 6 2 2 4 5 2 3 4" xfId="14976" xr:uid="{D857F3E0-6C8B-4D13-B220-E3DC6E7F1E7B}"/>
    <cellStyle name="Standard 6 2 2 4 5 2 4" xfId="3019" xr:uid="{00000000-0005-0000-0000-0000D20B0000}"/>
    <cellStyle name="Standard 6 2 2 4 5 2 4 2" xfId="3020" xr:uid="{00000000-0005-0000-0000-0000D30B0000}"/>
    <cellStyle name="Standard 6 2 2 4 5 2 4 2 2" xfId="3021" xr:uid="{00000000-0005-0000-0000-0000D40B0000}"/>
    <cellStyle name="Standard 6 2 2 4 5 2 4 2 2 2" xfId="14982" xr:uid="{ABEB1977-E053-4554-AE24-4AB42BBE8BA5}"/>
    <cellStyle name="Standard 6 2 2 4 5 2 4 2 3" xfId="14981" xr:uid="{48357B19-A318-452B-8365-F7A45AF1BC68}"/>
    <cellStyle name="Standard 6 2 2 4 5 2 4 3" xfId="3022" xr:uid="{00000000-0005-0000-0000-0000D50B0000}"/>
    <cellStyle name="Standard 6 2 2 4 5 2 4 3 2" xfId="14983" xr:uid="{5D3073F8-EEA2-47BD-A352-2EEC9D3EE044}"/>
    <cellStyle name="Standard 6 2 2 4 5 2 4 4" xfId="14980" xr:uid="{C5F59BB0-D1DF-4171-ABC6-43291637DA92}"/>
    <cellStyle name="Standard 6 2 2 4 5 2 5" xfId="3023" xr:uid="{00000000-0005-0000-0000-0000D60B0000}"/>
    <cellStyle name="Standard 6 2 2 4 5 2 5 2" xfId="3024" xr:uid="{00000000-0005-0000-0000-0000D70B0000}"/>
    <cellStyle name="Standard 6 2 2 4 5 2 5 2 2" xfId="3025" xr:uid="{00000000-0005-0000-0000-0000D80B0000}"/>
    <cellStyle name="Standard 6 2 2 4 5 2 5 2 2 2" xfId="14986" xr:uid="{336DC48A-0919-4688-A32E-FD31C307CF71}"/>
    <cellStyle name="Standard 6 2 2 4 5 2 5 2 3" xfId="14985" xr:uid="{57C924BA-594E-4F6B-9832-81E628B35A9E}"/>
    <cellStyle name="Standard 6 2 2 4 5 2 5 3" xfId="3026" xr:uid="{00000000-0005-0000-0000-0000D90B0000}"/>
    <cellStyle name="Standard 6 2 2 4 5 2 5 3 2" xfId="14987" xr:uid="{428254F2-C8B4-4064-8CEF-B47F546E278A}"/>
    <cellStyle name="Standard 6 2 2 4 5 2 5 4" xfId="14984" xr:uid="{E4E78263-5B8B-45F2-871E-7FBBC7CADD87}"/>
    <cellStyle name="Standard 6 2 2 4 5 2 6" xfId="3027" xr:uid="{00000000-0005-0000-0000-0000DA0B0000}"/>
    <cellStyle name="Standard 6 2 2 4 5 2 6 2" xfId="3028" xr:uid="{00000000-0005-0000-0000-0000DB0B0000}"/>
    <cellStyle name="Standard 6 2 2 4 5 2 6 2 2" xfId="3029" xr:uid="{00000000-0005-0000-0000-0000DC0B0000}"/>
    <cellStyle name="Standard 6 2 2 4 5 2 6 2 2 2" xfId="14990" xr:uid="{FE7276A2-92EF-4C79-BB28-6263718FD04F}"/>
    <cellStyle name="Standard 6 2 2 4 5 2 6 2 3" xfId="14989" xr:uid="{5971D2FF-041D-48EB-A866-AEC9A2E3E5BD}"/>
    <cellStyle name="Standard 6 2 2 4 5 2 6 3" xfId="3030" xr:uid="{00000000-0005-0000-0000-0000DD0B0000}"/>
    <cellStyle name="Standard 6 2 2 4 5 2 6 3 2" xfId="14991" xr:uid="{00D30A26-674C-4EEF-831A-70BC16A11F47}"/>
    <cellStyle name="Standard 6 2 2 4 5 2 6 4" xfId="14988" xr:uid="{E3FF4822-DE14-4C60-96E0-7BE23FE7FB0D}"/>
    <cellStyle name="Standard 6 2 2 4 5 2 7" xfId="3031" xr:uid="{00000000-0005-0000-0000-0000DE0B0000}"/>
    <cellStyle name="Standard 6 2 2 4 5 2 7 2" xfId="3032" xr:uid="{00000000-0005-0000-0000-0000DF0B0000}"/>
    <cellStyle name="Standard 6 2 2 4 5 2 7 2 2" xfId="3033" xr:uid="{00000000-0005-0000-0000-0000E00B0000}"/>
    <cellStyle name="Standard 6 2 2 4 5 2 7 2 2 2" xfId="14994" xr:uid="{0C5C5806-655C-4549-B925-A4FFD109DAFC}"/>
    <cellStyle name="Standard 6 2 2 4 5 2 7 2 3" xfId="14993" xr:uid="{741A14BA-CD9D-47ED-AF2D-F85A34E234FB}"/>
    <cellStyle name="Standard 6 2 2 4 5 2 7 3" xfId="3034" xr:uid="{00000000-0005-0000-0000-0000E10B0000}"/>
    <cellStyle name="Standard 6 2 2 4 5 2 7 3 2" xfId="14995" xr:uid="{EBAD2C3A-1F28-4D52-B520-10BB1FB7F816}"/>
    <cellStyle name="Standard 6 2 2 4 5 2 7 4" xfId="14992" xr:uid="{55B76709-B145-4104-AFA1-2BEA7C70BE64}"/>
    <cellStyle name="Standard 6 2 2 4 5 2 8" xfId="3035" xr:uid="{00000000-0005-0000-0000-0000E20B0000}"/>
    <cellStyle name="Standard 6 2 2 4 5 2 8 2" xfId="3036" xr:uid="{00000000-0005-0000-0000-0000E30B0000}"/>
    <cellStyle name="Standard 6 2 2 4 5 2 8 2 2" xfId="14997" xr:uid="{89B0767A-648A-4CD7-A32A-E155C0E58EA5}"/>
    <cellStyle name="Standard 6 2 2 4 5 2 8 3" xfId="14996" xr:uid="{92D83534-7DB7-41BD-BA0B-DC59AF062375}"/>
    <cellStyle name="Standard 6 2 2 4 5 2 9" xfId="3037" xr:uid="{00000000-0005-0000-0000-0000E40B0000}"/>
    <cellStyle name="Standard 6 2 2 4 5 2 9 2" xfId="14998" xr:uid="{0629FEDA-4A46-40B1-B102-0FFD0B3E1FF5}"/>
    <cellStyle name="Standard 6 2 2 4 5 3" xfId="3038" xr:uid="{00000000-0005-0000-0000-0000E50B0000}"/>
    <cellStyle name="Standard 6 2 2 4 5 3 2" xfId="3039" xr:uid="{00000000-0005-0000-0000-0000E60B0000}"/>
    <cellStyle name="Standard 6 2 2 4 5 3 2 2" xfId="3040" xr:uid="{00000000-0005-0000-0000-0000E70B0000}"/>
    <cellStyle name="Standard 6 2 2 4 5 3 2 2 2" xfId="15001" xr:uid="{1A1787BD-1203-48B1-A37F-5F0F7F0692C7}"/>
    <cellStyle name="Standard 6 2 2 4 5 3 2 3" xfId="15000" xr:uid="{574E5085-EE91-494D-918C-BE9FDC9C3862}"/>
    <cellStyle name="Standard 6 2 2 4 5 3 3" xfId="3041" xr:uid="{00000000-0005-0000-0000-0000E80B0000}"/>
    <cellStyle name="Standard 6 2 2 4 5 3 3 2" xfId="15002" xr:uid="{245C4C73-32FF-4BAE-A7A5-EE08AC55811B}"/>
    <cellStyle name="Standard 6 2 2 4 5 3 4" xfId="14999" xr:uid="{8E2DC6C6-D995-4BA6-9D79-2B47BD3DBFE4}"/>
    <cellStyle name="Standard 6 2 2 4 5 4" xfId="3042" xr:uid="{00000000-0005-0000-0000-0000E90B0000}"/>
    <cellStyle name="Standard 6 2 2 4 5 4 2" xfId="3043" xr:uid="{00000000-0005-0000-0000-0000EA0B0000}"/>
    <cellStyle name="Standard 6 2 2 4 5 4 2 2" xfId="3044" xr:uid="{00000000-0005-0000-0000-0000EB0B0000}"/>
    <cellStyle name="Standard 6 2 2 4 5 4 2 2 2" xfId="15005" xr:uid="{870BB366-92DE-4FCA-B3E4-DBDB0E64C1EE}"/>
    <cellStyle name="Standard 6 2 2 4 5 4 2 3" xfId="15004" xr:uid="{43802503-31D1-4833-8B95-96577AAADD96}"/>
    <cellStyle name="Standard 6 2 2 4 5 4 3" xfId="3045" xr:uid="{00000000-0005-0000-0000-0000EC0B0000}"/>
    <cellStyle name="Standard 6 2 2 4 5 4 3 2" xfId="15006" xr:uid="{0FF6808E-BF3E-40A3-B55B-1BB25C124F3E}"/>
    <cellStyle name="Standard 6 2 2 4 5 4 4" xfId="15003" xr:uid="{A3353958-5592-49A2-A11F-0D0C41DDD183}"/>
    <cellStyle name="Standard 6 2 2 4 5 5" xfId="3046" xr:uid="{00000000-0005-0000-0000-0000ED0B0000}"/>
    <cellStyle name="Standard 6 2 2 4 5 5 2" xfId="3047" xr:uid="{00000000-0005-0000-0000-0000EE0B0000}"/>
    <cellStyle name="Standard 6 2 2 4 5 5 2 2" xfId="3048" xr:uid="{00000000-0005-0000-0000-0000EF0B0000}"/>
    <cellStyle name="Standard 6 2 2 4 5 5 2 2 2" xfId="15009" xr:uid="{A7103C67-8208-4599-B881-C2160D018473}"/>
    <cellStyle name="Standard 6 2 2 4 5 5 2 3" xfId="15008" xr:uid="{4A1D478C-3486-4178-BCB9-BB29CC14EA69}"/>
    <cellStyle name="Standard 6 2 2 4 5 5 3" xfId="3049" xr:uid="{00000000-0005-0000-0000-0000F00B0000}"/>
    <cellStyle name="Standard 6 2 2 4 5 5 3 2" xfId="15010" xr:uid="{FD255ED1-A250-40C7-A461-14695B5FC853}"/>
    <cellStyle name="Standard 6 2 2 4 5 5 4" xfId="15007" xr:uid="{47AE1239-4AD4-430F-9944-DE0C6E58099C}"/>
    <cellStyle name="Standard 6 2 2 4 5 6" xfId="3050" xr:uid="{00000000-0005-0000-0000-0000F10B0000}"/>
    <cellStyle name="Standard 6 2 2 4 5 6 2" xfId="3051" xr:uid="{00000000-0005-0000-0000-0000F20B0000}"/>
    <cellStyle name="Standard 6 2 2 4 5 6 2 2" xfId="3052" xr:uid="{00000000-0005-0000-0000-0000F30B0000}"/>
    <cellStyle name="Standard 6 2 2 4 5 6 2 2 2" xfId="15013" xr:uid="{274C63CE-4D54-4164-8982-5770D3F630DC}"/>
    <cellStyle name="Standard 6 2 2 4 5 6 2 3" xfId="15012" xr:uid="{F0A40F87-AF30-4934-AF5A-C98CB7FB5212}"/>
    <cellStyle name="Standard 6 2 2 4 5 6 3" xfId="3053" xr:uid="{00000000-0005-0000-0000-0000F40B0000}"/>
    <cellStyle name="Standard 6 2 2 4 5 6 3 2" xfId="15014" xr:uid="{1551A28A-CA70-4288-B7E9-1A2AF6352D2A}"/>
    <cellStyle name="Standard 6 2 2 4 5 6 4" xfId="15011" xr:uid="{2343FD97-2BE6-427F-8DA1-5DD251D13C6C}"/>
    <cellStyle name="Standard 6 2 2 4 5 7" xfId="3054" xr:uid="{00000000-0005-0000-0000-0000F50B0000}"/>
    <cellStyle name="Standard 6 2 2 4 5 7 2" xfId="3055" xr:uid="{00000000-0005-0000-0000-0000F60B0000}"/>
    <cellStyle name="Standard 6 2 2 4 5 7 2 2" xfId="3056" xr:uid="{00000000-0005-0000-0000-0000F70B0000}"/>
    <cellStyle name="Standard 6 2 2 4 5 7 2 2 2" xfId="15017" xr:uid="{5C7A9297-1571-48F4-82EC-769B1AB82870}"/>
    <cellStyle name="Standard 6 2 2 4 5 7 2 3" xfId="15016" xr:uid="{195105C7-19B5-4FCB-AF6A-709B771F7330}"/>
    <cellStyle name="Standard 6 2 2 4 5 7 3" xfId="3057" xr:uid="{00000000-0005-0000-0000-0000F80B0000}"/>
    <cellStyle name="Standard 6 2 2 4 5 7 3 2" xfId="15018" xr:uid="{9B348FEF-2FC2-4C6A-B1C7-4C60BED519B6}"/>
    <cellStyle name="Standard 6 2 2 4 5 7 4" xfId="15015" xr:uid="{D13CE9ED-1CC2-42FB-BD70-0D5E7C60C5C5}"/>
    <cellStyle name="Standard 6 2 2 4 5 8" xfId="3058" xr:uid="{00000000-0005-0000-0000-0000F90B0000}"/>
    <cellStyle name="Standard 6 2 2 4 5 8 2" xfId="3059" xr:uid="{00000000-0005-0000-0000-0000FA0B0000}"/>
    <cellStyle name="Standard 6 2 2 4 5 8 2 2" xfId="3060" xr:uid="{00000000-0005-0000-0000-0000FB0B0000}"/>
    <cellStyle name="Standard 6 2 2 4 5 8 2 2 2" xfId="15021" xr:uid="{4FB19D84-4411-444D-80E3-06D5E476094D}"/>
    <cellStyle name="Standard 6 2 2 4 5 8 2 3" xfId="15020" xr:uid="{00D8B122-F2B3-486C-8BAA-B79BF771B644}"/>
    <cellStyle name="Standard 6 2 2 4 5 8 3" xfId="3061" xr:uid="{00000000-0005-0000-0000-0000FC0B0000}"/>
    <cellStyle name="Standard 6 2 2 4 5 8 3 2" xfId="15022" xr:uid="{82DFFE15-1D5F-4033-985C-848A27BED7B0}"/>
    <cellStyle name="Standard 6 2 2 4 5 8 4" xfId="15019" xr:uid="{2C6F9B9F-0F69-477F-8712-6CA246CCE10D}"/>
    <cellStyle name="Standard 6 2 2 4 5 9" xfId="3062" xr:uid="{00000000-0005-0000-0000-0000FD0B0000}"/>
    <cellStyle name="Standard 6 2 2 4 5 9 2" xfId="3063" xr:uid="{00000000-0005-0000-0000-0000FE0B0000}"/>
    <cellStyle name="Standard 6 2 2 4 5 9 2 2" xfId="15024" xr:uid="{FA0EC579-3FF9-44AD-A010-52C4A0B5F159}"/>
    <cellStyle name="Standard 6 2 2 4 5 9 3" xfId="15023" xr:uid="{82C235E4-0FA6-4662-923E-957AD22018E4}"/>
    <cellStyle name="Standard 6 2 2 4 6" xfId="3064" xr:uid="{00000000-0005-0000-0000-0000FF0B0000}"/>
    <cellStyle name="Standard 6 2 2 4 6 10" xfId="3065" xr:uid="{00000000-0005-0000-0000-0000000C0000}"/>
    <cellStyle name="Standard 6 2 2 4 6 10 2" xfId="15026" xr:uid="{251A4C24-F958-47BC-863D-4062B105EDBC}"/>
    <cellStyle name="Standard 6 2 2 4 6 11" xfId="15025" xr:uid="{07B901A7-6BD1-4871-A124-7A5484838995}"/>
    <cellStyle name="Standard 6 2 2 4 6 2" xfId="3066" xr:uid="{00000000-0005-0000-0000-0000010C0000}"/>
    <cellStyle name="Standard 6 2 2 4 6 2 10" xfId="15027" xr:uid="{E259D677-EE36-41A8-A570-162AF94F7511}"/>
    <cellStyle name="Standard 6 2 2 4 6 2 2" xfId="3067" xr:uid="{00000000-0005-0000-0000-0000020C0000}"/>
    <cellStyle name="Standard 6 2 2 4 6 2 2 2" xfId="3068" xr:uid="{00000000-0005-0000-0000-0000030C0000}"/>
    <cellStyle name="Standard 6 2 2 4 6 2 2 2 2" xfId="3069" xr:uid="{00000000-0005-0000-0000-0000040C0000}"/>
    <cellStyle name="Standard 6 2 2 4 6 2 2 2 2 2" xfId="15030" xr:uid="{DCF5AF2B-4A0E-45D2-9A7B-BDBF9FE34A3C}"/>
    <cellStyle name="Standard 6 2 2 4 6 2 2 2 3" xfId="15029" xr:uid="{7A9540CA-6F6F-43E4-9770-3D44E9AB5E04}"/>
    <cellStyle name="Standard 6 2 2 4 6 2 2 3" xfId="3070" xr:uid="{00000000-0005-0000-0000-0000050C0000}"/>
    <cellStyle name="Standard 6 2 2 4 6 2 2 3 2" xfId="15031" xr:uid="{F8F16D29-EE75-482A-9A11-CAA97876E809}"/>
    <cellStyle name="Standard 6 2 2 4 6 2 2 4" xfId="15028" xr:uid="{CC7A7099-632C-45FF-993D-8E55467D0691}"/>
    <cellStyle name="Standard 6 2 2 4 6 2 3" xfId="3071" xr:uid="{00000000-0005-0000-0000-0000060C0000}"/>
    <cellStyle name="Standard 6 2 2 4 6 2 3 2" xfId="3072" xr:uid="{00000000-0005-0000-0000-0000070C0000}"/>
    <cellStyle name="Standard 6 2 2 4 6 2 3 2 2" xfId="3073" xr:uid="{00000000-0005-0000-0000-0000080C0000}"/>
    <cellStyle name="Standard 6 2 2 4 6 2 3 2 2 2" xfId="15034" xr:uid="{E72D959A-AABD-4996-A4F0-5E2F0CDD28EB}"/>
    <cellStyle name="Standard 6 2 2 4 6 2 3 2 3" xfId="15033" xr:uid="{6D652FED-FD7F-4A8D-A8A4-306097FBAE72}"/>
    <cellStyle name="Standard 6 2 2 4 6 2 3 3" xfId="3074" xr:uid="{00000000-0005-0000-0000-0000090C0000}"/>
    <cellStyle name="Standard 6 2 2 4 6 2 3 3 2" xfId="15035" xr:uid="{AC62590A-342C-49DD-BF45-1DC30472C79A}"/>
    <cellStyle name="Standard 6 2 2 4 6 2 3 4" xfId="15032" xr:uid="{CAE885C0-A237-45C3-8316-020FFC0260B2}"/>
    <cellStyle name="Standard 6 2 2 4 6 2 4" xfId="3075" xr:uid="{00000000-0005-0000-0000-00000A0C0000}"/>
    <cellStyle name="Standard 6 2 2 4 6 2 4 2" xfId="3076" xr:uid="{00000000-0005-0000-0000-00000B0C0000}"/>
    <cellStyle name="Standard 6 2 2 4 6 2 4 2 2" xfId="3077" xr:uid="{00000000-0005-0000-0000-00000C0C0000}"/>
    <cellStyle name="Standard 6 2 2 4 6 2 4 2 2 2" xfId="15038" xr:uid="{908134B9-4708-492B-A3EB-EFF96E6EDA75}"/>
    <cellStyle name="Standard 6 2 2 4 6 2 4 2 3" xfId="15037" xr:uid="{72E04144-F94E-4AE8-A06B-C023E600EFB2}"/>
    <cellStyle name="Standard 6 2 2 4 6 2 4 3" xfId="3078" xr:uid="{00000000-0005-0000-0000-00000D0C0000}"/>
    <cellStyle name="Standard 6 2 2 4 6 2 4 3 2" xfId="15039" xr:uid="{4B652C40-93C5-4FC6-9F2E-DD8B65A78C12}"/>
    <cellStyle name="Standard 6 2 2 4 6 2 4 4" xfId="15036" xr:uid="{4659F6B5-7722-4DC7-9EC3-169FB06391E5}"/>
    <cellStyle name="Standard 6 2 2 4 6 2 5" xfId="3079" xr:uid="{00000000-0005-0000-0000-00000E0C0000}"/>
    <cellStyle name="Standard 6 2 2 4 6 2 5 2" xfId="3080" xr:uid="{00000000-0005-0000-0000-00000F0C0000}"/>
    <cellStyle name="Standard 6 2 2 4 6 2 5 2 2" xfId="3081" xr:uid="{00000000-0005-0000-0000-0000100C0000}"/>
    <cellStyle name="Standard 6 2 2 4 6 2 5 2 2 2" xfId="15042" xr:uid="{3CC648C6-2603-42A9-848F-DE669CB76D93}"/>
    <cellStyle name="Standard 6 2 2 4 6 2 5 2 3" xfId="15041" xr:uid="{8CB858E0-C9F2-43C0-A7E3-F5E599A1B156}"/>
    <cellStyle name="Standard 6 2 2 4 6 2 5 3" xfId="3082" xr:uid="{00000000-0005-0000-0000-0000110C0000}"/>
    <cellStyle name="Standard 6 2 2 4 6 2 5 3 2" xfId="15043" xr:uid="{31B5D3A3-9C56-4886-924D-157B28760C83}"/>
    <cellStyle name="Standard 6 2 2 4 6 2 5 4" xfId="15040" xr:uid="{683DD1B2-5A3A-4095-B283-18AAE7A3BFDD}"/>
    <cellStyle name="Standard 6 2 2 4 6 2 6" xfId="3083" xr:uid="{00000000-0005-0000-0000-0000120C0000}"/>
    <cellStyle name="Standard 6 2 2 4 6 2 6 2" xfId="3084" xr:uid="{00000000-0005-0000-0000-0000130C0000}"/>
    <cellStyle name="Standard 6 2 2 4 6 2 6 2 2" xfId="3085" xr:uid="{00000000-0005-0000-0000-0000140C0000}"/>
    <cellStyle name="Standard 6 2 2 4 6 2 6 2 2 2" xfId="15046" xr:uid="{5CFCF5BD-ADAE-4F58-97B3-6C13BDB67AAE}"/>
    <cellStyle name="Standard 6 2 2 4 6 2 6 2 3" xfId="15045" xr:uid="{2D9F0E3D-8FCB-4506-8BE5-11AFC20FFCA3}"/>
    <cellStyle name="Standard 6 2 2 4 6 2 6 3" xfId="3086" xr:uid="{00000000-0005-0000-0000-0000150C0000}"/>
    <cellStyle name="Standard 6 2 2 4 6 2 6 3 2" xfId="15047" xr:uid="{5332A414-E2AE-4C61-81B7-D6DEF500750C}"/>
    <cellStyle name="Standard 6 2 2 4 6 2 6 4" xfId="15044" xr:uid="{7A749A74-1BC7-4E2B-A3F3-C52C6578902B}"/>
    <cellStyle name="Standard 6 2 2 4 6 2 7" xfId="3087" xr:uid="{00000000-0005-0000-0000-0000160C0000}"/>
    <cellStyle name="Standard 6 2 2 4 6 2 7 2" xfId="3088" xr:uid="{00000000-0005-0000-0000-0000170C0000}"/>
    <cellStyle name="Standard 6 2 2 4 6 2 7 2 2" xfId="3089" xr:uid="{00000000-0005-0000-0000-0000180C0000}"/>
    <cellStyle name="Standard 6 2 2 4 6 2 7 2 2 2" xfId="15050" xr:uid="{E64E6148-0157-4BE6-97E8-A2CA500C2B74}"/>
    <cellStyle name="Standard 6 2 2 4 6 2 7 2 3" xfId="15049" xr:uid="{C531E0F5-2D50-4077-8765-4CD53EA8E4A3}"/>
    <cellStyle name="Standard 6 2 2 4 6 2 7 3" xfId="3090" xr:uid="{00000000-0005-0000-0000-0000190C0000}"/>
    <cellStyle name="Standard 6 2 2 4 6 2 7 3 2" xfId="15051" xr:uid="{883B0C5E-A5D5-4E6B-9BC8-ADE406A9F3B0}"/>
    <cellStyle name="Standard 6 2 2 4 6 2 7 4" xfId="15048" xr:uid="{FE86812F-04F0-4BF0-840C-C0DAF7DEA87F}"/>
    <cellStyle name="Standard 6 2 2 4 6 2 8" xfId="3091" xr:uid="{00000000-0005-0000-0000-00001A0C0000}"/>
    <cellStyle name="Standard 6 2 2 4 6 2 8 2" xfId="3092" xr:uid="{00000000-0005-0000-0000-00001B0C0000}"/>
    <cellStyle name="Standard 6 2 2 4 6 2 8 2 2" xfId="15053" xr:uid="{E292472F-CB4E-4334-9068-705489ACC44D}"/>
    <cellStyle name="Standard 6 2 2 4 6 2 8 3" xfId="15052" xr:uid="{5121FC50-452D-473B-9E29-AF610E59DAAA}"/>
    <cellStyle name="Standard 6 2 2 4 6 2 9" xfId="3093" xr:uid="{00000000-0005-0000-0000-00001C0C0000}"/>
    <cellStyle name="Standard 6 2 2 4 6 2 9 2" xfId="15054" xr:uid="{C97CE288-BF06-4CCE-A6D9-9832C7AA8490}"/>
    <cellStyle name="Standard 6 2 2 4 6 3" xfId="3094" xr:uid="{00000000-0005-0000-0000-00001D0C0000}"/>
    <cellStyle name="Standard 6 2 2 4 6 3 2" xfId="3095" xr:uid="{00000000-0005-0000-0000-00001E0C0000}"/>
    <cellStyle name="Standard 6 2 2 4 6 3 2 2" xfId="3096" xr:uid="{00000000-0005-0000-0000-00001F0C0000}"/>
    <cellStyle name="Standard 6 2 2 4 6 3 2 2 2" xfId="15057" xr:uid="{EAE3449A-8EA1-4B4C-B747-14326AC4BAFE}"/>
    <cellStyle name="Standard 6 2 2 4 6 3 2 3" xfId="15056" xr:uid="{0BA8FF60-B330-4E7B-A868-2AC003F5A836}"/>
    <cellStyle name="Standard 6 2 2 4 6 3 3" xfId="3097" xr:uid="{00000000-0005-0000-0000-0000200C0000}"/>
    <cellStyle name="Standard 6 2 2 4 6 3 3 2" xfId="15058" xr:uid="{9AFE2490-BEF6-4852-B4F9-242820520BA2}"/>
    <cellStyle name="Standard 6 2 2 4 6 3 4" xfId="15055" xr:uid="{715377E2-0B45-43AE-92F3-ED2F5D747BB2}"/>
    <cellStyle name="Standard 6 2 2 4 6 4" xfId="3098" xr:uid="{00000000-0005-0000-0000-0000210C0000}"/>
    <cellStyle name="Standard 6 2 2 4 6 4 2" xfId="3099" xr:uid="{00000000-0005-0000-0000-0000220C0000}"/>
    <cellStyle name="Standard 6 2 2 4 6 4 2 2" xfId="3100" xr:uid="{00000000-0005-0000-0000-0000230C0000}"/>
    <cellStyle name="Standard 6 2 2 4 6 4 2 2 2" xfId="15061" xr:uid="{1744B895-C7FF-49A7-9129-D30CD1EED384}"/>
    <cellStyle name="Standard 6 2 2 4 6 4 2 3" xfId="15060" xr:uid="{52F228AB-FE88-4482-8E3F-96B068C92816}"/>
    <cellStyle name="Standard 6 2 2 4 6 4 3" xfId="3101" xr:uid="{00000000-0005-0000-0000-0000240C0000}"/>
    <cellStyle name="Standard 6 2 2 4 6 4 3 2" xfId="15062" xr:uid="{D4C6A60F-63EF-4EE4-BCC6-60C479FFCAAB}"/>
    <cellStyle name="Standard 6 2 2 4 6 4 4" xfId="15059" xr:uid="{64FE10C7-4DA2-47C4-8B5D-950774B13C2A}"/>
    <cellStyle name="Standard 6 2 2 4 6 5" xfId="3102" xr:uid="{00000000-0005-0000-0000-0000250C0000}"/>
    <cellStyle name="Standard 6 2 2 4 6 5 2" xfId="3103" xr:uid="{00000000-0005-0000-0000-0000260C0000}"/>
    <cellStyle name="Standard 6 2 2 4 6 5 2 2" xfId="3104" xr:uid="{00000000-0005-0000-0000-0000270C0000}"/>
    <cellStyle name="Standard 6 2 2 4 6 5 2 2 2" xfId="15065" xr:uid="{86AADEFD-F8A7-4541-B3A6-855F0BDADC40}"/>
    <cellStyle name="Standard 6 2 2 4 6 5 2 3" xfId="15064" xr:uid="{15F0A7B2-54F5-4668-AC3F-1DC46439EA5B}"/>
    <cellStyle name="Standard 6 2 2 4 6 5 3" xfId="3105" xr:uid="{00000000-0005-0000-0000-0000280C0000}"/>
    <cellStyle name="Standard 6 2 2 4 6 5 3 2" xfId="15066" xr:uid="{19F234D5-5202-448E-A640-2C8A19C8A458}"/>
    <cellStyle name="Standard 6 2 2 4 6 5 4" xfId="15063" xr:uid="{EB0033F2-8881-47E7-968A-CBF5EEB88F2E}"/>
    <cellStyle name="Standard 6 2 2 4 6 6" xfId="3106" xr:uid="{00000000-0005-0000-0000-0000290C0000}"/>
    <cellStyle name="Standard 6 2 2 4 6 6 2" xfId="3107" xr:uid="{00000000-0005-0000-0000-00002A0C0000}"/>
    <cellStyle name="Standard 6 2 2 4 6 6 2 2" xfId="3108" xr:uid="{00000000-0005-0000-0000-00002B0C0000}"/>
    <cellStyle name="Standard 6 2 2 4 6 6 2 2 2" xfId="15069" xr:uid="{78770D63-602E-485A-94B6-0B93294B38AE}"/>
    <cellStyle name="Standard 6 2 2 4 6 6 2 3" xfId="15068" xr:uid="{0CD4FCB3-B506-4278-AD15-8A0D9FBAAABD}"/>
    <cellStyle name="Standard 6 2 2 4 6 6 3" xfId="3109" xr:uid="{00000000-0005-0000-0000-00002C0C0000}"/>
    <cellStyle name="Standard 6 2 2 4 6 6 3 2" xfId="15070" xr:uid="{1FA44765-6946-4415-93DD-C16354504B34}"/>
    <cellStyle name="Standard 6 2 2 4 6 6 4" xfId="15067" xr:uid="{EA66B9F1-40EA-462B-A96E-DE3E02B1910C}"/>
    <cellStyle name="Standard 6 2 2 4 6 7" xfId="3110" xr:uid="{00000000-0005-0000-0000-00002D0C0000}"/>
    <cellStyle name="Standard 6 2 2 4 6 7 2" xfId="3111" xr:uid="{00000000-0005-0000-0000-00002E0C0000}"/>
    <cellStyle name="Standard 6 2 2 4 6 7 2 2" xfId="3112" xr:uid="{00000000-0005-0000-0000-00002F0C0000}"/>
    <cellStyle name="Standard 6 2 2 4 6 7 2 2 2" xfId="15073" xr:uid="{31D34773-8F6D-4473-A0EE-0F0FDCB1114C}"/>
    <cellStyle name="Standard 6 2 2 4 6 7 2 3" xfId="15072" xr:uid="{BF08C72D-DF22-48A3-AD8F-E9CA0E1A9993}"/>
    <cellStyle name="Standard 6 2 2 4 6 7 3" xfId="3113" xr:uid="{00000000-0005-0000-0000-0000300C0000}"/>
    <cellStyle name="Standard 6 2 2 4 6 7 3 2" xfId="15074" xr:uid="{34C96B7D-B201-40F0-A402-E795D882033A}"/>
    <cellStyle name="Standard 6 2 2 4 6 7 4" xfId="15071" xr:uid="{D9E65124-2AB0-4359-AD7A-6DC21EF297E3}"/>
    <cellStyle name="Standard 6 2 2 4 6 8" xfId="3114" xr:uid="{00000000-0005-0000-0000-0000310C0000}"/>
    <cellStyle name="Standard 6 2 2 4 6 8 2" xfId="3115" xr:uid="{00000000-0005-0000-0000-0000320C0000}"/>
    <cellStyle name="Standard 6 2 2 4 6 8 2 2" xfId="3116" xr:uid="{00000000-0005-0000-0000-0000330C0000}"/>
    <cellStyle name="Standard 6 2 2 4 6 8 2 2 2" xfId="15077" xr:uid="{13F4CC6D-8128-4AC4-B3D8-0E6E59464474}"/>
    <cellStyle name="Standard 6 2 2 4 6 8 2 3" xfId="15076" xr:uid="{3C65FA69-0E7B-4BFB-B280-1CDEAC133DCE}"/>
    <cellStyle name="Standard 6 2 2 4 6 8 3" xfId="3117" xr:uid="{00000000-0005-0000-0000-0000340C0000}"/>
    <cellStyle name="Standard 6 2 2 4 6 8 3 2" xfId="15078" xr:uid="{88CA0D79-DD09-45BD-8BFE-E327CDDB840B}"/>
    <cellStyle name="Standard 6 2 2 4 6 8 4" xfId="15075" xr:uid="{15AF995B-5EA5-499F-9737-5CD34EAF6F83}"/>
    <cellStyle name="Standard 6 2 2 4 6 9" xfId="3118" xr:uid="{00000000-0005-0000-0000-0000350C0000}"/>
    <cellStyle name="Standard 6 2 2 4 6 9 2" xfId="3119" xr:uid="{00000000-0005-0000-0000-0000360C0000}"/>
    <cellStyle name="Standard 6 2 2 4 6 9 2 2" xfId="15080" xr:uid="{265CB0E1-0E62-47C2-AA2F-CEF47F910CA3}"/>
    <cellStyle name="Standard 6 2 2 4 6 9 3" xfId="15079" xr:uid="{A0DD4D70-5333-4E1B-B8CA-EBD3D3DD7404}"/>
    <cellStyle name="Standard 6 2 2 4 7" xfId="3120" xr:uid="{00000000-0005-0000-0000-0000370C0000}"/>
    <cellStyle name="Standard 6 2 2 4 7 10" xfId="3121" xr:uid="{00000000-0005-0000-0000-0000380C0000}"/>
    <cellStyle name="Standard 6 2 2 4 7 10 2" xfId="15082" xr:uid="{45541A6E-D7FD-46FC-B8B1-732E59092200}"/>
    <cellStyle name="Standard 6 2 2 4 7 11" xfId="15081" xr:uid="{0F5EF753-5413-4A9B-B4C5-3920AD3C2B3B}"/>
    <cellStyle name="Standard 6 2 2 4 7 2" xfId="3122" xr:uid="{00000000-0005-0000-0000-0000390C0000}"/>
    <cellStyle name="Standard 6 2 2 4 7 2 10" xfId="15083" xr:uid="{DB9AAEB1-45E2-4F77-97F2-4659903B7724}"/>
    <cellStyle name="Standard 6 2 2 4 7 2 2" xfId="3123" xr:uid="{00000000-0005-0000-0000-00003A0C0000}"/>
    <cellStyle name="Standard 6 2 2 4 7 2 2 2" xfId="3124" xr:uid="{00000000-0005-0000-0000-00003B0C0000}"/>
    <cellStyle name="Standard 6 2 2 4 7 2 2 2 2" xfId="3125" xr:uid="{00000000-0005-0000-0000-00003C0C0000}"/>
    <cellStyle name="Standard 6 2 2 4 7 2 2 2 2 2" xfId="15086" xr:uid="{D3EDAF40-0387-4143-B856-B78665CE348C}"/>
    <cellStyle name="Standard 6 2 2 4 7 2 2 2 3" xfId="15085" xr:uid="{38239547-579B-4E6D-A89A-AAEC57326FC4}"/>
    <cellStyle name="Standard 6 2 2 4 7 2 2 3" xfId="3126" xr:uid="{00000000-0005-0000-0000-00003D0C0000}"/>
    <cellStyle name="Standard 6 2 2 4 7 2 2 3 2" xfId="15087" xr:uid="{3F9743A6-8883-4262-8547-01C41963645C}"/>
    <cellStyle name="Standard 6 2 2 4 7 2 2 4" xfId="15084" xr:uid="{3796A1F4-30DE-4135-B155-8A1DB4FA9891}"/>
    <cellStyle name="Standard 6 2 2 4 7 2 3" xfId="3127" xr:uid="{00000000-0005-0000-0000-00003E0C0000}"/>
    <cellStyle name="Standard 6 2 2 4 7 2 3 2" xfId="3128" xr:uid="{00000000-0005-0000-0000-00003F0C0000}"/>
    <cellStyle name="Standard 6 2 2 4 7 2 3 2 2" xfId="3129" xr:uid="{00000000-0005-0000-0000-0000400C0000}"/>
    <cellStyle name="Standard 6 2 2 4 7 2 3 2 2 2" xfId="15090" xr:uid="{35421EF5-0989-46F0-AB9B-0AE697EE774A}"/>
    <cellStyle name="Standard 6 2 2 4 7 2 3 2 3" xfId="15089" xr:uid="{7717D186-8E2C-4422-B12A-4334D357F2BB}"/>
    <cellStyle name="Standard 6 2 2 4 7 2 3 3" xfId="3130" xr:uid="{00000000-0005-0000-0000-0000410C0000}"/>
    <cellStyle name="Standard 6 2 2 4 7 2 3 3 2" xfId="15091" xr:uid="{604DDDB4-EE28-4145-8BD3-DB6C283E4872}"/>
    <cellStyle name="Standard 6 2 2 4 7 2 3 4" xfId="15088" xr:uid="{4CD75EA5-16A4-4DEB-A520-AB7B7209A8F8}"/>
    <cellStyle name="Standard 6 2 2 4 7 2 4" xfId="3131" xr:uid="{00000000-0005-0000-0000-0000420C0000}"/>
    <cellStyle name="Standard 6 2 2 4 7 2 4 2" xfId="3132" xr:uid="{00000000-0005-0000-0000-0000430C0000}"/>
    <cellStyle name="Standard 6 2 2 4 7 2 4 2 2" xfId="3133" xr:uid="{00000000-0005-0000-0000-0000440C0000}"/>
    <cellStyle name="Standard 6 2 2 4 7 2 4 2 2 2" xfId="15094" xr:uid="{47B46C0F-C514-4F85-BBF3-6A142E6646D5}"/>
    <cellStyle name="Standard 6 2 2 4 7 2 4 2 3" xfId="15093" xr:uid="{FFA1145C-3679-4A10-912C-85A5584B2D59}"/>
    <cellStyle name="Standard 6 2 2 4 7 2 4 3" xfId="3134" xr:uid="{00000000-0005-0000-0000-0000450C0000}"/>
    <cellStyle name="Standard 6 2 2 4 7 2 4 3 2" xfId="15095" xr:uid="{B7B3761F-3B17-40CD-A777-8371967CDBDE}"/>
    <cellStyle name="Standard 6 2 2 4 7 2 4 4" xfId="15092" xr:uid="{A7D5E47A-DC2C-487D-A043-D34CA7C9CBD9}"/>
    <cellStyle name="Standard 6 2 2 4 7 2 5" xfId="3135" xr:uid="{00000000-0005-0000-0000-0000460C0000}"/>
    <cellStyle name="Standard 6 2 2 4 7 2 5 2" xfId="3136" xr:uid="{00000000-0005-0000-0000-0000470C0000}"/>
    <cellStyle name="Standard 6 2 2 4 7 2 5 2 2" xfId="3137" xr:uid="{00000000-0005-0000-0000-0000480C0000}"/>
    <cellStyle name="Standard 6 2 2 4 7 2 5 2 2 2" xfId="15098" xr:uid="{42B4885A-722A-442C-B2DA-A195B416C53C}"/>
    <cellStyle name="Standard 6 2 2 4 7 2 5 2 3" xfId="15097" xr:uid="{CF40AB9B-38A8-4468-B43F-15E63B00525F}"/>
    <cellStyle name="Standard 6 2 2 4 7 2 5 3" xfId="3138" xr:uid="{00000000-0005-0000-0000-0000490C0000}"/>
    <cellStyle name="Standard 6 2 2 4 7 2 5 3 2" xfId="15099" xr:uid="{945F2C50-C360-4875-B790-B61ACE15F561}"/>
    <cellStyle name="Standard 6 2 2 4 7 2 5 4" xfId="15096" xr:uid="{D82786C3-A8D9-43A4-8425-260F3A106E6E}"/>
    <cellStyle name="Standard 6 2 2 4 7 2 6" xfId="3139" xr:uid="{00000000-0005-0000-0000-00004A0C0000}"/>
    <cellStyle name="Standard 6 2 2 4 7 2 6 2" xfId="3140" xr:uid="{00000000-0005-0000-0000-00004B0C0000}"/>
    <cellStyle name="Standard 6 2 2 4 7 2 6 2 2" xfId="3141" xr:uid="{00000000-0005-0000-0000-00004C0C0000}"/>
    <cellStyle name="Standard 6 2 2 4 7 2 6 2 2 2" xfId="15102" xr:uid="{63547557-A0C4-44A1-97B4-BFEBE7B53EE0}"/>
    <cellStyle name="Standard 6 2 2 4 7 2 6 2 3" xfId="15101" xr:uid="{A2B0CCC0-2249-4C60-A993-7316876F459D}"/>
    <cellStyle name="Standard 6 2 2 4 7 2 6 3" xfId="3142" xr:uid="{00000000-0005-0000-0000-00004D0C0000}"/>
    <cellStyle name="Standard 6 2 2 4 7 2 6 3 2" xfId="15103" xr:uid="{CB01C839-7CF7-45DD-B75F-A82F3DF503BD}"/>
    <cellStyle name="Standard 6 2 2 4 7 2 6 4" xfId="15100" xr:uid="{2C2D7269-831C-42AD-88D4-9F761DE2263E}"/>
    <cellStyle name="Standard 6 2 2 4 7 2 7" xfId="3143" xr:uid="{00000000-0005-0000-0000-00004E0C0000}"/>
    <cellStyle name="Standard 6 2 2 4 7 2 7 2" xfId="3144" xr:uid="{00000000-0005-0000-0000-00004F0C0000}"/>
    <cellStyle name="Standard 6 2 2 4 7 2 7 2 2" xfId="3145" xr:uid="{00000000-0005-0000-0000-0000500C0000}"/>
    <cellStyle name="Standard 6 2 2 4 7 2 7 2 2 2" xfId="15106" xr:uid="{AEA0CD31-A011-40B9-8A18-41D7CA7E8A7D}"/>
    <cellStyle name="Standard 6 2 2 4 7 2 7 2 3" xfId="15105" xr:uid="{D9C55B31-F04E-405C-816C-0D2607E528D2}"/>
    <cellStyle name="Standard 6 2 2 4 7 2 7 3" xfId="3146" xr:uid="{00000000-0005-0000-0000-0000510C0000}"/>
    <cellStyle name="Standard 6 2 2 4 7 2 7 3 2" xfId="15107" xr:uid="{F01326B1-2CD7-4047-B733-E2F58C5F90B3}"/>
    <cellStyle name="Standard 6 2 2 4 7 2 7 4" xfId="15104" xr:uid="{79FF1AC0-9AB9-4EC2-9ED2-5E8D75FDCDEE}"/>
    <cellStyle name="Standard 6 2 2 4 7 2 8" xfId="3147" xr:uid="{00000000-0005-0000-0000-0000520C0000}"/>
    <cellStyle name="Standard 6 2 2 4 7 2 8 2" xfId="3148" xr:uid="{00000000-0005-0000-0000-0000530C0000}"/>
    <cellStyle name="Standard 6 2 2 4 7 2 8 2 2" xfId="15109" xr:uid="{1E98503A-EE81-434D-A3C2-7B983468E0C3}"/>
    <cellStyle name="Standard 6 2 2 4 7 2 8 3" xfId="15108" xr:uid="{5439C244-8F62-4E44-BE66-CC6D70BC157E}"/>
    <cellStyle name="Standard 6 2 2 4 7 2 9" xfId="3149" xr:uid="{00000000-0005-0000-0000-0000540C0000}"/>
    <cellStyle name="Standard 6 2 2 4 7 2 9 2" xfId="15110" xr:uid="{07228C1C-5417-42BE-8DDC-B04E9D238C75}"/>
    <cellStyle name="Standard 6 2 2 4 7 3" xfId="3150" xr:uid="{00000000-0005-0000-0000-0000550C0000}"/>
    <cellStyle name="Standard 6 2 2 4 7 3 2" xfId="3151" xr:uid="{00000000-0005-0000-0000-0000560C0000}"/>
    <cellStyle name="Standard 6 2 2 4 7 3 2 2" xfId="3152" xr:uid="{00000000-0005-0000-0000-0000570C0000}"/>
    <cellStyle name="Standard 6 2 2 4 7 3 2 2 2" xfId="15113" xr:uid="{CF5F49AB-6107-4197-B5BA-0564CBBCFBCB}"/>
    <cellStyle name="Standard 6 2 2 4 7 3 2 3" xfId="15112" xr:uid="{43BA99DE-E8C3-4874-B9AB-907091D82056}"/>
    <cellStyle name="Standard 6 2 2 4 7 3 3" xfId="3153" xr:uid="{00000000-0005-0000-0000-0000580C0000}"/>
    <cellStyle name="Standard 6 2 2 4 7 3 3 2" xfId="15114" xr:uid="{2FE7BA6E-A80D-42DE-8AF3-724B50E5F744}"/>
    <cellStyle name="Standard 6 2 2 4 7 3 4" xfId="15111" xr:uid="{060B22F2-ED8D-4F24-BC6E-83E4CE985079}"/>
    <cellStyle name="Standard 6 2 2 4 7 4" xfId="3154" xr:uid="{00000000-0005-0000-0000-0000590C0000}"/>
    <cellStyle name="Standard 6 2 2 4 7 4 2" xfId="3155" xr:uid="{00000000-0005-0000-0000-00005A0C0000}"/>
    <cellStyle name="Standard 6 2 2 4 7 4 2 2" xfId="3156" xr:uid="{00000000-0005-0000-0000-00005B0C0000}"/>
    <cellStyle name="Standard 6 2 2 4 7 4 2 2 2" xfId="15117" xr:uid="{F7140FA4-5AE7-4C4A-B85C-0E1828685403}"/>
    <cellStyle name="Standard 6 2 2 4 7 4 2 3" xfId="15116" xr:uid="{1BABFBB6-C059-4774-932B-8BC88EC72B3F}"/>
    <cellStyle name="Standard 6 2 2 4 7 4 3" xfId="3157" xr:uid="{00000000-0005-0000-0000-00005C0C0000}"/>
    <cellStyle name="Standard 6 2 2 4 7 4 3 2" xfId="15118" xr:uid="{A0C4BF97-E344-4946-97FA-9E7A692D9002}"/>
    <cellStyle name="Standard 6 2 2 4 7 4 4" xfId="15115" xr:uid="{7022EA68-FA78-45D8-960B-24EAD9542571}"/>
    <cellStyle name="Standard 6 2 2 4 7 5" xfId="3158" xr:uid="{00000000-0005-0000-0000-00005D0C0000}"/>
    <cellStyle name="Standard 6 2 2 4 7 5 2" xfId="3159" xr:uid="{00000000-0005-0000-0000-00005E0C0000}"/>
    <cellStyle name="Standard 6 2 2 4 7 5 2 2" xfId="3160" xr:uid="{00000000-0005-0000-0000-00005F0C0000}"/>
    <cellStyle name="Standard 6 2 2 4 7 5 2 2 2" xfId="15121" xr:uid="{1D4294C0-C06C-4476-8D1F-7A606EC8B691}"/>
    <cellStyle name="Standard 6 2 2 4 7 5 2 3" xfId="15120" xr:uid="{23233A26-74CF-4CDA-90AE-627B017D9566}"/>
    <cellStyle name="Standard 6 2 2 4 7 5 3" xfId="3161" xr:uid="{00000000-0005-0000-0000-0000600C0000}"/>
    <cellStyle name="Standard 6 2 2 4 7 5 3 2" xfId="15122" xr:uid="{40B99ED6-60E2-43FD-84FB-EA6582CC3EF2}"/>
    <cellStyle name="Standard 6 2 2 4 7 5 4" xfId="15119" xr:uid="{77F2E8AD-F156-4DD1-A03D-B94438A351A1}"/>
    <cellStyle name="Standard 6 2 2 4 7 6" xfId="3162" xr:uid="{00000000-0005-0000-0000-0000610C0000}"/>
    <cellStyle name="Standard 6 2 2 4 7 6 2" xfId="3163" xr:uid="{00000000-0005-0000-0000-0000620C0000}"/>
    <cellStyle name="Standard 6 2 2 4 7 6 2 2" xfId="3164" xr:uid="{00000000-0005-0000-0000-0000630C0000}"/>
    <cellStyle name="Standard 6 2 2 4 7 6 2 2 2" xfId="15125" xr:uid="{18831C36-44C2-4075-AC8A-F8B12626423F}"/>
    <cellStyle name="Standard 6 2 2 4 7 6 2 3" xfId="15124" xr:uid="{7DD50CA6-4990-4FCE-B519-07EB396655A5}"/>
    <cellStyle name="Standard 6 2 2 4 7 6 3" xfId="3165" xr:uid="{00000000-0005-0000-0000-0000640C0000}"/>
    <cellStyle name="Standard 6 2 2 4 7 6 3 2" xfId="15126" xr:uid="{F9E71C66-7F28-4A14-8E43-39F79E5BD986}"/>
    <cellStyle name="Standard 6 2 2 4 7 6 4" xfId="15123" xr:uid="{E89720B4-C73A-48EB-933B-FAB35F31F9E2}"/>
    <cellStyle name="Standard 6 2 2 4 7 7" xfId="3166" xr:uid="{00000000-0005-0000-0000-0000650C0000}"/>
    <cellStyle name="Standard 6 2 2 4 7 7 2" xfId="3167" xr:uid="{00000000-0005-0000-0000-0000660C0000}"/>
    <cellStyle name="Standard 6 2 2 4 7 7 2 2" xfId="3168" xr:uid="{00000000-0005-0000-0000-0000670C0000}"/>
    <cellStyle name="Standard 6 2 2 4 7 7 2 2 2" xfId="15129" xr:uid="{B974F1EB-A4AE-49BB-A6A6-1D1E389B86A4}"/>
    <cellStyle name="Standard 6 2 2 4 7 7 2 3" xfId="15128" xr:uid="{32B1365B-B7F2-46FD-ADAF-CAD054E6294D}"/>
    <cellStyle name="Standard 6 2 2 4 7 7 3" xfId="3169" xr:uid="{00000000-0005-0000-0000-0000680C0000}"/>
    <cellStyle name="Standard 6 2 2 4 7 7 3 2" xfId="15130" xr:uid="{BA54658F-A7C0-4AB2-8D6A-908B87EC4EB5}"/>
    <cellStyle name="Standard 6 2 2 4 7 7 4" xfId="15127" xr:uid="{C46B8FB9-42BD-4E6F-823D-862CC1B6DE78}"/>
    <cellStyle name="Standard 6 2 2 4 7 8" xfId="3170" xr:uid="{00000000-0005-0000-0000-0000690C0000}"/>
    <cellStyle name="Standard 6 2 2 4 7 8 2" xfId="3171" xr:uid="{00000000-0005-0000-0000-00006A0C0000}"/>
    <cellStyle name="Standard 6 2 2 4 7 8 2 2" xfId="3172" xr:uid="{00000000-0005-0000-0000-00006B0C0000}"/>
    <cellStyle name="Standard 6 2 2 4 7 8 2 2 2" xfId="15133" xr:uid="{D49DE83C-6445-4BE3-81A0-DBFA16A85CB9}"/>
    <cellStyle name="Standard 6 2 2 4 7 8 2 3" xfId="15132" xr:uid="{B6226A1B-7835-4371-89E5-D6F796A6895B}"/>
    <cellStyle name="Standard 6 2 2 4 7 8 3" xfId="3173" xr:uid="{00000000-0005-0000-0000-00006C0C0000}"/>
    <cellStyle name="Standard 6 2 2 4 7 8 3 2" xfId="15134" xr:uid="{9F6C32D6-8E79-4B69-96EB-A9127A073111}"/>
    <cellStyle name="Standard 6 2 2 4 7 8 4" xfId="15131" xr:uid="{3253D10F-0424-4829-A9D9-C4FCC60BCA88}"/>
    <cellStyle name="Standard 6 2 2 4 7 9" xfId="3174" xr:uid="{00000000-0005-0000-0000-00006D0C0000}"/>
    <cellStyle name="Standard 6 2 2 4 7 9 2" xfId="3175" xr:uid="{00000000-0005-0000-0000-00006E0C0000}"/>
    <cellStyle name="Standard 6 2 2 4 7 9 2 2" xfId="15136" xr:uid="{9E24E28C-6AD0-41C1-8B3A-23B90DE7EE00}"/>
    <cellStyle name="Standard 6 2 2 4 7 9 3" xfId="15135" xr:uid="{1F808D81-E93D-4BBF-A633-6B2751655ED2}"/>
    <cellStyle name="Standard 6 2 2 4 8" xfId="3176" xr:uid="{00000000-0005-0000-0000-00006F0C0000}"/>
    <cellStyle name="Standard 6 2 2 4 8 10" xfId="15137" xr:uid="{84D61DFF-010F-422A-B143-CEFEF1AC7C5C}"/>
    <cellStyle name="Standard 6 2 2 4 8 2" xfId="3177" xr:uid="{00000000-0005-0000-0000-0000700C0000}"/>
    <cellStyle name="Standard 6 2 2 4 8 2 2" xfId="3178" xr:uid="{00000000-0005-0000-0000-0000710C0000}"/>
    <cellStyle name="Standard 6 2 2 4 8 2 2 2" xfId="3179" xr:uid="{00000000-0005-0000-0000-0000720C0000}"/>
    <cellStyle name="Standard 6 2 2 4 8 2 2 2 2" xfId="15140" xr:uid="{A587B72A-29C1-4C22-8019-7AE8654136C0}"/>
    <cellStyle name="Standard 6 2 2 4 8 2 2 3" xfId="15139" xr:uid="{9EB8FDBC-DC95-48A9-B37A-E1DC56F341D3}"/>
    <cellStyle name="Standard 6 2 2 4 8 2 3" xfId="3180" xr:uid="{00000000-0005-0000-0000-0000730C0000}"/>
    <cellStyle name="Standard 6 2 2 4 8 2 3 2" xfId="15141" xr:uid="{737A5B8D-2643-4AB0-8FC0-9AD843CE1C83}"/>
    <cellStyle name="Standard 6 2 2 4 8 2 4" xfId="15138" xr:uid="{4EAD58AF-C75A-4448-B639-ED8992FA37F7}"/>
    <cellStyle name="Standard 6 2 2 4 8 3" xfId="3181" xr:uid="{00000000-0005-0000-0000-0000740C0000}"/>
    <cellStyle name="Standard 6 2 2 4 8 3 2" xfId="3182" xr:uid="{00000000-0005-0000-0000-0000750C0000}"/>
    <cellStyle name="Standard 6 2 2 4 8 3 2 2" xfId="3183" xr:uid="{00000000-0005-0000-0000-0000760C0000}"/>
    <cellStyle name="Standard 6 2 2 4 8 3 2 2 2" xfId="15144" xr:uid="{81637E1E-AE82-4557-A345-7C748B8B23C5}"/>
    <cellStyle name="Standard 6 2 2 4 8 3 2 3" xfId="15143" xr:uid="{4559C45B-C70C-40D0-B91B-190578B9F0C2}"/>
    <cellStyle name="Standard 6 2 2 4 8 3 3" xfId="3184" xr:uid="{00000000-0005-0000-0000-0000770C0000}"/>
    <cellStyle name="Standard 6 2 2 4 8 3 3 2" xfId="15145" xr:uid="{6664E8C4-E947-4B7F-9F53-D7E45785CF74}"/>
    <cellStyle name="Standard 6 2 2 4 8 3 4" xfId="15142" xr:uid="{05907C86-2F1F-4446-9563-43C86D7B9128}"/>
    <cellStyle name="Standard 6 2 2 4 8 4" xfId="3185" xr:uid="{00000000-0005-0000-0000-0000780C0000}"/>
    <cellStyle name="Standard 6 2 2 4 8 4 2" xfId="3186" xr:uid="{00000000-0005-0000-0000-0000790C0000}"/>
    <cellStyle name="Standard 6 2 2 4 8 4 2 2" xfId="3187" xr:uid="{00000000-0005-0000-0000-00007A0C0000}"/>
    <cellStyle name="Standard 6 2 2 4 8 4 2 2 2" xfId="15148" xr:uid="{79FE78FD-F3DB-4380-9CFC-7D1488E3BFB8}"/>
    <cellStyle name="Standard 6 2 2 4 8 4 2 3" xfId="15147" xr:uid="{D73C0497-D971-4EB8-B3C1-4B1A2CF2D2F7}"/>
    <cellStyle name="Standard 6 2 2 4 8 4 3" xfId="3188" xr:uid="{00000000-0005-0000-0000-00007B0C0000}"/>
    <cellStyle name="Standard 6 2 2 4 8 4 3 2" xfId="15149" xr:uid="{55EB88BF-C8A5-4E2E-852B-D8B99AD76AD8}"/>
    <cellStyle name="Standard 6 2 2 4 8 4 4" xfId="15146" xr:uid="{AC1359FE-65C9-445E-9A45-4B4642FAE599}"/>
    <cellStyle name="Standard 6 2 2 4 8 5" xfId="3189" xr:uid="{00000000-0005-0000-0000-00007C0C0000}"/>
    <cellStyle name="Standard 6 2 2 4 8 5 2" xfId="3190" xr:uid="{00000000-0005-0000-0000-00007D0C0000}"/>
    <cellStyle name="Standard 6 2 2 4 8 5 2 2" xfId="3191" xr:uid="{00000000-0005-0000-0000-00007E0C0000}"/>
    <cellStyle name="Standard 6 2 2 4 8 5 2 2 2" xfId="15152" xr:uid="{C2F17DDB-3515-41EA-96EC-D55953F8C848}"/>
    <cellStyle name="Standard 6 2 2 4 8 5 2 3" xfId="15151" xr:uid="{6651B164-87C0-42F7-AB50-C3DDFD6D63A5}"/>
    <cellStyle name="Standard 6 2 2 4 8 5 3" xfId="3192" xr:uid="{00000000-0005-0000-0000-00007F0C0000}"/>
    <cellStyle name="Standard 6 2 2 4 8 5 3 2" xfId="15153" xr:uid="{34C2ACC2-C6B0-4FAA-8BDD-327EAE899B39}"/>
    <cellStyle name="Standard 6 2 2 4 8 5 4" xfId="15150" xr:uid="{3AEA0DF9-B505-4466-B61B-18A03E247739}"/>
    <cellStyle name="Standard 6 2 2 4 8 6" xfId="3193" xr:uid="{00000000-0005-0000-0000-0000800C0000}"/>
    <cellStyle name="Standard 6 2 2 4 8 6 2" xfId="3194" xr:uid="{00000000-0005-0000-0000-0000810C0000}"/>
    <cellStyle name="Standard 6 2 2 4 8 6 2 2" xfId="3195" xr:uid="{00000000-0005-0000-0000-0000820C0000}"/>
    <cellStyle name="Standard 6 2 2 4 8 6 2 2 2" xfId="15156" xr:uid="{A7F8D079-2CF4-4356-B2E5-FC4CF4335A71}"/>
    <cellStyle name="Standard 6 2 2 4 8 6 2 3" xfId="15155" xr:uid="{9E0D6D70-3956-4192-BC88-8A9B6508204B}"/>
    <cellStyle name="Standard 6 2 2 4 8 6 3" xfId="3196" xr:uid="{00000000-0005-0000-0000-0000830C0000}"/>
    <cellStyle name="Standard 6 2 2 4 8 6 3 2" xfId="15157" xr:uid="{90CC6CE9-3D57-42A2-A7B7-38013834424F}"/>
    <cellStyle name="Standard 6 2 2 4 8 6 4" xfId="15154" xr:uid="{044D6D64-1A46-4808-8987-3079CE5D5F90}"/>
    <cellStyle name="Standard 6 2 2 4 8 7" xfId="3197" xr:uid="{00000000-0005-0000-0000-0000840C0000}"/>
    <cellStyle name="Standard 6 2 2 4 8 7 2" xfId="3198" xr:uid="{00000000-0005-0000-0000-0000850C0000}"/>
    <cellStyle name="Standard 6 2 2 4 8 7 2 2" xfId="3199" xr:uid="{00000000-0005-0000-0000-0000860C0000}"/>
    <cellStyle name="Standard 6 2 2 4 8 7 2 2 2" xfId="15160" xr:uid="{DF79B02A-F3C1-4314-8B4F-1DB007330911}"/>
    <cellStyle name="Standard 6 2 2 4 8 7 2 3" xfId="15159" xr:uid="{7219FA59-5785-4A20-8F00-5F7B6BBFD767}"/>
    <cellStyle name="Standard 6 2 2 4 8 7 3" xfId="3200" xr:uid="{00000000-0005-0000-0000-0000870C0000}"/>
    <cellStyle name="Standard 6 2 2 4 8 7 3 2" xfId="15161" xr:uid="{F415E707-5D66-468A-B614-8A89780B1554}"/>
    <cellStyle name="Standard 6 2 2 4 8 7 4" xfId="15158" xr:uid="{B0C38EA8-B1DA-4628-9F5B-03F590037874}"/>
    <cellStyle name="Standard 6 2 2 4 8 8" xfId="3201" xr:uid="{00000000-0005-0000-0000-0000880C0000}"/>
    <cellStyle name="Standard 6 2 2 4 8 8 2" xfId="3202" xr:uid="{00000000-0005-0000-0000-0000890C0000}"/>
    <cellStyle name="Standard 6 2 2 4 8 8 2 2" xfId="15163" xr:uid="{F274BF54-507E-4AA2-964B-B4BBAA66CA08}"/>
    <cellStyle name="Standard 6 2 2 4 8 8 3" xfId="15162" xr:uid="{C404C11B-9091-4753-98F8-C3B12CB2CA8D}"/>
    <cellStyle name="Standard 6 2 2 4 8 9" xfId="3203" xr:uid="{00000000-0005-0000-0000-00008A0C0000}"/>
    <cellStyle name="Standard 6 2 2 4 8 9 2" xfId="15164" xr:uid="{CB4EA056-C57C-4EE5-AE96-F73099ECF255}"/>
    <cellStyle name="Standard 6 2 2 4 9" xfId="3204" xr:uid="{00000000-0005-0000-0000-00008B0C0000}"/>
    <cellStyle name="Standard 6 2 2 4 9 2" xfId="3205" xr:uid="{00000000-0005-0000-0000-00008C0C0000}"/>
    <cellStyle name="Standard 6 2 2 4 9 2 2" xfId="3206" xr:uid="{00000000-0005-0000-0000-00008D0C0000}"/>
    <cellStyle name="Standard 6 2 2 4 9 2 2 2" xfId="3207" xr:uid="{00000000-0005-0000-0000-00008E0C0000}"/>
    <cellStyle name="Standard 6 2 2 4 9 2 2 2 2" xfId="15168" xr:uid="{670C40AD-0206-4795-B664-DE57800E44A9}"/>
    <cellStyle name="Standard 6 2 2 4 9 2 2 3" xfId="15167" xr:uid="{B3B3FDFA-6756-4170-9B85-7EBC967756D0}"/>
    <cellStyle name="Standard 6 2 2 4 9 2 3" xfId="3208" xr:uid="{00000000-0005-0000-0000-00008F0C0000}"/>
    <cellStyle name="Standard 6 2 2 4 9 2 3 2" xfId="15169" xr:uid="{85F18154-4138-4D71-877E-37B3B8A5788B}"/>
    <cellStyle name="Standard 6 2 2 4 9 2 4" xfId="15166" xr:uid="{50B079C5-B7BE-4929-92B1-E557EBB9B332}"/>
    <cellStyle name="Standard 6 2 2 4 9 3" xfId="3209" xr:uid="{00000000-0005-0000-0000-0000900C0000}"/>
    <cellStyle name="Standard 6 2 2 4 9 3 2" xfId="3210" xr:uid="{00000000-0005-0000-0000-0000910C0000}"/>
    <cellStyle name="Standard 6 2 2 4 9 3 2 2" xfId="3211" xr:uid="{00000000-0005-0000-0000-0000920C0000}"/>
    <cellStyle name="Standard 6 2 2 4 9 3 2 2 2" xfId="15172" xr:uid="{4721C710-3A67-453D-91FE-FCB3C62880C2}"/>
    <cellStyle name="Standard 6 2 2 4 9 3 2 3" xfId="15171" xr:uid="{0041FA3F-B0CC-45FA-A21B-7D6DB755BAA3}"/>
    <cellStyle name="Standard 6 2 2 4 9 3 3" xfId="3212" xr:uid="{00000000-0005-0000-0000-0000930C0000}"/>
    <cellStyle name="Standard 6 2 2 4 9 3 3 2" xfId="15173" xr:uid="{EEAF99E5-E4CE-45B6-8382-9860941C2AFE}"/>
    <cellStyle name="Standard 6 2 2 4 9 3 4" xfId="15170" xr:uid="{C77C19B4-1BFD-48D7-B43B-0D4B6583D24F}"/>
    <cellStyle name="Standard 6 2 2 4 9 4" xfId="3213" xr:uid="{00000000-0005-0000-0000-0000940C0000}"/>
    <cellStyle name="Standard 6 2 2 4 9 4 2" xfId="3214" xr:uid="{00000000-0005-0000-0000-0000950C0000}"/>
    <cellStyle name="Standard 6 2 2 4 9 4 2 2" xfId="3215" xr:uid="{00000000-0005-0000-0000-0000960C0000}"/>
    <cellStyle name="Standard 6 2 2 4 9 4 2 2 2" xfId="15176" xr:uid="{12E4907A-67A6-4CE2-A06F-C8E12E041FAF}"/>
    <cellStyle name="Standard 6 2 2 4 9 4 2 3" xfId="15175" xr:uid="{531CFE48-072D-4280-87C2-940D68FE6B47}"/>
    <cellStyle name="Standard 6 2 2 4 9 4 3" xfId="3216" xr:uid="{00000000-0005-0000-0000-0000970C0000}"/>
    <cellStyle name="Standard 6 2 2 4 9 4 3 2" xfId="15177" xr:uid="{6AD32429-F5D3-4269-B69B-08329B7D8A3B}"/>
    <cellStyle name="Standard 6 2 2 4 9 4 4" xfId="15174" xr:uid="{D0AB0D74-2F08-4AD7-85E7-58AD2F823414}"/>
    <cellStyle name="Standard 6 2 2 4 9 5" xfId="3217" xr:uid="{00000000-0005-0000-0000-0000980C0000}"/>
    <cellStyle name="Standard 6 2 2 4 9 5 2" xfId="3218" xr:uid="{00000000-0005-0000-0000-0000990C0000}"/>
    <cellStyle name="Standard 6 2 2 4 9 5 2 2" xfId="3219" xr:uid="{00000000-0005-0000-0000-00009A0C0000}"/>
    <cellStyle name="Standard 6 2 2 4 9 5 2 2 2" xfId="15180" xr:uid="{264F4B44-C1D9-4BBB-8702-32F485C8B0FD}"/>
    <cellStyle name="Standard 6 2 2 4 9 5 2 3" xfId="15179" xr:uid="{BCEC3097-EC0D-4DDF-9FAD-EB4C319B07A2}"/>
    <cellStyle name="Standard 6 2 2 4 9 5 3" xfId="3220" xr:uid="{00000000-0005-0000-0000-00009B0C0000}"/>
    <cellStyle name="Standard 6 2 2 4 9 5 3 2" xfId="15181" xr:uid="{44065802-AC3C-48CB-8CD6-DF6EBF35D25B}"/>
    <cellStyle name="Standard 6 2 2 4 9 5 4" xfId="15178" xr:uid="{AF1FE48F-2FA4-422F-A9CC-A3A332E15EFB}"/>
    <cellStyle name="Standard 6 2 2 4 9 6" xfId="3221" xr:uid="{00000000-0005-0000-0000-00009C0C0000}"/>
    <cellStyle name="Standard 6 2 2 4 9 6 2" xfId="3222" xr:uid="{00000000-0005-0000-0000-00009D0C0000}"/>
    <cellStyle name="Standard 6 2 2 4 9 6 2 2" xfId="3223" xr:uid="{00000000-0005-0000-0000-00009E0C0000}"/>
    <cellStyle name="Standard 6 2 2 4 9 6 2 2 2" xfId="15184" xr:uid="{EF3BA04B-0265-4984-B2B7-F989C67CAE17}"/>
    <cellStyle name="Standard 6 2 2 4 9 6 2 3" xfId="15183" xr:uid="{1AE15D86-0082-420E-A9A3-BAF57EA7DFF9}"/>
    <cellStyle name="Standard 6 2 2 4 9 6 3" xfId="3224" xr:uid="{00000000-0005-0000-0000-00009F0C0000}"/>
    <cellStyle name="Standard 6 2 2 4 9 6 3 2" xfId="15185" xr:uid="{A3B8F2E0-D8CE-43C4-833F-722453622475}"/>
    <cellStyle name="Standard 6 2 2 4 9 6 4" xfId="15182" xr:uid="{C19965F1-BC61-491B-AE0D-A72A2CECBBAF}"/>
    <cellStyle name="Standard 6 2 2 4 9 7" xfId="3225" xr:uid="{00000000-0005-0000-0000-0000A00C0000}"/>
    <cellStyle name="Standard 6 2 2 4 9 7 2" xfId="3226" xr:uid="{00000000-0005-0000-0000-0000A10C0000}"/>
    <cellStyle name="Standard 6 2 2 4 9 7 2 2" xfId="15187" xr:uid="{C89F11CA-ADDB-4A94-9689-A9506861B6F9}"/>
    <cellStyle name="Standard 6 2 2 4 9 7 3" xfId="15186" xr:uid="{EA920ABD-7B77-46E8-96A4-6125BC678513}"/>
    <cellStyle name="Standard 6 2 2 4 9 8" xfId="3227" xr:uid="{00000000-0005-0000-0000-0000A20C0000}"/>
    <cellStyle name="Standard 6 2 2 4 9 8 2" xfId="15188" xr:uid="{BEBC41DA-3371-4E4C-BE37-9DEC28192B31}"/>
    <cellStyle name="Standard 6 2 2 4 9 9" xfId="15165" xr:uid="{3741246D-4942-40B6-9993-0F78580F2A4D}"/>
    <cellStyle name="Standard 6 2 2 5" xfId="3228" xr:uid="{00000000-0005-0000-0000-0000A30C0000}"/>
    <cellStyle name="Standard 6 2 2 5 10" xfId="3229" xr:uid="{00000000-0005-0000-0000-0000A40C0000}"/>
    <cellStyle name="Standard 6 2 2 5 10 2" xfId="3230" xr:uid="{00000000-0005-0000-0000-0000A50C0000}"/>
    <cellStyle name="Standard 6 2 2 5 10 2 2" xfId="15191" xr:uid="{A4F53312-CDB4-4591-82FF-3EC814A30480}"/>
    <cellStyle name="Standard 6 2 2 5 10 3" xfId="15190" xr:uid="{2AC2E57D-6D4A-4AFC-9CE4-111FDE0734E1}"/>
    <cellStyle name="Standard 6 2 2 5 11" xfId="3231" xr:uid="{00000000-0005-0000-0000-0000A60C0000}"/>
    <cellStyle name="Standard 6 2 2 5 11 2" xfId="15192" xr:uid="{784B9AA7-97D3-46FC-ADC6-5D13DC5AA723}"/>
    <cellStyle name="Standard 6 2 2 5 12" xfId="15189" xr:uid="{2CCCBC34-1E5C-47D2-969A-B2A41C12A794}"/>
    <cellStyle name="Standard 6 2 2 5 2" xfId="3232" xr:uid="{00000000-0005-0000-0000-0000A70C0000}"/>
    <cellStyle name="Standard 6 2 2 5 2 10" xfId="3233" xr:uid="{00000000-0005-0000-0000-0000A80C0000}"/>
    <cellStyle name="Standard 6 2 2 5 2 10 2" xfId="15194" xr:uid="{83855C7E-4733-44AF-861D-EBD8FE9E3B4E}"/>
    <cellStyle name="Standard 6 2 2 5 2 11" xfId="15193" xr:uid="{7CCCE92D-CEE8-42BF-8E87-805CA7E18032}"/>
    <cellStyle name="Standard 6 2 2 5 2 2" xfId="3234" xr:uid="{00000000-0005-0000-0000-0000A90C0000}"/>
    <cellStyle name="Standard 6 2 2 5 2 2 10" xfId="15195" xr:uid="{BA61E307-F98B-4E01-AC90-E1E53380EFBF}"/>
    <cellStyle name="Standard 6 2 2 5 2 2 2" xfId="3235" xr:uid="{00000000-0005-0000-0000-0000AA0C0000}"/>
    <cellStyle name="Standard 6 2 2 5 2 2 2 2" xfId="3236" xr:uid="{00000000-0005-0000-0000-0000AB0C0000}"/>
    <cellStyle name="Standard 6 2 2 5 2 2 2 2 2" xfId="3237" xr:uid="{00000000-0005-0000-0000-0000AC0C0000}"/>
    <cellStyle name="Standard 6 2 2 5 2 2 2 2 2 2" xfId="15198" xr:uid="{CC1ED39F-A5C6-411C-8628-679BEA1523F2}"/>
    <cellStyle name="Standard 6 2 2 5 2 2 2 2 3" xfId="15197" xr:uid="{8398CF67-8EEE-4233-B388-91C9973F114A}"/>
    <cellStyle name="Standard 6 2 2 5 2 2 2 3" xfId="3238" xr:uid="{00000000-0005-0000-0000-0000AD0C0000}"/>
    <cellStyle name="Standard 6 2 2 5 2 2 2 3 2" xfId="15199" xr:uid="{920A27C6-B990-4142-85A8-5E1458D4B8F5}"/>
    <cellStyle name="Standard 6 2 2 5 2 2 2 4" xfId="15196" xr:uid="{98D68814-F04A-44AE-8F8C-F3301C73543A}"/>
    <cellStyle name="Standard 6 2 2 5 2 2 3" xfId="3239" xr:uid="{00000000-0005-0000-0000-0000AE0C0000}"/>
    <cellStyle name="Standard 6 2 2 5 2 2 3 2" xfId="3240" xr:uid="{00000000-0005-0000-0000-0000AF0C0000}"/>
    <cellStyle name="Standard 6 2 2 5 2 2 3 2 2" xfId="3241" xr:uid="{00000000-0005-0000-0000-0000B00C0000}"/>
    <cellStyle name="Standard 6 2 2 5 2 2 3 2 2 2" xfId="15202" xr:uid="{736F099F-3F0F-410C-BFA8-EFB8E16A5AB0}"/>
    <cellStyle name="Standard 6 2 2 5 2 2 3 2 3" xfId="15201" xr:uid="{D8ED6CDD-1ACA-4200-81BA-4C1CF7593170}"/>
    <cellStyle name="Standard 6 2 2 5 2 2 3 3" xfId="3242" xr:uid="{00000000-0005-0000-0000-0000B10C0000}"/>
    <cellStyle name="Standard 6 2 2 5 2 2 3 3 2" xfId="15203" xr:uid="{B0B83BF4-8A81-4546-84CD-E9CE5E48B20B}"/>
    <cellStyle name="Standard 6 2 2 5 2 2 3 4" xfId="15200" xr:uid="{19AD5727-6C6C-4DFC-82D4-2178DD85EAA8}"/>
    <cellStyle name="Standard 6 2 2 5 2 2 4" xfId="3243" xr:uid="{00000000-0005-0000-0000-0000B20C0000}"/>
    <cellStyle name="Standard 6 2 2 5 2 2 4 2" xfId="3244" xr:uid="{00000000-0005-0000-0000-0000B30C0000}"/>
    <cellStyle name="Standard 6 2 2 5 2 2 4 2 2" xfId="3245" xr:uid="{00000000-0005-0000-0000-0000B40C0000}"/>
    <cellStyle name="Standard 6 2 2 5 2 2 4 2 2 2" xfId="15206" xr:uid="{46BB4061-E2DE-4B50-8223-691D798AFB8F}"/>
    <cellStyle name="Standard 6 2 2 5 2 2 4 2 3" xfId="15205" xr:uid="{FA873F59-34EF-4096-B80F-8CF32EA30132}"/>
    <cellStyle name="Standard 6 2 2 5 2 2 4 3" xfId="3246" xr:uid="{00000000-0005-0000-0000-0000B50C0000}"/>
    <cellStyle name="Standard 6 2 2 5 2 2 4 3 2" xfId="15207" xr:uid="{CD47EAFE-971E-477A-999F-0B5524D03773}"/>
    <cellStyle name="Standard 6 2 2 5 2 2 4 4" xfId="15204" xr:uid="{9872C8C4-9D49-4D76-A1F7-72FBB3997B82}"/>
    <cellStyle name="Standard 6 2 2 5 2 2 5" xfId="3247" xr:uid="{00000000-0005-0000-0000-0000B60C0000}"/>
    <cellStyle name="Standard 6 2 2 5 2 2 5 2" xfId="3248" xr:uid="{00000000-0005-0000-0000-0000B70C0000}"/>
    <cellStyle name="Standard 6 2 2 5 2 2 5 2 2" xfId="3249" xr:uid="{00000000-0005-0000-0000-0000B80C0000}"/>
    <cellStyle name="Standard 6 2 2 5 2 2 5 2 2 2" xfId="15210" xr:uid="{D9437567-2DA2-4AEF-9BD4-027CC1061DD4}"/>
    <cellStyle name="Standard 6 2 2 5 2 2 5 2 3" xfId="15209" xr:uid="{C36B76C7-FFB9-4268-AE71-11EAA446721E}"/>
    <cellStyle name="Standard 6 2 2 5 2 2 5 3" xfId="3250" xr:uid="{00000000-0005-0000-0000-0000B90C0000}"/>
    <cellStyle name="Standard 6 2 2 5 2 2 5 3 2" xfId="15211" xr:uid="{89D3C926-E6D1-4ACF-9476-76C5F771AB80}"/>
    <cellStyle name="Standard 6 2 2 5 2 2 5 4" xfId="15208" xr:uid="{D1ABAF36-E56D-4715-B3F6-4FF070C95562}"/>
    <cellStyle name="Standard 6 2 2 5 2 2 6" xfId="3251" xr:uid="{00000000-0005-0000-0000-0000BA0C0000}"/>
    <cellStyle name="Standard 6 2 2 5 2 2 6 2" xfId="3252" xr:uid="{00000000-0005-0000-0000-0000BB0C0000}"/>
    <cellStyle name="Standard 6 2 2 5 2 2 6 2 2" xfId="3253" xr:uid="{00000000-0005-0000-0000-0000BC0C0000}"/>
    <cellStyle name="Standard 6 2 2 5 2 2 6 2 2 2" xfId="15214" xr:uid="{97E732DC-4C1F-4865-A9E8-4AC857B013E4}"/>
    <cellStyle name="Standard 6 2 2 5 2 2 6 2 3" xfId="15213" xr:uid="{5FE099AA-54AE-4663-AC69-21FD984CA4A3}"/>
    <cellStyle name="Standard 6 2 2 5 2 2 6 3" xfId="3254" xr:uid="{00000000-0005-0000-0000-0000BD0C0000}"/>
    <cellStyle name="Standard 6 2 2 5 2 2 6 3 2" xfId="15215" xr:uid="{35579B39-E885-4F0D-8BFC-BC70071B2DE7}"/>
    <cellStyle name="Standard 6 2 2 5 2 2 6 4" xfId="15212" xr:uid="{7498DD98-ED4F-4DDE-9269-2E6F82EA532A}"/>
    <cellStyle name="Standard 6 2 2 5 2 2 7" xfId="3255" xr:uid="{00000000-0005-0000-0000-0000BE0C0000}"/>
    <cellStyle name="Standard 6 2 2 5 2 2 7 2" xfId="3256" xr:uid="{00000000-0005-0000-0000-0000BF0C0000}"/>
    <cellStyle name="Standard 6 2 2 5 2 2 7 2 2" xfId="3257" xr:uid="{00000000-0005-0000-0000-0000C00C0000}"/>
    <cellStyle name="Standard 6 2 2 5 2 2 7 2 2 2" xfId="15218" xr:uid="{90121AA2-BD28-4A58-B9D7-83E8587EA2DD}"/>
    <cellStyle name="Standard 6 2 2 5 2 2 7 2 3" xfId="15217" xr:uid="{78422A91-6FE2-4B02-A93A-07A595B327FB}"/>
    <cellStyle name="Standard 6 2 2 5 2 2 7 3" xfId="3258" xr:uid="{00000000-0005-0000-0000-0000C10C0000}"/>
    <cellStyle name="Standard 6 2 2 5 2 2 7 3 2" xfId="15219" xr:uid="{CF709D5B-8CC8-4035-B51A-100E6C3C6508}"/>
    <cellStyle name="Standard 6 2 2 5 2 2 7 4" xfId="15216" xr:uid="{0B44F3EE-9DF8-4C03-A1A8-3AC825D38D72}"/>
    <cellStyle name="Standard 6 2 2 5 2 2 8" xfId="3259" xr:uid="{00000000-0005-0000-0000-0000C20C0000}"/>
    <cellStyle name="Standard 6 2 2 5 2 2 8 2" xfId="3260" xr:uid="{00000000-0005-0000-0000-0000C30C0000}"/>
    <cellStyle name="Standard 6 2 2 5 2 2 8 2 2" xfId="15221" xr:uid="{CD907DE3-DDE1-4A52-A91C-5FCEF7433B13}"/>
    <cellStyle name="Standard 6 2 2 5 2 2 8 3" xfId="15220" xr:uid="{532F466B-5C3F-45F3-ABC5-50D692DF0FEC}"/>
    <cellStyle name="Standard 6 2 2 5 2 2 9" xfId="3261" xr:uid="{00000000-0005-0000-0000-0000C40C0000}"/>
    <cellStyle name="Standard 6 2 2 5 2 2 9 2" xfId="15222" xr:uid="{76244A7E-8E62-45A6-BFE3-ABB02D4C5921}"/>
    <cellStyle name="Standard 6 2 2 5 2 3" xfId="3262" xr:uid="{00000000-0005-0000-0000-0000C50C0000}"/>
    <cellStyle name="Standard 6 2 2 5 2 3 2" xfId="3263" xr:uid="{00000000-0005-0000-0000-0000C60C0000}"/>
    <cellStyle name="Standard 6 2 2 5 2 3 2 2" xfId="3264" xr:uid="{00000000-0005-0000-0000-0000C70C0000}"/>
    <cellStyle name="Standard 6 2 2 5 2 3 2 2 2" xfId="15225" xr:uid="{DBD07F5F-DB76-48AC-A6BC-C892119F68AF}"/>
    <cellStyle name="Standard 6 2 2 5 2 3 2 3" xfId="15224" xr:uid="{B16FD9B0-1448-4AEA-A0DC-9FEC00ABA325}"/>
    <cellStyle name="Standard 6 2 2 5 2 3 3" xfId="3265" xr:uid="{00000000-0005-0000-0000-0000C80C0000}"/>
    <cellStyle name="Standard 6 2 2 5 2 3 3 2" xfId="15226" xr:uid="{207A8819-E24F-4427-B27A-BDD3BBFB87B1}"/>
    <cellStyle name="Standard 6 2 2 5 2 3 4" xfId="15223" xr:uid="{898CA36F-4558-4ECA-870E-642C43A9C088}"/>
    <cellStyle name="Standard 6 2 2 5 2 4" xfId="3266" xr:uid="{00000000-0005-0000-0000-0000C90C0000}"/>
    <cellStyle name="Standard 6 2 2 5 2 4 2" xfId="3267" xr:uid="{00000000-0005-0000-0000-0000CA0C0000}"/>
    <cellStyle name="Standard 6 2 2 5 2 4 2 2" xfId="3268" xr:uid="{00000000-0005-0000-0000-0000CB0C0000}"/>
    <cellStyle name="Standard 6 2 2 5 2 4 2 2 2" xfId="15229" xr:uid="{7350C8B5-E61B-43E0-AB06-99370A6078C7}"/>
    <cellStyle name="Standard 6 2 2 5 2 4 2 3" xfId="15228" xr:uid="{BCDFD330-3F06-47C9-BD25-50706B566087}"/>
    <cellStyle name="Standard 6 2 2 5 2 4 3" xfId="3269" xr:uid="{00000000-0005-0000-0000-0000CC0C0000}"/>
    <cellStyle name="Standard 6 2 2 5 2 4 3 2" xfId="15230" xr:uid="{4706BE77-EEF8-489C-AE5F-30B134E35429}"/>
    <cellStyle name="Standard 6 2 2 5 2 4 4" xfId="15227" xr:uid="{D16781C6-7F3A-49F8-BC4E-06C287B41DD3}"/>
    <cellStyle name="Standard 6 2 2 5 2 5" xfId="3270" xr:uid="{00000000-0005-0000-0000-0000CD0C0000}"/>
    <cellStyle name="Standard 6 2 2 5 2 5 2" xfId="3271" xr:uid="{00000000-0005-0000-0000-0000CE0C0000}"/>
    <cellStyle name="Standard 6 2 2 5 2 5 2 2" xfId="3272" xr:uid="{00000000-0005-0000-0000-0000CF0C0000}"/>
    <cellStyle name="Standard 6 2 2 5 2 5 2 2 2" xfId="15233" xr:uid="{849D0C5B-9D07-49CC-A413-0558BE0210A7}"/>
    <cellStyle name="Standard 6 2 2 5 2 5 2 3" xfId="15232" xr:uid="{2FAA1A89-B8E1-45CF-9CE2-2F6110C465DA}"/>
    <cellStyle name="Standard 6 2 2 5 2 5 3" xfId="3273" xr:uid="{00000000-0005-0000-0000-0000D00C0000}"/>
    <cellStyle name="Standard 6 2 2 5 2 5 3 2" xfId="15234" xr:uid="{D9CFC3E4-3E45-45CD-8098-47C3197A3C77}"/>
    <cellStyle name="Standard 6 2 2 5 2 5 4" xfId="15231" xr:uid="{1FA68250-32BD-4560-8691-5495D2E61928}"/>
    <cellStyle name="Standard 6 2 2 5 2 6" xfId="3274" xr:uid="{00000000-0005-0000-0000-0000D10C0000}"/>
    <cellStyle name="Standard 6 2 2 5 2 6 2" xfId="3275" xr:uid="{00000000-0005-0000-0000-0000D20C0000}"/>
    <cellStyle name="Standard 6 2 2 5 2 6 2 2" xfId="3276" xr:uid="{00000000-0005-0000-0000-0000D30C0000}"/>
    <cellStyle name="Standard 6 2 2 5 2 6 2 2 2" xfId="15237" xr:uid="{4B3B2584-6064-425E-82F9-CE95F992D734}"/>
    <cellStyle name="Standard 6 2 2 5 2 6 2 3" xfId="15236" xr:uid="{15F8244D-1CBF-48BB-AE09-E0ED0A68AC10}"/>
    <cellStyle name="Standard 6 2 2 5 2 6 3" xfId="3277" xr:uid="{00000000-0005-0000-0000-0000D40C0000}"/>
    <cellStyle name="Standard 6 2 2 5 2 6 3 2" xfId="15238" xr:uid="{5E317198-C560-403C-96F2-4727D562AF8E}"/>
    <cellStyle name="Standard 6 2 2 5 2 6 4" xfId="15235" xr:uid="{BC25DDC6-AB60-4A6E-BB8E-03434AA2EBBD}"/>
    <cellStyle name="Standard 6 2 2 5 2 7" xfId="3278" xr:uid="{00000000-0005-0000-0000-0000D50C0000}"/>
    <cellStyle name="Standard 6 2 2 5 2 7 2" xfId="3279" xr:uid="{00000000-0005-0000-0000-0000D60C0000}"/>
    <cellStyle name="Standard 6 2 2 5 2 7 2 2" xfId="3280" xr:uid="{00000000-0005-0000-0000-0000D70C0000}"/>
    <cellStyle name="Standard 6 2 2 5 2 7 2 2 2" xfId="15241" xr:uid="{64AEA4A0-7E78-455D-A4EE-294FB0AF2CBA}"/>
    <cellStyle name="Standard 6 2 2 5 2 7 2 3" xfId="15240" xr:uid="{F7E0BF96-CA49-4789-AE8F-331E2190D61B}"/>
    <cellStyle name="Standard 6 2 2 5 2 7 3" xfId="3281" xr:uid="{00000000-0005-0000-0000-0000D80C0000}"/>
    <cellStyle name="Standard 6 2 2 5 2 7 3 2" xfId="15242" xr:uid="{C9532ABE-CFA3-4E70-B54F-ED73750934EF}"/>
    <cellStyle name="Standard 6 2 2 5 2 7 4" xfId="15239" xr:uid="{ABE72267-D2CF-42BC-BA96-11114406049C}"/>
    <cellStyle name="Standard 6 2 2 5 2 8" xfId="3282" xr:uid="{00000000-0005-0000-0000-0000D90C0000}"/>
    <cellStyle name="Standard 6 2 2 5 2 8 2" xfId="3283" xr:uid="{00000000-0005-0000-0000-0000DA0C0000}"/>
    <cellStyle name="Standard 6 2 2 5 2 8 2 2" xfId="3284" xr:uid="{00000000-0005-0000-0000-0000DB0C0000}"/>
    <cellStyle name="Standard 6 2 2 5 2 8 2 2 2" xfId="15245" xr:uid="{35B4A754-3B1F-47D6-8BDD-DDD1818F58BD}"/>
    <cellStyle name="Standard 6 2 2 5 2 8 2 3" xfId="15244" xr:uid="{DD9AE8BC-63BF-4EAC-80A9-D5E0AAADDCEA}"/>
    <cellStyle name="Standard 6 2 2 5 2 8 3" xfId="3285" xr:uid="{00000000-0005-0000-0000-0000DC0C0000}"/>
    <cellStyle name="Standard 6 2 2 5 2 8 3 2" xfId="15246" xr:uid="{89A8DB0A-86FD-4AAE-AC97-F0AA3CCCFD05}"/>
    <cellStyle name="Standard 6 2 2 5 2 8 4" xfId="15243" xr:uid="{456DE19C-3DB1-4131-8161-20686A0CB9DC}"/>
    <cellStyle name="Standard 6 2 2 5 2 9" xfId="3286" xr:uid="{00000000-0005-0000-0000-0000DD0C0000}"/>
    <cellStyle name="Standard 6 2 2 5 2 9 2" xfId="3287" xr:uid="{00000000-0005-0000-0000-0000DE0C0000}"/>
    <cellStyle name="Standard 6 2 2 5 2 9 2 2" xfId="15248" xr:uid="{34C65E3E-CA81-47D7-928B-C17DE4C9BB77}"/>
    <cellStyle name="Standard 6 2 2 5 2 9 3" xfId="15247" xr:uid="{24B4F699-6FE9-49F9-BD3F-5D6F49100912}"/>
    <cellStyle name="Standard 6 2 2 5 3" xfId="3288" xr:uid="{00000000-0005-0000-0000-0000DF0C0000}"/>
    <cellStyle name="Standard 6 2 2 5 3 10" xfId="15249" xr:uid="{4099DC1A-4A52-4240-8A20-C3190A3B5CAE}"/>
    <cellStyle name="Standard 6 2 2 5 3 2" xfId="3289" xr:uid="{00000000-0005-0000-0000-0000E00C0000}"/>
    <cellStyle name="Standard 6 2 2 5 3 2 2" xfId="3290" xr:uid="{00000000-0005-0000-0000-0000E10C0000}"/>
    <cellStyle name="Standard 6 2 2 5 3 2 2 2" xfId="3291" xr:uid="{00000000-0005-0000-0000-0000E20C0000}"/>
    <cellStyle name="Standard 6 2 2 5 3 2 2 2 2" xfId="15252" xr:uid="{6D532D5D-EFE7-43D0-91F6-F0D08FF4F195}"/>
    <cellStyle name="Standard 6 2 2 5 3 2 2 3" xfId="15251" xr:uid="{0847B4AB-B599-4285-AAD9-2D0C5B173B32}"/>
    <cellStyle name="Standard 6 2 2 5 3 2 3" xfId="3292" xr:uid="{00000000-0005-0000-0000-0000E30C0000}"/>
    <cellStyle name="Standard 6 2 2 5 3 2 3 2" xfId="15253" xr:uid="{DB2C118C-7785-4125-B400-0306BBB946B0}"/>
    <cellStyle name="Standard 6 2 2 5 3 2 4" xfId="15250" xr:uid="{4DB585EA-1451-4AF4-BCCF-704C897C5E83}"/>
    <cellStyle name="Standard 6 2 2 5 3 3" xfId="3293" xr:uid="{00000000-0005-0000-0000-0000E40C0000}"/>
    <cellStyle name="Standard 6 2 2 5 3 3 2" xfId="3294" xr:uid="{00000000-0005-0000-0000-0000E50C0000}"/>
    <cellStyle name="Standard 6 2 2 5 3 3 2 2" xfId="3295" xr:uid="{00000000-0005-0000-0000-0000E60C0000}"/>
    <cellStyle name="Standard 6 2 2 5 3 3 2 2 2" xfId="15256" xr:uid="{75371A29-1C81-4D1A-89D7-9D6B0A2A2C75}"/>
    <cellStyle name="Standard 6 2 2 5 3 3 2 3" xfId="15255" xr:uid="{E96D7C98-DFBE-43B1-B4E9-A10EC9D82BB5}"/>
    <cellStyle name="Standard 6 2 2 5 3 3 3" xfId="3296" xr:uid="{00000000-0005-0000-0000-0000E70C0000}"/>
    <cellStyle name="Standard 6 2 2 5 3 3 3 2" xfId="15257" xr:uid="{C3165B71-9416-49D3-8A8D-A120C7A4F0DC}"/>
    <cellStyle name="Standard 6 2 2 5 3 3 4" xfId="15254" xr:uid="{A2D6E095-4781-4C9B-99F9-35964EC9C6D1}"/>
    <cellStyle name="Standard 6 2 2 5 3 4" xfId="3297" xr:uid="{00000000-0005-0000-0000-0000E80C0000}"/>
    <cellStyle name="Standard 6 2 2 5 3 4 2" xfId="3298" xr:uid="{00000000-0005-0000-0000-0000E90C0000}"/>
    <cellStyle name="Standard 6 2 2 5 3 4 2 2" xfId="3299" xr:uid="{00000000-0005-0000-0000-0000EA0C0000}"/>
    <cellStyle name="Standard 6 2 2 5 3 4 2 2 2" xfId="15260" xr:uid="{4E4D71F9-F223-495F-8E2D-3F9B20BA91A1}"/>
    <cellStyle name="Standard 6 2 2 5 3 4 2 3" xfId="15259" xr:uid="{5D17BDCB-A2D7-4DBF-82DE-6620E69E888D}"/>
    <cellStyle name="Standard 6 2 2 5 3 4 3" xfId="3300" xr:uid="{00000000-0005-0000-0000-0000EB0C0000}"/>
    <cellStyle name="Standard 6 2 2 5 3 4 3 2" xfId="15261" xr:uid="{300ABAE8-3579-4FC7-9339-3C95D60CE958}"/>
    <cellStyle name="Standard 6 2 2 5 3 4 4" xfId="15258" xr:uid="{618FCB54-5041-4778-95BD-0800A8418B4C}"/>
    <cellStyle name="Standard 6 2 2 5 3 5" xfId="3301" xr:uid="{00000000-0005-0000-0000-0000EC0C0000}"/>
    <cellStyle name="Standard 6 2 2 5 3 5 2" xfId="3302" xr:uid="{00000000-0005-0000-0000-0000ED0C0000}"/>
    <cellStyle name="Standard 6 2 2 5 3 5 2 2" xfId="3303" xr:uid="{00000000-0005-0000-0000-0000EE0C0000}"/>
    <cellStyle name="Standard 6 2 2 5 3 5 2 2 2" xfId="15264" xr:uid="{0AE88D80-2C57-4CF6-BE23-7F7B9334055B}"/>
    <cellStyle name="Standard 6 2 2 5 3 5 2 3" xfId="15263" xr:uid="{1D214C92-7C51-469E-9122-DC963BC2940D}"/>
    <cellStyle name="Standard 6 2 2 5 3 5 3" xfId="3304" xr:uid="{00000000-0005-0000-0000-0000EF0C0000}"/>
    <cellStyle name="Standard 6 2 2 5 3 5 3 2" xfId="15265" xr:uid="{B13754D8-BC64-4C7B-A63A-9732D1A6A298}"/>
    <cellStyle name="Standard 6 2 2 5 3 5 4" xfId="15262" xr:uid="{CDD0AB48-D82F-4295-85D9-567DC3BE2567}"/>
    <cellStyle name="Standard 6 2 2 5 3 6" xfId="3305" xr:uid="{00000000-0005-0000-0000-0000F00C0000}"/>
    <cellStyle name="Standard 6 2 2 5 3 6 2" xfId="3306" xr:uid="{00000000-0005-0000-0000-0000F10C0000}"/>
    <cellStyle name="Standard 6 2 2 5 3 6 2 2" xfId="3307" xr:uid="{00000000-0005-0000-0000-0000F20C0000}"/>
    <cellStyle name="Standard 6 2 2 5 3 6 2 2 2" xfId="15268" xr:uid="{90D4CD84-3872-4DAC-90A5-6429C0290DF4}"/>
    <cellStyle name="Standard 6 2 2 5 3 6 2 3" xfId="15267" xr:uid="{AEC92F20-7CD8-45F6-A14E-8D66DD5643F0}"/>
    <cellStyle name="Standard 6 2 2 5 3 6 3" xfId="3308" xr:uid="{00000000-0005-0000-0000-0000F30C0000}"/>
    <cellStyle name="Standard 6 2 2 5 3 6 3 2" xfId="15269" xr:uid="{715B0B3E-3435-4AFD-B90F-CE2DA5561678}"/>
    <cellStyle name="Standard 6 2 2 5 3 6 4" xfId="15266" xr:uid="{A28C9E6A-DE3E-495F-ADCA-11E917BEDBFD}"/>
    <cellStyle name="Standard 6 2 2 5 3 7" xfId="3309" xr:uid="{00000000-0005-0000-0000-0000F40C0000}"/>
    <cellStyle name="Standard 6 2 2 5 3 7 2" xfId="3310" xr:uid="{00000000-0005-0000-0000-0000F50C0000}"/>
    <cellStyle name="Standard 6 2 2 5 3 7 2 2" xfId="3311" xr:uid="{00000000-0005-0000-0000-0000F60C0000}"/>
    <cellStyle name="Standard 6 2 2 5 3 7 2 2 2" xfId="15272" xr:uid="{6651B114-87A5-4B08-A6FF-2E939C525458}"/>
    <cellStyle name="Standard 6 2 2 5 3 7 2 3" xfId="15271" xr:uid="{396BAD7D-D4AC-4966-AA43-DBE4FDBA7178}"/>
    <cellStyle name="Standard 6 2 2 5 3 7 3" xfId="3312" xr:uid="{00000000-0005-0000-0000-0000F70C0000}"/>
    <cellStyle name="Standard 6 2 2 5 3 7 3 2" xfId="15273" xr:uid="{F7F5D6E7-DB43-40C6-A784-CEA6B590021A}"/>
    <cellStyle name="Standard 6 2 2 5 3 7 4" xfId="15270" xr:uid="{C038818B-C5EA-4579-B8CE-081C2516BF42}"/>
    <cellStyle name="Standard 6 2 2 5 3 8" xfId="3313" xr:uid="{00000000-0005-0000-0000-0000F80C0000}"/>
    <cellStyle name="Standard 6 2 2 5 3 8 2" xfId="3314" xr:uid="{00000000-0005-0000-0000-0000F90C0000}"/>
    <cellStyle name="Standard 6 2 2 5 3 8 2 2" xfId="15275" xr:uid="{910C4F33-08FC-4577-8664-906E7C3B7FAC}"/>
    <cellStyle name="Standard 6 2 2 5 3 8 3" xfId="15274" xr:uid="{DF7F9623-B98D-4D81-81C7-71C630A5A106}"/>
    <cellStyle name="Standard 6 2 2 5 3 9" xfId="3315" xr:uid="{00000000-0005-0000-0000-0000FA0C0000}"/>
    <cellStyle name="Standard 6 2 2 5 3 9 2" xfId="15276" xr:uid="{990B3C1C-6C6F-41CD-A611-422AA5DE546C}"/>
    <cellStyle name="Standard 6 2 2 5 4" xfId="3316" xr:uid="{00000000-0005-0000-0000-0000FB0C0000}"/>
    <cellStyle name="Standard 6 2 2 5 4 2" xfId="3317" xr:uid="{00000000-0005-0000-0000-0000FC0C0000}"/>
    <cellStyle name="Standard 6 2 2 5 4 2 2" xfId="3318" xr:uid="{00000000-0005-0000-0000-0000FD0C0000}"/>
    <cellStyle name="Standard 6 2 2 5 4 2 2 2" xfId="15279" xr:uid="{6388E8DE-8025-4EFF-ADEE-9164CBD770DF}"/>
    <cellStyle name="Standard 6 2 2 5 4 2 3" xfId="15278" xr:uid="{2116CD94-604E-4A5C-B891-64F20426125E}"/>
    <cellStyle name="Standard 6 2 2 5 4 3" xfId="3319" xr:uid="{00000000-0005-0000-0000-0000FE0C0000}"/>
    <cellStyle name="Standard 6 2 2 5 4 3 2" xfId="15280" xr:uid="{3EA704B5-856F-4D96-BA8B-D8E58849A3C7}"/>
    <cellStyle name="Standard 6 2 2 5 4 4" xfId="15277" xr:uid="{9701D237-7D5E-4158-A1F9-3D9BAFD63B6A}"/>
    <cellStyle name="Standard 6 2 2 5 5" xfId="3320" xr:uid="{00000000-0005-0000-0000-0000FF0C0000}"/>
    <cellStyle name="Standard 6 2 2 5 5 2" xfId="3321" xr:uid="{00000000-0005-0000-0000-0000000D0000}"/>
    <cellStyle name="Standard 6 2 2 5 5 2 2" xfId="3322" xr:uid="{00000000-0005-0000-0000-0000010D0000}"/>
    <cellStyle name="Standard 6 2 2 5 5 2 2 2" xfId="15283" xr:uid="{1EA3F691-BD08-4748-964F-E28E80C35327}"/>
    <cellStyle name="Standard 6 2 2 5 5 2 3" xfId="15282" xr:uid="{2F224409-A3FE-4EFE-AD03-CE91210D502C}"/>
    <cellStyle name="Standard 6 2 2 5 5 3" xfId="3323" xr:uid="{00000000-0005-0000-0000-0000020D0000}"/>
    <cellStyle name="Standard 6 2 2 5 5 3 2" xfId="15284" xr:uid="{82177B20-5881-4C22-9F6B-C7C8F04887FA}"/>
    <cellStyle name="Standard 6 2 2 5 5 4" xfId="15281" xr:uid="{9A1DDBAA-C4CD-40BB-8DD6-B8E6C4690417}"/>
    <cellStyle name="Standard 6 2 2 5 6" xfId="3324" xr:uid="{00000000-0005-0000-0000-0000030D0000}"/>
    <cellStyle name="Standard 6 2 2 5 6 2" xfId="3325" xr:uid="{00000000-0005-0000-0000-0000040D0000}"/>
    <cellStyle name="Standard 6 2 2 5 6 2 2" xfId="3326" xr:uid="{00000000-0005-0000-0000-0000050D0000}"/>
    <cellStyle name="Standard 6 2 2 5 6 2 2 2" xfId="15287" xr:uid="{2F0A9EF1-CFB8-4A6E-A915-1FC8D7914CB6}"/>
    <cellStyle name="Standard 6 2 2 5 6 2 3" xfId="15286" xr:uid="{72D87E4F-BC0B-49C7-A0BD-60971AA9A8CC}"/>
    <cellStyle name="Standard 6 2 2 5 6 3" xfId="3327" xr:uid="{00000000-0005-0000-0000-0000060D0000}"/>
    <cellStyle name="Standard 6 2 2 5 6 3 2" xfId="15288" xr:uid="{340DE835-7697-4B85-9513-3184D22D8435}"/>
    <cellStyle name="Standard 6 2 2 5 6 4" xfId="15285" xr:uid="{0922CFBE-C2B7-4F28-B2A2-1948CF6C286C}"/>
    <cellStyle name="Standard 6 2 2 5 7" xfId="3328" xr:uid="{00000000-0005-0000-0000-0000070D0000}"/>
    <cellStyle name="Standard 6 2 2 5 7 2" xfId="3329" xr:uid="{00000000-0005-0000-0000-0000080D0000}"/>
    <cellStyle name="Standard 6 2 2 5 7 2 2" xfId="3330" xr:uid="{00000000-0005-0000-0000-0000090D0000}"/>
    <cellStyle name="Standard 6 2 2 5 7 2 2 2" xfId="15291" xr:uid="{8260E5AD-562D-4E2F-AD19-83607EE8786C}"/>
    <cellStyle name="Standard 6 2 2 5 7 2 3" xfId="15290" xr:uid="{C8D54E75-AA4B-4BB7-ADFD-EC8DB05EF94E}"/>
    <cellStyle name="Standard 6 2 2 5 7 3" xfId="3331" xr:uid="{00000000-0005-0000-0000-00000A0D0000}"/>
    <cellStyle name="Standard 6 2 2 5 7 3 2" xfId="15292" xr:uid="{BC0311B9-B319-4DAF-89BF-E74BDCAAB2B1}"/>
    <cellStyle name="Standard 6 2 2 5 7 4" xfId="15289" xr:uid="{1AE6FA7B-3921-4369-8FA7-8EACEA470867}"/>
    <cellStyle name="Standard 6 2 2 5 8" xfId="3332" xr:uid="{00000000-0005-0000-0000-00000B0D0000}"/>
    <cellStyle name="Standard 6 2 2 5 8 2" xfId="3333" xr:uid="{00000000-0005-0000-0000-00000C0D0000}"/>
    <cellStyle name="Standard 6 2 2 5 8 2 2" xfId="3334" xr:uid="{00000000-0005-0000-0000-00000D0D0000}"/>
    <cellStyle name="Standard 6 2 2 5 8 2 2 2" xfId="15295" xr:uid="{54E181AE-0E11-4A3F-981F-D79133DDBA9C}"/>
    <cellStyle name="Standard 6 2 2 5 8 2 3" xfId="15294" xr:uid="{3947D7A9-30E9-4B13-805A-9249DFABFFB4}"/>
    <cellStyle name="Standard 6 2 2 5 8 3" xfId="3335" xr:uid="{00000000-0005-0000-0000-00000E0D0000}"/>
    <cellStyle name="Standard 6 2 2 5 8 3 2" xfId="15296" xr:uid="{8A7ABBEF-73B5-4606-9BE3-5605A7390685}"/>
    <cellStyle name="Standard 6 2 2 5 8 4" xfId="15293" xr:uid="{F1769DC1-AE8F-4311-8029-CEE6C0FD31FB}"/>
    <cellStyle name="Standard 6 2 2 5 9" xfId="3336" xr:uid="{00000000-0005-0000-0000-00000F0D0000}"/>
    <cellStyle name="Standard 6 2 2 5 9 2" xfId="3337" xr:uid="{00000000-0005-0000-0000-0000100D0000}"/>
    <cellStyle name="Standard 6 2 2 5 9 2 2" xfId="3338" xr:uid="{00000000-0005-0000-0000-0000110D0000}"/>
    <cellStyle name="Standard 6 2 2 5 9 2 2 2" xfId="15299" xr:uid="{B7152018-E189-4BEC-A7D0-39861A53415C}"/>
    <cellStyle name="Standard 6 2 2 5 9 2 3" xfId="15298" xr:uid="{2A6D2DC2-4294-4124-AA79-CDECDA38990F}"/>
    <cellStyle name="Standard 6 2 2 5 9 3" xfId="3339" xr:uid="{00000000-0005-0000-0000-0000120D0000}"/>
    <cellStyle name="Standard 6 2 2 5 9 3 2" xfId="15300" xr:uid="{E8DC6D24-3A7D-4281-B1FD-BAD1F86524DB}"/>
    <cellStyle name="Standard 6 2 2 5 9 4" xfId="15297" xr:uid="{AF5A42C0-8876-442C-815C-032BFCB7EB00}"/>
    <cellStyle name="Standard 6 2 2 6" xfId="3340" xr:uid="{00000000-0005-0000-0000-0000130D0000}"/>
    <cellStyle name="Standard 6 2 2 6 10" xfId="3341" xr:uid="{00000000-0005-0000-0000-0000140D0000}"/>
    <cellStyle name="Standard 6 2 2 6 10 2" xfId="15302" xr:uid="{D8AB3D1C-FEEE-41F2-837B-88EFD3DE15F5}"/>
    <cellStyle name="Standard 6 2 2 6 11" xfId="15301" xr:uid="{BAC8F3ED-141C-4343-86B8-FC5E95A7ED48}"/>
    <cellStyle name="Standard 6 2 2 6 2" xfId="3342" xr:uid="{00000000-0005-0000-0000-0000150D0000}"/>
    <cellStyle name="Standard 6 2 2 6 2 10" xfId="15303" xr:uid="{6F6C78BA-D807-4D86-898A-B95B8BA6B08E}"/>
    <cellStyle name="Standard 6 2 2 6 2 2" xfId="3343" xr:uid="{00000000-0005-0000-0000-0000160D0000}"/>
    <cellStyle name="Standard 6 2 2 6 2 2 2" xfId="3344" xr:uid="{00000000-0005-0000-0000-0000170D0000}"/>
    <cellStyle name="Standard 6 2 2 6 2 2 2 2" xfId="3345" xr:uid="{00000000-0005-0000-0000-0000180D0000}"/>
    <cellStyle name="Standard 6 2 2 6 2 2 2 2 2" xfId="15306" xr:uid="{9E845EEC-1B58-4786-908A-91EB2645648E}"/>
    <cellStyle name="Standard 6 2 2 6 2 2 2 3" xfId="15305" xr:uid="{65E87E16-96C9-4ABC-83B9-320A8287ED6F}"/>
    <cellStyle name="Standard 6 2 2 6 2 2 3" xfId="3346" xr:uid="{00000000-0005-0000-0000-0000190D0000}"/>
    <cellStyle name="Standard 6 2 2 6 2 2 3 2" xfId="15307" xr:uid="{A92487B8-E7DB-4F35-9D88-B01B6E07DA00}"/>
    <cellStyle name="Standard 6 2 2 6 2 2 4" xfId="15304" xr:uid="{3BE347D1-B4C6-4511-95D0-CDCB588F80C4}"/>
    <cellStyle name="Standard 6 2 2 6 2 3" xfId="3347" xr:uid="{00000000-0005-0000-0000-00001A0D0000}"/>
    <cellStyle name="Standard 6 2 2 6 2 3 2" xfId="3348" xr:uid="{00000000-0005-0000-0000-00001B0D0000}"/>
    <cellStyle name="Standard 6 2 2 6 2 3 2 2" xfId="3349" xr:uid="{00000000-0005-0000-0000-00001C0D0000}"/>
    <cellStyle name="Standard 6 2 2 6 2 3 2 2 2" xfId="15310" xr:uid="{DCF1D2F6-6FBE-4691-816E-9D10489DC83F}"/>
    <cellStyle name="Standard 6 2 2 6 2 3 2 3" xfId="15309" xr:uid="{60F20B51-8F24-4D31-8C23-DDCB4E0A8748}"/>
    <cellStyle name="Standard 6 2 2 6 2 3 3" xfId="3350" xr:uid="{00000000-0005-0000-0000-00001D0D0000}"/>
    <cellStyle name="Standard 6 2 2 6 2 3 3 2" xfId="15311" xr:uid="{BEEAA98B-2F6C-4347-B1BD-B19E69EFB53A}"/>
    <cellStyle name="Standard 6 2 2 6 2 3 4" xfId="15308" xr:uid="{5544025A-91C4-4FFB-99D3-2BF9ED9F74F3}"/>
    <cellStyle name="Standard 6 2 2 6 2 4" xfId="3351" xr:uid="{00000000-0005-0000-0000-00001E0D0000}"/>
    <cellStyle name="Standard 6 2 2 6 2 4 2" xfId="3352" xr:uid="{00000000-0005-0000-0000-00001F0D0000}"/>
    <cellStyle name="Standard 6 2 2 6 2 4 2 2" xfId="3353" xr:uid="{00000000-0005-0000-0000-0000200D0000}"/>
    <cellStyle name="Standard 6 2 2 6 2 4 2 2 2" xfId="15314" xr:uid="{2E8C74E9-78A1-43AA-BDDE-EF96C639BE9B}"/>
    <cellStyle name="Standard 6 2 2 6 2 4 2 3" xfId="15313" xr:uid="{171AE6AB-F764-4FCE-9452-F9152773CDCF}"/>
    <cellStyle name="Standard 6 2 2 6 2 4 3" xfId="3354" xr:uid="{00000000-0005-0000-0000-0000210D0000}"/>
    <cellStyle name="Standard 6 2 2 6 2 4 3 2" xfId="15315" xr:uid="{5969DA9A-75C1-4842-A381-1F203C4F9339}"/>
    <cellStyle name="Standard 6 2 2 6 2 4 4" xfId="15312" xr:uid="{A05F20D4-0814-4E90-A756-B4780CD5B9CE}"/>
    <cellStyle name="Standard 6 2 2 6 2 5" xfId="3355" xr:uid="{00000000-0005-0000-0000-0000220D0000}"/>
    <cellStyle name="Standard 6 2 2 6 2 5 2" xfId="3356" xr:uid="{00000000-0005-0000-0000-0000230D0000}"/>
    <cellStyle name="Standard 6 2 2 6 2 5 2 2" xfId="3357" xr:uid="{00000000-0005-0000-0000-0000240D0000}"/>
    <cellStyle name="Standard 6 2 2 6 2 5 2 2 2" xfId="15318" xr:uid="{10E9490E-2ED5-4149-9C90-0AC6C22EB7CB}"/>
    <cellStyle name="Standard 6 2 2 6 2 5 2 3" xfId="15317" xr:uid="{13785A86-EF6D-46B8-B1C7-68A9E8C7290A}"/>
    <cellStyle name="Standard 6 2 2 6 2 5 3" xfId="3358" xr:uid="{00000000-0005-0000-0000-0000250D0000}"/>
    <cellStyle name="Standard 6 2 2 6 2 5 3 2" xfId="15319" xr:uid="{70E8A877-8079-4A88-B8D1-C8777E4AD775}"/>
    <cellStyle name="Standard 6 2 2 6 2 5 4" xfId="15316" xr:uid="{46D94099-E9EE-4F82-8547-BE78D30F9418}"/>
    <cellStyle name="Standard 6 2 2 6 2 6" xfId="3359" xr:uid="{00000000-0005-0000-0000-0000260D0000}"/>
    <cellStyle name="Standard 6 2 2 6 2 6 2" xfId="3360" xr:uid="{00000000-0005-0000-0000-0000270D0000}"/>
    <cellStyle name="Standard 6 2 2 6 2 6 2 2" xfId="3361" xr:uid="{00000000-0005-0000-0000-0000280D0000}"/>
    <cellStyle name="Standard 6 2 2 6 2 6 2 2 2" xfId="15322" xr:uid="{1F8D933B-F39A-42E6-B17F-B5EC8EDAAEF5}"/>
    <cellStyle name="Standard 6 2 2 6 2 6 2 3" xfId="15321" xr:uid="{F9CB72C0-D502-4D48-A09A-105C93DCE13F}"/>
    <cellStyle name="Standard 6 2 2 6 2 6 3" xfId="3362" xr:uid="{00000000-0005-0000-0000-0000290D0000}"/>
    <cellStyle name="Standard 6 2 2 6 2 6 3 2" xfId="15323" xr:uid="{17338D18-7D0F-4382-A4F7-63814856C8CA}"/>
    <cellStyle name="Standard 6 2 2 6 2 6 4" xfId="15320" xr:uid="{AD893128-A0B9-4335-B114-A37094F4B8D5}"/>
    <cellStyle name="Standard 6 2 2 6 2 7" xfId="3363" xr:uid="{00000000-0005-0000-0000-00002A0D0000}"/>
    <cellStyle name="Standard 6 2 2 6 2 7 2" xfId="3364" xr:uid="{00000000-0005-0000-0000-00002B0D0000}"/>
    <cellStyle name="Standard 6 2 2 6 2 7 2 2" xfId="3365" xr:uid="{00000000-0005-0000-0000-00002C0D0000}"/>
    <cellStyle name="Standard 6 2 2 6 2 7 2 2 2" xfId="15326" xr:uid="{ABE79D95-52CD-4D91-BE3A-FC08EABFCDE0}"/>
    <cellStyle name="Standard 6 2 2 6 2 7 2 3" xfId="15325" xr:uid="{3075A795-5603-465B-8E6D-3F6EB375DB0E}"/>
    <cellStyle name="Standard 6 2 2 6 2 7 3" xfId="3366" xr:uid="{00000000-0005-0000-0000-00002D0D0000}"/>
    <cellStyle name="Standard 6 2 2 6 2 7 3 2" xfId="15327" xr:uid="{BBFEBB02-BB1C-4C14-84E4-F8546301F99B}"/>
    <cellStyle name="Standard 6 2 2 6 2 7 4" xfId="15324" xr:uid="{66593047-F7F1-4B83-BE97-58D8623CA59B}"/>
    <cellStyle name="Standard 6 2 2 6 2 8" xfId="3367" xr:uid="{00000000-0005-0000-0000-00002E0D0000}"/>
    <cellStyle name="Standard 6 2 2 6 2 8 2" xfId="3368" xr:uid="{00000000-0005-0000-0000-00002F0D0000}"/>
    <cellStyle name="Standard 6 2 2 6 2 8 2 2" xfId="15329" xr:uid="{7A5B3C79-0C86-46EC-BDC4-38170D50F592}"/>
    <cellStyle name="Standard 6 2 2 6 2 8 3" xfId="15328" xr:uid="{5859780C-4009-41B4-9A68-C8335AF64CD3}"/>
    <cellStyle name="Standard 6 2 2 6 2 9" xfId="3369" xr:uid="{00000000-0005-0000-0000-0000300D0000}"/>
    <cellStyle name="Standard 6 2 2 6 2 9 2" xfId="15330" xr:uid="{6937B820-3909-4623-88EB-3E1946D93EE4}"/>
    <cellStyle name="Standard 6 2 2 6 3" xfId="3370" xr:uid="{00000000-0005-0000-0000-0000310D0000}"/>
    <cellStyle name="Standard 6 2 2 6 3 2" xfId="3371" xr:uid="{00000000-0005-0000-0000-0000320D0000}"/>
    <cellStyle name="Standard 6 2 2 6 3 2 2" xfId="3372" xr:uid="{00000000-0005-0000-0000-0000330D0000}"/>
    <cellStyle name="Standard 6 2 2 6 3 2 2 2" xfId="15333" xr:uid="{E1BC2B98-7600-4065-B5BF-DA315A3674D7}"/>
    <cellStyle name="Standard 6 2 2 6 3 2 3" xfId="15332" xr:uid="{2D7D6E59-3596-4760-8726-8D1B7D706CDD}"/>
    <cellStyle name="Standard 6 2 2 6 3 3" xfId="3373" xr:uid="{00000000-0005-0000-0000-0000340D0000}"/>
    <cellStyle name="Standard 6 2 2 6 3 3 2" xfId="15334" xr:uid="{95F4C110-6276-417A-884C-2E6E2A3A16AB}"/>
    <cellStyle name="Standard 6 2 2 6 3 4" xfId="15331" xr:uid="{82A499D9-A37E-4F4A-A7BD-EA564726AED5}"/>
    <cellStyle name="Standard 6 2 2 6 4" xfId="3374" xr:uid="{00000000-0005-0000-0000-0000350D0000}"/>
    <cellStyle name="Standard 6 2 2 6 4 2" xfId="3375" xr:uid="{00000000-0005-0000-0000-0000360D0000}"/>
    <cellStyle name="Standard 6 2 2 6 4 2 2" xfId="3376" xr:uid="{00000000-0005-0000-0000-0000370D0000}"/>
    <cellStyle name="Standard 6 2 2 6 4 2 2 2" xfId="15337" xr:uid="{92E28A08-9025-45F6-AACA-C39A7ADC466F}"/>
    <cellStyle name="Standard 6 2 2 6 4 2 3" xfId="15336" xr:uid="{D8478C3A-026F-4B0F-BEF2-776A6A91C487}"/>
    <cellStyle name="Standard 6 2 2 6 4 3" xfId="3377" xr:uid="{00000000-0005-0000-0000-0000380D0000}"/>
    <cellStyle name="Standard 6 2 2 6 4 3 2" xfId="15338" xr:uid="{BAEFF043-00A5-4180-97BF-BA54E3B0A210}"/>
    <cellStyle name="Standard 6 2 2 6 4 4" xfId="15335" xr:uid="{A4EEB9A1-7191-405A-93D5-4AACD36256F0}"/>
    <cellStyle name="Standard 6 2 2 6 5" xfId="3378" xr:uid="{00000000-0005-0000-0000-0000390D0000}"/>
    <cellStyle name="Standard 6 2 2 6 5 2" xfId="3379" xr:uid="{00000000-0005-0000-0000-00003A0D0000}"/>
    <cellStyle name="Standard 6 2 2 6 5 2 2" xfId="3380" xr:uid="{00000000-0005-0000-0000-00003B0D0000}"/>
    <cellStyle name="Standard 6 2 2 6 5 2 2 2" xfId="15341" xr:uid="{16C41EB9-DB43-4F6D-A15D-3D0511849270}"/>
    <cellStyle name="Standard 6 2 2 6 5 2 3" xfId="15340" xr:uid="{A6CF23D9-2A55-4EE6-9DF7-40A8691BE333}"/>
    <cellStyle name="Standard 6 2 2 6 5 3" xfId="3381" xr:uid="{00000000-0005-0000-0000-00003C0D0000}"/>
    <cellStyle name="Standard 6 2 2 6 5 3 2" xfId="15342" xr:uid="{3CDD2E35-A369-4B2C-BAB7-D35DFD5B9806}"/>
    <cellStyle name="Standard 6 2 2 6 5 4" xfId="15339" xr:uid="{E5C94679-BF28-46CC-9DEE-DF2CCB30DD28}"/>
    <cellStyle name="Standard 6 2 2 6 6" xfId="3382" xr:uid="{00000000-0005-0000-0000-00003D0D0000}"/>
    <cellStyle name="Standard 6 2 2 6 6 2" xfId="3383" xr:uid="{00000000-0005-0000-0000-00003E0D0000}"/>
    <cellStyle name="Standard 6 2 2 6 6 2 2" xfId="3384" xr:uid="{00000000-0005-0000-0000-00003F0D0000}"/>
    <cellStyle name="Standard 6 2 2 6 6 2 2 2" xfId="15345" xr:uid="{BB31DA1A-3BA6-4993-941D-B6B54CE21CBE}"/>
    <cellStyle name="Standard 6 2 2 6 6 2 3" xfId="15344" xr:uid="{FCD8E430-E0D3-496A-A248-A9396349C02F}"/>
    <cellStyle name="Standard 6 2 2 6 6 3" xfId="3385" xr:uid="{00000000-0005-0000-0000-0000400D0000}"/>
    <cellStyle name="Standard 6 2 2 6 6 3 2" xfId="15346" xr:uid="{C1FD8080-C15E-4378-94A9-A77E75226D04}"/>
    <cellStyle name="Standard 6 2 2 6 6 4" xfId="15343" xr:uid="{908077ED-8B2D-47C3-8DD9-1C90540809D2}"/>
    <cellStyle name="Standard 6 2 2 6 7" xfId="3386" xr:uid="{00000000-0005-0000-0000-0000410D0000}"/>
    <cellStyle name="Standard 6 2 2 6 7 2" xfId="3387" xr:uid="{00000000-0005-0000-0000-0000420D0000}"/>
    <cellStyle name="Standard 6 2 2 6 7 2 2" xfId="3388" xr:uid="{00000000-0005-0000-0000-0000430D0000}"/>
    <cellStyle name="Standard 6 2 2 6 7 2 2 2" xfId="15349" xr:uid="{6B35889E-86E2-46C2-ABA1-8A1DD2DF33AE}"/>
    <cellStyle name="Standard 6 2 2 6 7 2 3" xfId="15348" xr:uid="{4F1E825D-0B74-4F48-9D43-ACFDA0363C6B}"/>
    <cellStyle name="Standard 6 2 2 6 7 3" xfId="3389" xr:uid="{00000000-0005-0000-0000-0000440D0000}"/>
    <cellStyle name="Standard 6 2 2 6 7 3 2" xfId="15350" xr:uid="{60A3D6B3-81DE-45BE-B8D1-85DB44225DCA}"/>
    <cellStyle name="Standard 6 2 2 6 7 4" xfId="15347" xr:uid="{CD3DE49E-5BAE-4EBF-8D2D-C0EA0C4AB0C6}"/>
    <cellStyle name="Standard 6 2 2 6 8" xfId="3390" xr:uid="{00000000-0005-0000-0000-0000450D0000}"/>
    <cellStyle name="Standard 6 2 2 6 8 2" xfId="3391" xr:uid="{00000000-0005-0000-0000-0000460D0000}"/>
    <cellStyle name="Standard 6 2 2 6 8 2 2" xfId="3392" xr:uid="{00000000-0005-0000-0000-0000470D0000}"/>
    <cellStyle name="Standard 6 2 2 6 8 2 2 2" xfId="15353" xr:uid="{A8CAF079-FB8A-4D12-8EE8-84E1782F942E}"/>
    <cellStyle name="Standard 6 2 2 6 8 2 3" xfId="15352" xr:uid="{B5EA6863-3113-4A4D-A6F4-DD3641E56267}"/>
    <cellStyle name="Standard 6 2 2 6 8 3" xfId="3393" xr:uid="{00000000-0005-0000-0000-0000480D0000}"/>
    <cellStyle name="Standard 6 2 2 6 8 3 2" xfId="15354" xr:uid="{D83700BB-51A1-4706-820E-0213BC1B07EF}"/>
    <cellStyle name="Standard 6 2 2 6 8 4" xfId="15351" xr:uid="{8A4C1430-FAE5-49E1-BD80-1D76BA629580}"/>
    <cellStyle name="Standard 6 2 2 6 9" xfId="3394" xr:uid="{00000000-0005-0000-0000-0000490D0000}"/>
    <cellStyle name="Standard 6 2 2 6 9 2" xfId="3395" xr:uid="{00000000-0005-0000-0000-00004A0D0000}"/>
    <cellStyle name="Standard 6 2 2 6 9 2 2" xfId="15356" xr:uid="{ACF2DC38-777F-4751-9FF7-84E8A75D55AA}"/>
    <cellStyle name="Standard 6 2 2 6 9 3" xfId="15355" xr:uid="{7076C3F7-1CDB-469C-B7CA-641CA93C6BE7}"/>
    <cellStyle name="Standard 6 2 2 7" xfId="3396" xr:uid="{00000000-0005-0000-0000-00004B0D0000}"/>
    <cellStyle name="Standard 6 2 2 7 10" xfId="3397" xr:uid="{00000000-0005-0000-0000-00004C0D0000}"/>
    <cellStyle name="Standard 6 2 2 7 10 2" xfId="15358" xr:uid="{7821FEF9-DF46-4443-8460-B993A272DD6D}"/>
    <cellStyle name="Standard 6 2 2 7 11" xfId="15357" xr:uid="{3BD86EC3-C3B8-4ACC-888E-1CDC81E102C0}"/>
    <cellStyle name="Standard 6 2 2 7 2" xfId="3398" xr:uid="{00000000-0005-0000-0000-00004D0D0000}"/>
    <cellStyle name="Standard 6 2 2 7 2 10" xfId="15359" xr:uid="{54A6F3EC-7F7B-4367-B6C4-4257F353F15B}"/>
    <cellStyle name="Standard 6 2 2 7 2 2" xfId="3399" xr:uid="{00000000-0005-0000-0000-00004E0D0000}"/>
    <cellStyle name="Standard 6 2 2 7 2 2 2" xfId="3400" xr:uid="{00000000-0005-0000-0000-00004F0D0000}"/>
    <cellStyle name="Standard 6 2 2 7 2 2 2 2" xfId="3401" xr:uid="{00000000-0005-0000-0000-0000500D0000}"/>
    <cellStyle name="Standard 6 2 2 7 2 2 2 2 2" xfId="15362" xr:uid="{3DBD72BD-D04A-4F56-AA2C-D269FF93B83B}"/>
    <cellStyle name="Standard 6 2 2 7 2 2 2 3" xfId="15361" xr:uid="{3676B8E6-0A7F-4C00-BF69-B00569251BBF}"/>
    <cellStyle name="Standard 6 2 2 7 2 2 3" xfId="3402" xr:uid="{00000000-0005-0000-0000-0000510D0000}"/>
    <cellStyle name="Standard 6 2 2 7 2 2 3 2" xfId="15363" xr:uid="{8D623D73-BD81-4DDA-BF73-D46F9E17DB38}"/>
    <cellStyle name="Standard 6 2 2 7 2 2 4" xfId="15360" xr:uid="{E7301479-6004-4759-B6BE-2079B2EA92EC}"/>
    <cellStyle name="Standard 6 2 2 7 2 3" xfId="3403" xr:uid="{00000000-0005-0000-0000-0000520D0000}"/>
    <cellStyle name="Standard 6 2 2 7 2 3 2" xfId="3404" xr:uid="{00000000-0005-0000-0000-0000530D0000}"/>
    <cellStyle name="Standard 6 2 2 7 2 3 2 2" xfId="3405" xr:uid="{00000000-0005-0000-0000-0000540D0000}"/>
    <cellStyle name="Standard 6 2 2 7 2 3 2 2 2" xfId="15366" xr:uid="{B4177257-72A0-4225-845D-76A258A80ACC}"/>
    <cellStyle name="Standard 6 2 2 7 2 3 2 3" xfId="15365" xr:uid="{158FFEFF-E458-4491-916A-19BF15C3B511}"/>
    <cellStyle name="Standard 6 2 2 7 2 3 3" xfId="3406" xr:uid="{00000000-0005-0000-0000-0000550D0000}"/>
    <cellStyle name="Standard 6 2 2 7 2 3 3 2" xfId="15367" xr:uid="{4511CD6C-9244-49FF-B45B-F2C65CC07765}"/>
    <cellStyle name="Standard 6 2 2 7 2 3 4" xfId="15364" xr:uid="{60C31C84-424D-4CFE-85F6-C45B3188FBC0}"/>
    <cellStyle name="Standard 6 2 2 7 2 4" xfId="3407" xr:uid="{00000000-0005-0000-0000-0000560D0000}"/>
    <cellStyle name="Standard 6 2 2 7 2 4 2" xfId="3408" xr:uid="{00000000-0005-0000-0000-0000570D0000}"/>
    <cellStyle name="Standard 6 2 2 7 2 4 2 2" xfId="3409" xr:uid="{00000000-0005-0000-0000-0000580D0000}"/>
    <cellStyle name="Standard 6 2 2 7 2 4 2 2 2" xfId="15370" xr:uid="{DA130D8F-CE6B-4BF2-9D72-701C34589DA7}"/>
    <cellStyle name="Standard 6 2 2 7 2 4 2 3" xfId="15369" xr:uid="{34C4F6F0-EF91-46DF-85DE-678A5935B25D}"/>
    <cellStyle name="Standard 6 2 2 7 2 4 3" xfId="3410" xr:uid="{00000000-0005-0000-0000-0000590D0000}"/>
    <cellStyle name="Standard 6 2 2 7 2 4 3 2" xfId="15371" xr:uid="{3CE9986D-EA5F-4F7C-8C5B-F0A367B80EC7}"/>
    <cellStyle name="Standard 6 2 2 7 2 4 4" xfId="15368" xr:uid="{91051486-63A8-41D6-A57D-8C7D115BD084}"/>
    <cellStyle name="Standard 6 2 2 7 2 5" xfId="3411" xr:uid="{00000000-0005-0000-0000-00005A0D0000}"/>
    <cellStyle name="Standard 6 2 2 7 2 5 2" xfId="3412" xr:uid="{00000000-0005-0000-0000-00005B0D0000}"/>
    <cellStyle name="Standard 6 2 2 7 2 5 2 2" xfId="3413" xr:uid="{00000000-0005-0000-0000-00005C0D0000}"/>
    <cellStyle name="Standard 6 2 2 7 2 5 2 2 2" xfId="15374" xr:uid="{8CE29CC9-2965-44B4-9084-A7AF34FAC7F1}"/>
    <cellStyle name="Standard 6 2 2 7 2 5 2 3" xfId="15373" xr:uid="{61EF51C5-25E4-4853-9C27-CD91115BB133}"/>
    <cellStyle name="Standard 6 2 2 7 2 5 3" xfId="3414" xr:uid="{00000000-0005-0000-0000-00005D0D0000}"/>
    <cellStyle name="Standard 6 2 2 7 2 5 3 2" xfId="15375" xr:uid="{6B3D9957-F9B6-45C9-AD51-C288D869D8FA}"/>
    <cellStyle name="Standard 6 2 2 7 2 5 4" xfId="15372" xr:uid="{40252A4B-B88D-4CCD-A89C-092F85824A0B}"/>
    <cellStyle name="Standard 6 2 2 7 2 6" xfId="3415" xr:uid="{00000000-0005-0000-0000-00005E0D0000}"/>
    <cellStyle name="Standard 6 2 2 7 2 6 2" xfId="3416" xr:uid="{00000000-0005-0000-0000-00005F0D0000}"/>
    <cellStyle name="Standard 6 2 2 7 2 6 2 2" xfId="3417" xr:uid="{00000000-0005-0000-0000-0000600D0000}"/>
    <cellStyle name="Standard 6 2 2 7 2 6 2 2 2" xfId="15378" xr:uid="{9450D3F6-A88E-4F61-BF97-DA073B64828C}"/>
    <cellStyle name="Standard 6 2 2 7 2 6 2 3" xfId="15377" xr:uid="{FFF895CF-DCF3-4043-8DDD-AFD58B3C3459}"/>
    <cellStyle name="Standard 6 2 2 7 2 6 3" xfId="3418" xr:uid="{00000000-0005-0000-0000-0000610D0000}"/>
    <cellStyle name="Standard 6 2 2 7 2 6 3 2" xfId="15379" xr:uid="{9BE8F22D-19FB-46AB-884E-801626816FB9}"/>
    <cellStyle name="Standard 6 2 2 7 2 6 4" xfId="15376" xr:uid="{AF7C5E3E-E322-42C3-86B9-BD6E3DD63A1D}"/>
    <cellStyle name="Standard 6 2 2 7 2 7" xfId="3419" xr:uid="{00000000-0005-0000-0000-0000620D0000}"/>
    <cellStyle name="Standard 6 2 2 7 2 7 2" xfId="3420" xr:uid="{00000000-0005-0000-0000-0000630D0000}"/>
    <cellStyle name="Standard 6 2 2 7 2 7 2 2" xfId="3421" xr:uid="{00000000-0005-0000-0000-0000640D0000}"/>
    <cellStyle name="Standard 6 2 2 7 2 7 2 2 2" xfId="15382" xr:uid="{08254948-0EC3-4C9A-A14E-F77EA44F30DB}"/>
    <cellStyle name="Standard 6 2 2 7 2 7 2 3" xfId="15381" xr:uid="{E3E9C04C-942F-490F-8E71-674916015DBC}"/>
    <cellStyle name="Standard 6 2 2 7 2 7 3" xfId="3422" xr:uid="{00000000-0005-0000-0000-0000650D0000}"/>
    <cellStyle name="Standard 6 2 2 7 2 7 3 2" xfId="15383" xr:uid="{CF376992-BC98-4A98-B1E2-BE73D2930D33}"/>
    <cellStyle name="Standard 6 2 2 7 2 7 4" xfId="15380" xr:uid="{09BAADB0-692D-4B8F-A2B0-5721A0BE2CEA}"/>
    <cellStyle name="Standard 6 2 2 7 2 8" xfId="3423" xr:uid="{00000000-0005-0000-0000-0000660D0000}"/>
    <cellStyle name="Standard 6 2 2 7 2 8 2" xfId="3424" xr:uid="{00000000-0005-0000-0000-0000670D0000}"/>
    <cellStyle name="Standard 6 2 2 7 2 8 2 2" xfId="15385" xr:uid="{261FAEEE-95FB-4918-A903-10A510E23DF1}"/>
    <cellStyle name="Standard 6 2 2 7 2 8 3" xfId="15384" xr:uid="{D753F93D-C30B-4986-B85F-A301EB223FD9}"/>
    <cellStyle name="Standard 6 2 2 7 2 9" xfId="3425" xr:uid="{00000000-0005-0000-0000-0000680D0000}"/>
    <cellStyle name="Standard 6 2 2 7 2 9 2" xfId="15386" xr:uid="{6A89AA5A-FD95-4B53-A5B7-8C8C9FE56E25}"/>
    <cellStyle name="Standard 6 2 2 7 3" xfId="3426" xr:uid="{00000000-0005-0000-0000-0000690D0000}"/>
    <cellStyle name="Standard 6 2 2 7 3 2" xfId="3427" xr:uid="{00000000-0005-0000-0000-00006A0D0000}"/>
    <cellStyle name="Standard 6 2 2 7 3 2 2" xfId="3428" xr:uid="{00000000-0005-0000-0000-00006B0D0000}"/>
    <cellStyle name="Standard 6 2 2 7 3 2 2 2" xfId="15389" xr:uid="{110C9670-5125-402D-A1D6-B36BA3DBB7AC}"/>
    <cellStyle name="Standard 6 2 2 7 3 2 3" xfId="15388" xr:uid="{6D9249CB-7487-4448-BFC6-6C63BE0DDD9A}"/>
    <cellStyle name="Standard 6 2 2 7 3 3" xfId="3429" xr:uid="{00000000-0005-0000-0000-00006C0D0000}"/>
    <cellStyle name="Standard 6 2 2 7 3 3 2" xfId="15390" xr:uid="{525F7D55-B3AC-4D62-8F95-B247CAADAA82}"/>
    <cellStyle name="Standard 6 2 2 7 3 4" xfId="15387" xr:uid="{E6BFCE30-1DBE-4F89-BC4C-B9AA1FB02193}"/>
    <cellStyle name="Standard 6 2 2 7 4" xfId="3430" xr:uid="{00000000-0005-0000-0000-00006D0D0000}"/>
    <cellStyle name="Standard 6 2 2 7 4 2" xfId="3431" xr:uid="{00000000-0005-0000-0000-00006E0D0000}"/>
    <cellStyle name="Standard 6 2 2 7 4 2 2" xfId="3432" xr:uid="{00000000-0005-0000-0000-00006F0D0000}"/>
    <cellStyle name="Standard 6 2 2 7 4 2 2 2" xfId="15393" xr:uid="{AA0AEE03-47F6-4D10-BD2A-B1C6E434C18A}"/>
    <cellStyle name="Standard 6 2 2 7 4 2 3" xfId="15392" xr:uid="{00ACB196-A439-4024-9F5E-CBE66B839E7A}"/>
    <cellStyle name="Standard 6 2 2 7 4 3" xfId="3433" xr:uid="{00000000-0005-0000-0000-0000700D0000}"/>
    <cellStyle name="Standard 6 2 2 7 4 3 2" xfId="15394" xr:uid="{31484838-24DE-405D-92F4-6D78A9E9C1E4}"/>
    <cellStyle name="Standard 6 2 2 7 4 4" xfId="15391" xr:uid="{67F0275E-257B-484D-9521-B7B4564C8958}"/>
    <cellStyle name="Standard 6 2 2 7 5" xfId="3434" xr:uid="{00000000-0005-0000-0000-0000710D0000}"/>
    <cellStyle name="Standard 6 2 2 7 5 2" xfId="3435" xr:uid="{00000000-0005-0000-0000-0000720D0000}"/>
    <cellStyle name="Standard 6 2 2 7 5 2 2" xfId="3436" xr:uid="{00000000-0005-0000-0000-0000730D0000}"/>
    <cellStyle name="Standard 6 2 2 7 5 2 2 2" xfId="15397" xr:uid="{256B528A-2D79-4710-97D5-942FF9999827}"/>
    <cellStyle name="Standard 6 2 2 7 5 2 3" xfId="15396" xr:uid="{C4636767-DB44-4F69-9C2B-60EECAFA83A3}"/>
    <cellStyle name="Standard 6 2 2 7 5 3" xfId="3437" xr:uid="{00000000-0005-0000-0000-0000740D0000}"/>
    <cellStyle name="Standard 6 2 2 7 5 3 2" xfId="15398" xr:uid="{B3952631-845E-415D-9035-81E43505F6A3}"/>
    <cellStyle name="Standard 6 2 2 7 5 4" xfId="15395" xr:uid="{3B560BD6-33C8-47CF-97AA-F95D6EB1C19C}"/>
    <cellStyle name="Standard 6 2 2 7 6" xfId="3438" xr:uid="{00000000-0005-0000-0000-0000750D0000}"/>
    <cellStyle name="Standard 6 2 2 7 6 2" xfId="3439" xr:uid="{00000000-0005-0000-0000-0000760D0000}"/>
    <cellStyle name="Standard 6 2 2 7 6 2 2" xfId="3440" xr:uid="{00000000-0005-0000-0000-0000770D0000}"/>
    <cellStyle name="Standard 6 2 2 7 6 2 2 2" xfId="15401" xr:uid="{62662211-8869-4182-BBEC-2BB2EC000F08}"/>
    <cellStyle name="Standard 6 2 2 7 6 2 3" xfId="15400" xr:uid="{78B7C748-689D-466B-A947-981A202A4CD1}"/>
    <cellStyle name="Standard 6 2 2 7 6 3" xfId="3441" xr:uid="{00000000-0005-0000-0000-0000780D0000}"/>
    <cellStyle name="Standard 6 2 2 7 6 3 2" xfId="15402" xr:uid="{543BF8FF-1259-419A-96F8-CF2A2A9DE748}"/>
    <cellStyle name="Standard 6 2 2 7 6 4" xfId="15399" xr:uid="{6AE22E27-70A1-45F1-85E2-C2622D61850D}"/>
    <cellStyle name="Standard 6 2 2 7 7" xfId="3442" xr:uid="{00000000-0005-0000-0000-0000790D0000}"/>
    <cellStyle name="Standard 6 2 2 7 7 2" xfId="3443" xr:uid="{00000000-0005-0000-0000-00007A0D0000}"/>
    <cellStyle name="Standard 6 2 2 7 7 2 2" xfId="3444" xr:uid="{00000000-0005-0000-0000-00007B0D0000}"/>
    <cellStyle name="Standard 6 2 2 7 7 2 2 2" xfId="15405" xr:uid="{8FD50B52-27B5-4FC0-BD1F-E0445D9282FD}"/>
    <cellStyle name="Standard 6 2 2 7 7 2 3" xfId="15404" xr:uid="{95BD7603-CED2-4140-A6D6-98DC80E92ED2}"/>
    <cellStyle name="Standard 6 2 2 7 7 3" xfId="3445" xr:uid="{00000000-0005-0000-0000-00007C0D0000}"/>
    <cellStyle name="Standard 6 2 2 7 7 3 2" xfId="15406" xr:uid="{786F3651-34F5-4320-A7DA-691237A08731}"/>
    <cellStyle name="Standard 6 2 2 7 7 4" xfId="15403" xr:uid="{6555E5B6-5B32-450D-8FBA-0C4BE8B71094}"/>
    <cellStyle name="Standard 6 2 2 7 8" xfId="3446" xr:uid="{00000000-0005-0000-0000-00007D0D0000}"/>
    <cellStyle name="Standard 6 2 2 7 8 2" xfId="3447" xr:uid="{00000000-0005-0000-0000-00007E0D0000}"/>
    <cellStyle name="Standard 6 2 2 7 8 2 2" xfId="3448" xr:uid="{00000000-0005-0000-0000-00007F0D0000}"/>
    <cellStyle name="Standard 6 2 2 7 8 2 2 2" xfId="15409" xr:uid="{BB7310C7-8256-489C-AA22-A38143F237A3}"/>
    <cellStyle name="Standard 6 2 2 7 8 2 3" xfId="15408" xr:uid="{B094A4F5-8FB9-4AEE-BD1D-3A3DD3A9D718}"/>
    <cellStyle name="Standard 6 2 2 7 8 3" xfId="3449" xr:uid="{00000000-0005-0000-0000-0000800D0000}"/>
    <cellStyle name="Standard 6 2 2 7 8 3 2" xfId="15410" xr:uid="{9329E135-A707-48B9-9AF3-A00764E241A3}"/>
    <cellStyle name="Standard 6 2 2 7 8 4" xfId="15407" xr:uid="{EC5F2CF5-6B27-4107-B4A5-56096A21F9EB}"/>
    <cellStyle name="Standard 6 2 2 7 9" xfId="3450" xr:uid="{00000000-0005-0000-0000-0000810D0000}"/>
    <cellStyle name="Standard 6 2 2 7 9 2" xfId="3451" xr:uid="{00000000-0005-0000-0000-0000820D0000}"/>
    <cellStyle name="Standard 6 2 2 7 9 2 2" xfId="15412" xr:uid="{47F1AF5A-C588-44D0-BD6D-59723ABBC597}"/>
    <cellStyle name="Standard 6 2 2 7 9 3" xfId="15411" xr:uid="{F34BB6D3-53F5-4A88-A1F4-803B34A28289}"/>
    <cellStyle name="Standard 6 2 2 8" xfId="3452" xr:uid="{00000000-0005-0000-0000-0000830D0000}"/>
    <cellStyle name="Standard 6 2 2 8 10" xfId="3453" xr:uid="{00000000-0005-0000-0000-0000840D0000}"/>
    <cellStyle name="Standard 6 2 2 8 10 2" xfId="15414" xr:uid="{B32882EA-DDFB-4EAE-A12C-09876F1F8DFA}"/>
    <cellStyle name="Standard 6 2 2 8 11" xfId="15413" xr:uid="{22310F33-DB17-4D63-AF98-99D9D07BB1D2}"/>
    <cellStyle name="Standard 6 2 2 8 2" xfId="3454" xr:uid="{00000000-0005-0000-0000-0000850D0000}"/>
    <cellStyle name="Standard 6 2 2 8 2 10" xfId="15415" xr:uid="{25B69E05-AC9A-4898-9CA0-D7F284F78EAB}"/>
    <cellStyle name="Standard 6 2 2 8 2 2" xfId="3455" xr:uid="{00000000-0005-0000-0000-0000860D0000}"/>
    <cellStyle name="Standard 6 2 2 8 2 2 2" xfId="3456" xr:uid="{00000000-0005-0000-0000-0000870D0000}"/>
    <cellStyle name="Standard 6 2 2 8 2 2 2 2" xfId="3457" xr:uid="{00000000-0005-0000-0000-0000880D0000}"/>
    <cellStyle name="Standard 6 2 2 8 2 2 2 2 2" xfId="15418" xr:uid="{19310DFA-288D-4760-AB91-C4A0AAE03B98}"/>
    <cellStyle name="Standard 6 2 2 8 2 2 2 3" xfId="15417" xr:uid="{393751E9-2584-4B58-9057-FEB3095E6406}"/>
    <cellStyle name="Standard 6 2 2 8 2 2 3" xfId="3458" xr:uid="{00000000-0005-0000-0000-0000890D0000}"/>
    <cellStyle name="Standard 6 2 2 8 2 2 3 2" xfId="15419" xr:uid="{37F523B3-BD0A-4263-925E-948511DF7B1A}"/>
    <cellStyle name="Standard 6 2 2 8 2 2 4" xfId="15416" xr:uid="{47D2D3D2-33A1-4F12-B927-EBC1C6C334A4}"/>
    <cellStyle name="Standard 6 2 2 8 2 3" xfId="3459" xr:uid="{00000000-0005-0000-0000-00008A0D0000}"/>
    <cellStyle name="Standard 6 2 2 8 2 3 2" xfId="3460" xr:uid="{00000000-0005-0000-0000-00008B0D0000}"/>
    <cellStyle name="Standard 6 2 2 8 2 3 2 2" xfId="3461" xr:uid="{00000000-0005-0000-0000-00008C0D0000}"/>
    <cellStyle name="Standard 6 2 2 8 2 3 2 2 2" xfId="15422" xr:uid="{486EAC35-8AD6-4C84-A318-416465FC79D3}"/>
    <cellStyle name="Standard 6 2 2 8 2 3 2 3" xfId="15421" xr:uid="{785BDADA-17F6-42E9-83D4-24941A3FD325}"/>
    <cellStyle name="Standard 6 2 2 8 2 3 3" xfId="3462" xr:uid="{00000000-0005-0000-0000-00008D0D0000}"/>
    <cellStyle name="Standard 6 2 2 8 2 3 3 2" xfId="15423" xr:uid="{906D3C41-11D5-4C36-B3A7-57A3ACC1709C}"/>
    <cellStyle name="Standard 6 2 2 8 2 3 4" xfId="15420" xr:uid="{BE485B14-A117-4962-92D7-5D6D5F5D9FF6}"/>
    <cellStyle name="Standard 6 2 2 8 2 4" xfId="3463" xr:uid="{00000000-0005-0000-0000-00008E0D0000}"/>
    <cellStyle name="Standard 6 2 2 8 2 4 2" xfId="3464" xr:uid="{00000000-0005-0000-0000-00008F0D0000}"/>
    <cellStyle name="Standard 6 2 2 8 2 4 2 2" xfId="3465" xr:uid="{00000000-0005-0000-0000-0000900D0000}"/>
    <cellStyle name="Standard 6 2 2 8 2 4 2 2 2" xfId="15426" xr:uid="{941D35A1-140F-418B-8023-39B62E35ADF9}"/>
    <cellStyle name="Standard 6 2 2 8 2 4 2 3" xfId="15425" xr:uid="{4FE43E5D-67BF-4392-BBE8-8B8415838796}"/>
    <cellStyle name="Standard 6 2 2 8 2 4 3" xfId="3466" xr:uid="{00000000-0005-0000-0000-0000910D0000}"/>
    <cellStyle name="Standard 6 2 2 8 2 4 3 2" xfId="15427" xr:uid="{60D2FBB9-45A2-4903-ABDA-8EC9EF7946FE}"/>
    <cellStyle name="Standard 6 2 2 8 2 4 4" xfId="15424" xr:uid="{356C6EF3-65CE-439A-930F-DEB20D18B67D}"/>
    <cellStyle name="Standard 6 2 2 8 2 5" xfId="3467" xr:uid="{00000000-0005-0000-0000-0000920D0000}"/>
    <cellStyle name="Standard 6 2 2 8 2 5 2" xfId="3468" xr:uid="{00000000-0005-0000-0000-0000930D0000}"/>
    <cellStyle name="Standard 6 2 2 8 2 5 2 2" xfId="3469" xr:uid="{00000000-0005-0000-0000-0000940D0000}"/>
    <cellStyle name="Standard 6 2 2 8 2 5 2 2 2" xfId="15430" xr:uid="{ACE8AE5C-2476-4A95-8E34-D226D7E55324}"/>
    <cellStyle name="Standard 6 2 2 8 2 5 2 3" xfId="15429" xr:uid="{5E828669-5AB2-4592-9814-83E6E4A39016}"/>
    <cellStyle name="Standard 6 2 2 8 2 5 3" xfId="3470" xr:uid="{00000000-0005-0000-0000-0000950D0000}"/>
    <cellStyle name="Standard 6 2 2 8 2 5 3 2" xfId="15431" xr:uid="{36068A7F-EDA1-446C-A7C0-92218F0F72F2}"/>
    <cellStyle name="Standard 6 2 2 8 2 5 4" xfId="15428" xr:uid="{A16CB93C-C229-47CD-AED4-B5F26C88DD92}"/>
    <cellStyle name="Standard 6 2 2 8 2 6" xfId="3471" xr:uid="{00000000-0005-0000-0000-0000960D0000}"/>
    <cellStyle name="Standard 6 2 2 8 2 6 2" xfId="3472" xr:uid="{00000000-0005-0000-0000-0000970D0000}"/>
    <cellStyle name="Standard 6 2 2 8 2 6 2 2" xfId="3473" xr:uid="{00000000-0005-0000-0000-0000980D0000}"/>
    <cellStyle name="Standard 6 2 2 8 2 6 2 2 2" xfId="15434" xr:uid="{6A0B1636-FA0C-4DB7-A706-9C6208F38C3C}"/>
    <cellStyle name="Standard 6 2 2 8 2 6 2 3" xfId="15433" xr:uid="{327ADD0C-1369-4561-B009-7DD18B409629}"/>
    <cellStyle name="Standard 6 2 2 8 2 6 3" xfId="3474" xr:uid="{00000000-0005-0000-0000-0000990D0000}"/>
    <cellStyle name="Standard 6 2 2 8 2 6 3 2" xfId="15435" xr:uid="{59A5996D-9744-4C50-8840-424E7857B28B}"/>
    <cellStyle name="Standard 6 2 2 8 2 6 4" xfId="15432" xr:uid="{9148ED9A-897E-46BE-9C02-4396A32ADE76}"/>
    <cellStyle name="Standard 6 2 2 8 2 7" xfId="3475" xr:uid="{00000000-0005-0000-0000-00009A0D0000}"/>
    <cellStyle name="Standard 6 2 2 8 2 7 2" xfId="3476" xr:uid="{00000000-0005-0000-0000-00009B0D0000}"/>
    <cellStyle name="Standard 6 2 2 8 2 7 2 2" xfId="3477" xr:uid="{00000000-0005-0000-0000-00009C0D0000}"/>
    <cellStyle name="Standard 6 2 2 8 2 7 2 2 2" xfId="15438" xr:uid="{9B4EBEAF-05C5-4C19-9F8A-5D8012C86A9B}"/>
    <cellStyle name="Standard 6 2 2 8 2 7 2 3" xfId="15437" xr:uid="{8C9FB99A-2FE2-49B1-A1F7-95B5874CA365}"/>
    <cellStyle name="Standard 6 2 2 8 2 7 3" xfId="3478" xr:uid="{00000000-0005-0000-0000-00009D0D0000}"/>
    <cellStyle name="Standard 6 2 2 8 2 7 3 2" xfId="15439" xr:uid="{633A72BF-102A-49DB-A9F3-A75375F58AE5}"/>
    <cellStyle name="Standard 6 2 2 8 2 7 4" xfId="15436" xr:uid="{706BB3D9-4F30-4485-B9C5-D74D68912324}"/>
    <cellStyle name="Standard 6 2 2 8 2 8" xfId="3479" xr:uid="{00000000-0005-0000-0000-00009E0D0000}"/>
    <cellStyle name="Standard 6 2 2 8 2 8 2" xfId="3480" xr:uid="{00000000-0005-0000-0000-00009F0D0000}"/>
    <cellStyle name="Standard 6 2 2 8 2 8 2 2" xfId="15441" xr:uid="{2DE7E6BC-2A64-43F2-99DE-0DC95C0CB10F}"/>
    <cellStyle name="Standard 6 2 2 8 2 8 3" xfId="15440" xr:uid="{2AFCE6FE-68CC-4ADD-902A-0AA3713B0960}"/>
    <cellStyle name="Standard 6 2 2 8 2 9" xfId="3481" xr:uid="{00000000-0005-0000-0000-0000A00D0000}"/>
    <cellStyle name="Standard 6 2 2 8 2 9 2" xfId="15442" xr:uid="{3EAF5085-6423-455F-8A17-FC3B0261DFC1}"/>
    <cellStyle name="Standard 6 2 2 8 3" xfId="3482" xr:uid="{00000000-0005-0000-0000-0000A10D0000}"/>
    <cellStyle name="Standard 6 2 2 8 3 2" xfId="3483" xr:uid="{00000000-0005-0000-0000-0000A20D0000}"/>
    <cellStyle name="Standard 6 2 2 8 3 2 2" xfId="3484" xr:uid="{00000000-0005-0000-0000-0000A30D0000}"/>
    <cellStyle name="Standard 6 2 2 8 3 2 2 2" xfId="15445" xr:uid="{B6894861-402C-437D-8189-EC1D9227D2C3}"/>
    <cellStyle name="Standard 6 2 2 8 3 2 3" xfId="15444" xr:uid="{500886AF-3DD2-4793-BE51-8ACA7DB497DB}"/>
    <cellStyle name="Standard 6 2 2 8 3 3" xfId="3485" xr:uid="{00000000-0005-0000-0000-0000A40D0000}"/>
    <cellStyle name="Standard 6 2 2 8 3 3 2" xfId="15446" xr:uid="{A9C56DDC-1DE1-4A0A-9069-42C6B7DCEC18}"/>
    <cellStyle name="Standard 6 2 2 8 3 4" xfId="15443" xr:uid="{8FA58EFF-B0E6-4BD4-A211-27E1F0427402}"/>
    <cellStyle name="Standard 6 2 2 8 4" xfId="3486" xr:uid="{00000000-0005-0000-0000-0000A50D0000}"/>
    <cellStyle name="Standard 6 2 2 8 4 2" xfId="3487" xr:uid="{00000000-0005-0000-0000-0000A60D0000}"/>
    <cellStyle name="Standard 6 2 2 8 4 2 2" xfId="3488" xr:uid="{00000000-0005-0000-0000-0000A70D0000}"/>
    <cellStyle name="Standard 6 2 2 8 4 2 2 2" xfId="15449" xr:uid="{18DEE108-2E80-4EE2-80B7-47DF5E8AC316}"/>
    <cellStyle name="Standard 6 2 2 8 4 2 3" xfId="15448" xr:uid="{B41D4363-AAA5-455E-8327-1FD69F7BA77C}"/>
    <cellStyle name="Standard 6 2 2 8 4 3" xfId="3489" xr:uid="{00000000-0005-0000-0000-0000A80D0000}"/>
    <cellStyle name="Standard 6 2 2 8 4 3 2" xfId="15450" xr:uid="{27D6C913-03E9-4DC0-999B-FB98F5F4185A}"/>
    <cellStyle name="Standard 6 2 2 8 4 4" xfId="15447" xr:uid="{68120D55-93F6-4482-8DBC-3931820E422F}"/>
    <cellStyle name="Standard 6 2 2 8 5" xfId="3490" xr:uid="{00000000-0005-0000-0000-0000A90D0000}"/>
    <cellStyle name="Standard 6 2 2 8 5 2" xfId="3491" xr:uid="{00000000-0005-0000-0000-0000AA0D0000}"/>
    <cellStyle name="Standard 6 2 2 8 5 2 2" xfId="3492" xr:uid="{00000000-0005-0000-0000-0000AB0D0000}"/>
    <cellStyle name="Standard 6 2 2 8 5 2 2 2" xfId="15453" xr:uid="{DF21C58F-A500-40C5-A212-8083656713B1}"/>
    <cellStyle name="Standard 6 2 2 8 5 2 3" xfId="15452" xr:uid="{E6FA14B7-5AFB-44F8-A74F-2E287076AE05}"/>
    <cellStyle name="Standard 6 2 2 8 5 3" xfId="3493" xr:uid="{00000000-0005-0000-0000-0000AC0D0000}"/>
    <cellStyle name="Standard 6 2 2 8 5 3 2" xfId="15454" xr:uid="{4FB82121-6481-4ACE-ABCA-A4FB93376D9E}"/>
    <cellStyle name="Standard 6 2 2 8 5 4" xfId="15451" xr:uid="{3D911EED-2698-475E-B146-CD01AF0D6BB2}"/>
    <cellStyle name="Standard 6 2 2 8 6" xfId="3494" xr:uid="{00000000-0005-0000-0000-0000AD0D0000}"/>
    <cellStyle name="Standard 6 2 2 8 6 2" xfId="3495" xr:uid="{00000000-0005-0000-0000-0000AE0D0000}"/>
    <cellStyle name="Standard 6 2 2 8 6 2 2" xfId="3496" xr:uid="{00000000-0005-0000-0000-0000AF0D0000}"/>
    <cellStyle name="Standard 6 2 2 8 6 2 2 2" xfId="15457" xr:uid="{A6065D69-0817-4663-A292-748678B0CDA7}"/>
    <cellStyle name="Standard 6 2 2 8 6 2 3" xfId="15456" xr:uid="{2A6FE6F8-1DDE-4CC5-B6D1-28581925E811}"/>
    <cellStyle name="Standard 6 2 2 8 6 3" xfId="3497" xr:uid="{00000000-0005-0000-0000-0000B00D0000}"/>
    <cellStyle name="Standard 6 2 2 8 6 3 2" xfId="15458" xr:uid="{06041CD1-A8DE-4842-A992-EA8D88CA5738}"/>
    <cellStyle name="Standard 6 2 2 8 6 4" xfId="15455" xr:uid="{DACE93EF-4F08-4A99-AA27-AA20E60C9EDF}"/>
    <cellStyle name="Standard 6 2 2 8 7" xfId="3498" xr:uid="{00000000-0005-0000-0000-0000B10D0000}"/>
    <cellStyle name="Standard 6 2 2 8 7 2" xfId="3499" xr:uid="{00000000-0005-0000-0000-0000B20D0000}"/>
    <cellStyle name="Standard 6 2 2 8 7 2 2" xfId="3500" xr:uid="{00000000-0005-0000-0000-0000B30D0000}"/>
    <cellStyle name="Standard 6 2 2 8 7 2 2 2" xfId="15461" xr:uid="{FD2EFD77-9634-480A-BA74-47F1CB835197}"/>
    <cellStyle name="Standard 6 2 2 8 7 2 3" xfId="15460" xr:uid="{412701F1-43B2-4CFD-9268-1F308D50CCA1}"/>
    <cellStyle name="Standard 6 2 2 8 7 3" xfId="3501" xr:uid="{00000000-0005-0000-0000-0000B40D0000}"/>
    <cellStyle name="Standard 6 2 2 8 7 3 2" xfId="15462" xr:uid="{207697D2-3BDC-4DB8-B092-7D9D84C0E10D}"/>
    <cellStyle name="Standard 6 2 2 8 7 4" xfId="15459" xr:uid="{CBE2FD72-70E0-4FFD-9CF1-6E95B1A4DA55}"/>
    <cellStyle name="Standard 6 2 2 8 8" xfId="3502" xr:uid="{00000000-0005-0000-0000-0000B50D0000}"/>
    <cellStyle name="Standard 6 2 2 8 8 2" xfId="3503" xr:uid="{00000000-0005-0000-0000-0000B60D0000}"/>
    <cellStyle name="Standard 6 2 2 8 8 2 2" xfId="3504" xr:uid="{00000000-0005-0000-0000-0000B70D0000}"/>
    <cellStyle name="Standard 6 2 2 8 8 2 2 2" xfId="15465" xr:uid="{CF4A6F80-3CE0-43D2-B1F5-16327D525BE4}"/>
    <cellStyle name="Standard 6 2 2 8 8 2 3" xfId="15464" xr:uid="{CC8084A6-7D6D-4122-8AA1-713B23DBFCCF}"/>
    <cellStyle name="Standard 6 2 2 8 8 3" xfId="3505" xr:uid="{00000000-0005-0000-0000-0000B80D0000}"/>
    <cellStyle name="Standard 6 2 2 8 8 3 2" xfId="15466" xr:uid="{227EF9B2-CFBD-4D04-8244-041A9C233716}"/>
    <cellStyle name="Standard 6 2 2 8 8 4" xfId="15463" xr:uid="{8EBD8EB9-9A10-4BCC-9CF0-856F7DC207E1}"/>
    <cellStyle name="Standard 6 2 2 8 9" xfId="3506" xr:uid="{00000000-0005-0000-0000-0000B90D0000}"/>
    <cellStyle name="Standard 6 2 2 8 9 2" xfId="3507" xr:uid="{00000000-0005-0000-0000-0000BA0D0000}"/>
    <cellStyle name="Standard 6 2 2 8 9 2 2" xfId="15468" xr:uid="{0583C9FF-5975-4F94-9820-80F01F62EFEF}"/>
    <cellStyle name="Standard 6 2 2 8 9 3" xfId="15467" xr:uid="{B50E2DA6-490D-4374-B7D9-0CFB6845ED44}"/>
    <cellStyle name="Standard 6 2 2 9" xfId="3508" xr:uid="{00000000-0005-0000-0000-0000BB0D0000}"/>
    <cellStyle name="Standard 6 2 2 9 10" xfId="3509" xr:uid="{00000000-0005-0000-0000-0000BC0D0000}"/>
    <cellStyle name="Standard 6 2 2 9 10 2" xfId="15470" xr:uid="{A76C6663-E316-4880-BD79-5722D70A241A}"/>
    <cellStyle name="Standard 6 2 2 9 11" xfId="15469" xr:uid="{EAA4184A-3370-42D5-9FB1-4A9F67C4C861}"/>
    <cellStyle name="Standard 6 2 2 9 2" xfId="3510" xr:uid="{00000000-0005-0000-0000-0000BD0D0000}"/>
    <cellStyle name="Standard 6 2 2 9 2 10" xfId="15471" xr:uid="{0463C065-D9DB-4308-A455-C79D53670D8D}"/>
    <cellStyle name="Standard 6 2 2 9 2 2" xfId="3511" xr:uid="{00000000-0005-0000-0000-0000BE0D0000}"/>
    <cellStyle name="Standard 6 2 2 9 2 2 2" xfId="3512" xr:uid="{00000000-0005-0000-0000-0000BF0D0000}"/>
    <cellStyle name="Standard 6 2 2 9 2 2 2 2" xfId="3513" xr:uid="{00000000-0005-0000-0000-0000C00D0000}"/>
    <cellStyle name="Standard 6 2 2 9 2 2 2 2 2" xfId="15474" xr:uid="{A11480FB-E668-4F39-B6DC-730FD20D6224}"/>
    <cellStyle name="Standard 6 2 2 9 2 2 2 3" xfId="15473" xr:uid="{C371851A-B0D9-4AB9-BFC0-004CEF90F58A}"/>
    <cellStyle name="Standard 6 2 2 9 2 2 3" xfId="3514" xr:uid="{00000000-0005-0000-0000-0000C10D0000}"/>
    <cellStyle name="Standard 6 2 2 9 2 2 3 2" xfId="15475" xr:uid="{140F4193-7BA7-468B-8762-048AF9CE0AE4}"/>
    <cellStyle name="Standard 6 2 2 9 2 2 4" xfId="15472" xr:uid="{543C4303-3E52-4C33-8EA2-0BD5BDE2F4E0}"/>
    <cellStyle name="Standard 6 2 2 9 2 3" xfId="3515" xr:uid="{00000000-0005-0000-0000-0000C20D0000}"/>
    <cellStyle name="Standard 6 2 2 9 2 3 2" xfId="3516" xr:uid="{00000000-0005-0000-0000-0000C30D0000}"/>
    <cellStyle name="Standard 6 2 2 9 2 3 2 2" xfId="3517" xr:uid="{00000000-0005-0000-0000-0000C40D0000}"/>
    <cellStyle name="Standard 6 2 2 9 2 3 2 2 2" xfId="15478" xr:uid="{A3A4F4DF-BD45-4BC4-8128-02C4594A74A0}"/>
    <cellStyle name="Standard 6 2 2 9 2 3 2 3" xfId="15477" xr:uid="{DDBA4976-36ED-456E-9417-2112601E80DD}"/>
    <cellStyle name="Standard 6 2 2 9 2 3 3" xfId="3518" xr:uid="{00000000-0005-0000-0000-0000C50D0000}"/>
    <cellStyle name="Standard 6 2 2 9 2 3 3 2" xfId="15479" xr:uid="{C6CD09B6-5C16-42E1-BA4C-6FBB1725F2A8}"/>
    <cellStyle name="Standard 6 2 2 9 2 3 4" xfId="15476" xr:uid="{FDF7C175-5A29-4052-8C57-4FC2BFEEBB5F}"/>
    <cellStyle name="Standard 6 2 2 9 2 4" xfId="3519" xr:uid="{00000000-0005-0000-0000-0000C60D0000}"/>
    <cellStyle name="Standard 6 2 2 9 2 4 2" xfId="3520" xr:uid="{00000000-0005-0000-0000-0000C70D0000}"/>
    <cellStyle name="Standard 6 2 2 9 2 4 2 2" xfId="3521" xr:uid="{00000000-0005-0000-0000-0000C80D0000}"/>
    <cellStyle name="Standard 6 2 2 9 2 4 2 2 2" xfId="15482" xr:uid="{E5FF3AA2-8CE6-407B-B766-E392972CB5FB}"/>
    <cellStyle name="Standard 6 2 2 9 2 4 2 3" xfId="15481" xr:uid="{6113D953-3317-4E08-A6E0-B32A9D23573D}"/>
    <cellStyle name="Standard 6 2 2 9 2 4 3" xfId="3522" xr:uid="{00000000-0005-0000-0000-0000C90D0000}"/>
    <cellStyle name="Standard 6 2 2 9 2 4 3 2" xfId="15483" xr:uid="{1953A335-370C-4CD6-984B-0562762F6411}"/>
    <cellStyle name="Standard 6 2 2 9 2 4 4" xfId="15480" xr:uid="{FD2E0F0E-B544-4CAC-97E8-DD911FF3600D}"/>
    <cellStyle name="Standard 6 2 2 9 2 5" xfId="3523" xr:uid="{00000000-0005-0000-0000-0000CA0D0000}"/>
    <cellStyle name="Standard 6 2 2 9 2 5 2" xfId="3524" xr:uid="{00000000-0005-0000-0000-0000CB0D0000}"/>
    <cellStyle name="Standard 6 2 2 9 2 5 2 2" xfId="3525" xr:uid="{00000000-0005-0000-0000-0000CC0D0000}"/>
    <cellStyle name="Standard 6 2 2 9 2 5 2 2 2" xfId="15486" xr:uid="{51D9B672-EAB0-437A-9647-B9134DE3C9F3}"/>
    <cellStyle name="Standard 6 2 2 9 2 5 2 3" xfId="15485" xr:uid="{E68AF8BE-CCF0-4E94-B0F8-C2C3F6251390}"/>
    <cellStyle name="Standard 6 2 2 9 2 5 3" xfId="3526" xr:uid="{00000000-0005-0000-0000-0000CD0D0000}"/>
    <cellStyle name="Standard 6 2 2 9 2 5 3 2" xfId="15487" xr:uid="{5CB844F2-2ED7-42A7-B91A-9E5AE8400AB3}"/>
    <cellStyle name="Standard 6 2 2 9 2 5 4" xfId="15484" xr:uid="{CFC73B8F-665A-4FF8-8205-CAA6A751A873}"/>
    <cellStyle name="Standard 6 2 2 9 2 6" xfId="3527" xr:uid="{00000000-0005-0000-0000-0000CE0D0000}"/>
    <cellStyle name="Standard 6 2 2 9 2 6 2" xfId="3528" xr:uid="{00000000-0005-0000-0000-0000CF0D0000}"/>
    <cellStyle name="Standard 6 2 2 9 2 6 2 2" xfId="3529" xr:uid="{00000000-0005-0000-0000-0000D00D0000}"/>
    <cellStyle name="Standard 6 2 2 9 2 6 2 2 2" xfId="15490" xr:uid="{EF835B0B-4EFF-4E70-8423-0770085EC633}"/>
    <cellStyle name="Standard 6 2 2 9 2 6 2 3" xfId="15489" xr:uid="{5D98FA12-A744-4E67-92C2-0B38A9DD9E10}"/>
    <cellStyle name="Standard 6 2 2 9 2 6 3" xfId="3530" xr:uid="{00000000-0005-0000-0000-0000D10D0000}"/>
    <cellStyle name="Standard 6 2 2 9 2 6 3 2" xfId="15491" xr:uid="{B9B711A3-DC63-4721-83C0-86B8471F9C38}"/>
    <cellStyle name="Standard 6 2 2 9 2 6 4" xfId="15488" xr:uid="{BD82AAC3-383E-4FF8-A668-3EEED3349316}"/>
    <cellStyle name="Standard 6 2 2 9 2 7" xfId="3531" xr:uid="{00000000-0005-0000-0000-0000D20D0000}"/>
    <cellStyle name="Standard 6 2 2 9 2 7 2" xfId="3532" xr:uid="{00000000-0005-0000-0000-0000D30D0000}"/>
    <cellStyle name="Standard 6 2 2 9 2 7 2 2" xfId="3533" xr:uid="{00000000-0005-0000-0000-0000D40D0000}"/>
    <cellStyle name="Standard 6 2 2 9 2 7 2 2 2" xfId="15494" xr:uid="{7F544FBC-1102-43D4-95C4-02A0DF14471A}"/>
    <cellStyle name="Standard 6 2 2 9 2 7 2 3" xfId="15493" xr:uid="{38DB1216-33AB-402C-B37C-BCE28994DEC3}"/>
    <cellStyle name="Standard 6 2 2 9 2 7 3" xfId="3534" xr:uid="{00000000-0005-0000-0000-0000D50D0000}"/>
    <cellStyle name="Standard 6 2 2 9 2 7 3 2" xfId="15495" xr:uid="{0DD54D89-5B47-429B-B9F2-18C03E421479}"/>
    <cellStyle name="Standard 6 2 2 9 2 7 4" xfId="15492" xr:uid="{930CEC79-4305-46BF-B9A5-B30C5A7E1011}"/>
    <cellStyle name="Standard 6 2 2 9 2 8" xfId="3535" xr:uid="{00000000-0005-0000-0000-0000D60D0000}"/>
    <cellStyle name="Standard 6 2 2 9 2 8 2" xfId="3536" xr:uid="{00000000-0005-0000-0000-0000D70D0000}"/>
    <cellStyle name="Standard 6 2 2 9 2 8 2 2" xfId="15497" xr:uid="{959D7F5B-83C3-4B13-AEBD-A09A26BE2178}"/>
    <cellStyle name="Standard 6 2 2 9 2 8 3" xfId="15496" xr:uid="{F2DB77CD-E408-4398-A417-397843A80297}"/>
    <cellStyle name="Standard 6 2 2 9 2 9" xfId="3537" xr:uid="{00000000-0005-0000-0000-0000D80D0000}"/>
    <cellStyle name="Standard 6 2 2 9 2 9 2" xfId="15498" xr:uid="{F6A4F71C-B68D-4653-8060-A5FE297CCF01}"/>
    <cellStyle name="Standard 6 2 2 9 3" xfId="3538" xr:uid="{00000000-0005-0000-0000-0000D90D0000}"/>
    <cellStyle name="Standard 6 2 2 9 3 2" xfId="3539" xr:uid="{00000000-0005-0000-0000-0000DA0D0000}"/>
    <cellStyle name="Standard 6 2 2 9 3 2 2" xfId="3540" xr:uid="{00000000-0005-0000-0000-0000DB0D0000}"/>
    <cellStyle name="Standard 6 2 2 9 3 2 2 2" xfId="15501" xr:uid="{F2652607-3EDC-482A-BEB4-B0044EFC8313}"/>
    <cellStyle name="Standard 6 2 2 9 3 2 3" xfId="15500" xr:uid="{280F1076-E1AE-4FBD-8EF6-80F067C5C4A9}"/>
    <cellStyle name="Standard 6 2 2 9 3 3" xfId="3541" xr:uid="{00000000-0005-0000-0000-0000DC0D0000}"/>
    <cellStyle name="Standard 6 2 2 9 3 3 2" xfId="15502" xr:uid="{59721B31-F3F1-4E40-9C9F-067FFD685FFC}"/>
    <cellStyle name="Standard 6 2 2 9 3 4" xfId="15499" xr:uid="{E8E3D513-AC81-4A83-974B-78613DC5919E}"/>
    <cellStyle name="Standard 6 2 2 9 4" xfId="3542" xr:uid="{00000000-0005-0000-0000-0000DD0D0000}"/>
    <cellStyle name="Standard 6 2 2 9 4 2" xfId="3543" xr:uid="{00000000-0005-0000-0000-0000DE0D0000}"/>
    <cellStyle name="Standard 6 2 2 9 4 2 2" xfId="3544" xr:uid="{00000000-0005-0000-0000-0000DF0D0000}"/>
    <cellStyle name="Standard 6 2 2 9 4 2 2 2" xfId="15505" xr:uid="{DFBE6BD0-949D-4FF4-9DDA-0DC5B34F6D32}"/>
    <cellStyle name="Standard 6 2 2 9 4 2 3" xfId="15504" xr:uid="{F086051E-B2A7-4973-B70E-754C7E95AFA4}"/>
    <cellStyle name="Standard 6 2 2 9 4 3" xfId="3545" xr:uid="{00000000-0005-0000-0000-0000E00D0000}"/>
    <cellStyle name="Standard 6 2 2 9 4 3 2" xfId="15506" xr:uid="{7F126332-562F-426B-86AB-0BE43FD8AA62}"/>
    <cellStyle name="Standard 6 2 2 9 4 4" xfId="15503" xr:uid="{A3761E2B-73DD-479B-85D4-73A3AD0F2F36}"/>
    <cellStyle name="Standard 6 2 2 9 5" xfId="3546" xr:uid="{00000000-0005-0000-0000-0000E10D0000}"/>
    <cellStyle name="Standard 6 2 2 9 5 2" xfId="3547" xr:uid="{00000000-0005-0000-0000-0000E20D0000}"/>
    <cellStyle name="Standard 6 2 2 9 5 2 2" xfId="3548" xr:uid="{00000000-0005-0000-0000-0000E30D0000}"/>
    <cellStyle name="Standard 6 2 2 9 5 2 2 2" xfId="15509" xr:uid="{CD9C8591-F41E-4CAF-B696-6A8E24743358}"/>
    <cellStyle name="Standard 6 2 2 9 5 2 3" xfId="15508" xr:uid="{A6A4B44A-7C02-41E6-BF5F-503B06DFFE79}"/>
    <cellStyle name="Standard 6 2 2 9 5 3" xfId="3549" xr:uid="{00000000-0005-0000-0000-0000E40D0000}"/>
    <cellStyle name="Standard 6 2 2 9 5 3 2" xfId="15510" xr:uid="{D3076F6B-AFD3-41E7-917F-9CFE2A4BC00A}"/>
    <cellStyle name="Standard 6 2 2 9 5 4" xfId="15507" xr:uid="{1081E3E0-4D08-42C9-B023-541BF2706FD9}"/>
    <cellStyle name="Standard 6 2 2 9 6" xfId="3550" xr:uid="{00000000-0005-0000-0000-0000E50D0000}"/>
    <cellStyle name="Standard 6 2 2 9 6 2" xfId="3551" xr:uid="{00000000-0005-0000-0000-0000E60D0000}"/>
    <cellStyle name="Standard 6 2 2 9 6 2 2" xfId="3552" xr:uid="{00000000-0005-0000-0000-0000E70D0000}"/>
    <cellStyle name="Standard 6 2 2 9 6 2 2 2" xfId="15513" xr:uid="{C22A97D9-76B9-4633-BE67-F30C57E4113F}"/>
    <cellStyle name="Standard 6 2 2 9 6 2 3" xfId="15512" xr:uid="{DBC01544-8447-44A1-B377-AD8B1C362BD3}"/>
    <cellStyle name="Standard 6 2 2 9 6 3" xfId="3553" xr:uid="{00000000-0005-0000-0000-0000E80D0000}"/>
    <cellStyle name="Standard 6 2 2 9 6 3 2" xfId="15514" xr:uid="{5D78CA94-A3B8-49B8-857C-83AA4A0F66BB}"/>
    <cellStyle name="Standard 6 2 2 9 6 4" xfId="15511" xr:uid="{498A4B54-F21B-4A94-8FA0-6640A7A7A894}"/>
    <cellStyle name="Standard 6 2 2 9 7" xfId="3554" xr:uid="{00000000-0005-0000-0000-0000E90D0000}"/>
    <cellStyle name="Standard 6 2 2 9 7 2" xfId="3555" xr:uid="{00000000-0005-0000-0000-0000EA0D0000}"/>
    <cellStyle name="Standard 6 2 2 9 7 2 2" xfId="3556" xr:uid="{00000000-0005-0000-0000-0000EB0D0000}"/>
    <cellStyle name="Standard 6 2 2 9 7 2 2 2" xfId="15517" xr:uid="{0AD7C092-E7AB-4C8C-9E35-262A024FD4AD}"/>
    <cellStyle name="Standard 6 2 2 9 7 2 3" xfId="15516" xr:uid="{D0B2C5A7-7F38-4664-908A-AA6F60CC289D}"/>
    <cellStyle name="Standard 6 2 2 9 7 3" xfId="3557" xr:uid="{00000000-0005-0000-0000-0000EC0D0000}"/>
    <cellStyle name="Standard 6 2 2 9 7 3 2" xfId="15518" xr:uid="{56DC1A0B-D4B8-4523-B0FB-BE9DEFB899C3}"/>
    <cellStyle name="Standard 6 2 2 9 7 4" xfId="15515" xr:uid="{5ED19C76-1C8B-4823-B884-1E4609D3C471}"/>
    <cellStyle name="Standard 6 2 2 9 8" xfId="3558" xr:uid="{00000000-0005-0000-0000-0000ED0D0000}"/>
    <cellStyle name="Standard 6 2 2 9 8 2" xfId="3559" xr:uid="{00000000-0005-0000-0000-0000EE0D0000}"/>
    <cellStyle name="Standard 6 2 2 9 8 2 2" xfId="3560" xr:uid="{00000000-0005-0000-0000-0000EF0D0000}"/>
    <cellStyle name="Standard 6 2 2 9 8 2 2 2" xfId="15521" xr:uid="{E8B04143-A1AF-4A8D-B2F1-5DB007C6C69A}"/>
    <cellStyle name="Standard 6 2 2 9 8 2 3" xfId="15520" xr:uid="{5ED4E238-5736-40CA-AC3D-634CA0C78231}"/>
    <cellStyle name="Standard 6 2 2 9 8 3" xfId="3561" xr:uid="{00000000-0005-0000-0000-0000F00D0000}"/>
    <cellStyle name="Standard 6 2 2 9 8 3 2" xfId="15522" xr:uid="{6BCB39FE-9074-4EB2-8223-AD29A490C41E}"/>
    <cellStyle name="Standard 6 2 2 9 8 4" xfId="15519" xr:uid="{23D05E3E-67DA-4E05-954D-A4DC8A257F5E}"/>
    <cellStyle name="Standard 6 2 2 9 9" xfId="3562" xr:uid="{00000000-0005-0000-0000-0000F10D0000}"/>
    <cellStyle name="Standard 6 2 2 9 9 2" xfId="3563" xr:uid="{00000000-0005-0000-0000-0000F20D0000}"/>
    <cellStyle name="Standard 6 2 2 9 9 2 2" xfId="15524" xr:uid="{0765C9B8-892E-49BB-8827-B15EDB650942}"/>
    <cellStyle name="Standard 6 2 2 9 9 3" xfId="15523" xr:uid="{AA92CC39-AC8D-49DA-A4E0-1BFCAC467217}"/>
    <cellStyle name="Standard 6 2 20" xfId="3564" xr:uid="{00000000-0005-0000-0000-0000F30D0000}"/>
    <cellStyle name="Standard 6 2 20 2" xfId="3565" xr:uid="{00000000-0005-0000-0000-0000F40D0000}"/>
    <cellStyle name="Standard 6 2 20 2 2" xfId="3566" xr:uid="{00000000-0005-0000-0000-0000F50D0000}"/>
    <cellStyle name="Standard 6 2 20 2 2 2" xfId="15527" xr:uid="{027545D0-0A17-488B-97B6-8C0729A20FDA}"/>
    <cellStyle name="Standard 6 2 20 2 3" xfId="15526" xr:uid="{90A4E865-F3BA-4CCE-A9FE-68553EC9AC0A}"/>
    <cellStyle name="Standard 6 2 20 3" xfId="3567" xr:uid="{00000000-0005-0000-0000-0000F60D0000}"/>
    <cellStyle name="Standard 6 2 20 3 2" xfId="15528" xr:uid="{7B43AC4D-31E6-4336-B9CF-430BBF46DE90}"/>
    <cellStyle name="Standard 6 2 20 4" xfId="15525" xr:uid="{CE852ECA-4DBD-4173-A61E-0CE712A0A8A6}"/>
    <cellStyle name="Standard 6 2 21" xfId="3568" xr:uid="{00000000-0005-0000-0000-0000F70D0000}"/>
    <cellStyle name="Standard 6 2 21 2" xfId="3569" xr:uid="{00000000-0005-0000-0000-0000F80D0000}"/>
    <cellStyle name="Standard 6 2 21 2 2" xfId="3570" xr:uid="{00000000-0005-0000-0000-0000F90D0000}"/>
    <cellStyle name="Standard 6 2 21 2 2 2" xfId="15531" xr:uid="{05EFE240-6FFD-4965-85B8-CD9333427985}"/>
    <cellStyle name="Standard 6 2 21 2 3" xfId="15530" xr:uid="{DA5EB9DB-4C67-40B0-9184-A6E57797C939}"/>
    <cellStyle name="Standard 6 2 21 3" xfId="3571" xr:uid="{00000000-0005-0000-0000-0000FA0D0000}"/>
    <cellStyle name="Standard 6 2 21 3 2" xfId="15532" xr:uid="{5064EF6B-74FB-4148-8C16-FDF1F74FBC8D}"/>
    <cellStyle name="Standard 6 2 21 4" xfId="15529" xr:uid="{1AB221D7-CC72-49AC-B5BF-8714047A4D05}"/>
    <cellStyle name="Standard 6 2 22" xfId="3572" xr:uid="{00000000-0005-0000-0000-0000FB0D0000}"/>
    <cellStyle name="Standard 6 2 22 2" xfId="3573" xr:uid="{00000000-0005-0000-0000-0000FC0D0000}"/>
    <cellStyle name="Standard 6 2 22 2 2" xfId="3574" xr:uid="{00000000-0005-0000-0000-0000FD0D0000}"/>
    <cellStyle name="Standard 6 2 22 2 2 2" xfId="15535" xr:uid="{4188A90C-1F54-4F65-BA22-CB19EF358F4D}"/>
    <cellStyle name="Standard 6 2 22 2 3" xfId="15534" xr:uid="{7968A0EB-D75B-4817-8F2D-A0D2A74A72EB}"/>
    <cellStyle name="Standard 6 2 22 3" xfId="3575" xr:uid="{00000000-0005-0000-0000-0000FE0D0000}"/>
    <cellStyle name="Standard 6 2 22 3 2" xfId="15536" xr:uid="{BA6D17CA-D3EC-4798-BDFC-88D2D8E72B6D}"/>
    <cellStyle name="Standard 6 2 22 4" xfId="15533" xr:uid="{84456BB3-1AF5-46A1-99D4-339981A7D556}"/>
    <cellStyle name="Standard 6 2 23" xfId="3576" xr:uid="{00000000-0005-0000-0000-0000FF0D0000}"/>
    <cellStyle name="Standard 6 2 23 2" xfId="3577" xr:uid="{00000000-0005-0000-0000-0000000E0000}"/>
    <cellStyle name="Standard 6 2 23 2 2" xfId="3578" xr:uid="{00000000-0005-0000-0000-0000010E0000}"/>
    <cellStyle name="Standard 6 2 23 2 2 2" xfId="15539" xr:uid="{340C7ACD-79EB-4D27-B7F3-3C0384139DD8}"/>
    <cellStyle name="Standard 6 2 23 2 3" xfId="15538" xr:uid="{CEEF0F6D-D675-4D0D-86EB-90854BA2FC83}"/>
    <cellStyle name="Standard 6 2 23 3" xfId="3579" xr:uid="{00000000-0005-0000-0000-0000020E0000}"/>
    <cellStyle name="Standard 6 2 23 3 2" xfId="15540" xr:uid="{17A64158-66E9-48AE-B387-3BF42CA36185}"/>
    <cellStyle name="Standard 6 2 23 4" xfId="15537" xr:uid="{17E825E8-36D3-4084-B645-2F109D6FDC60}"/>
    <cellStyle name="Standard 6 2 24" xfId="3580" xr:uid="{00000000-0005-0000-0000-0000030E0000}"/>
    <cellStyle name="Standard 6 2 24 2" xfId="3581" xr:uid="{00000000-0005-0000-0000-0000040E0000}"/>
    <cellStyle name="Standard 6 2 24 2 2" xfId="15542" xr:uid="{FEEDA538-6773-4EE5-8D99-5573F7A3216D}"/>
    <cellStyle name="Standard 6 2 24 3" xfId="15541" xr:uid="{1A8ECE65-66E4-4BA2-94AD-834A592EDC38}"/>
    <cellStyle name="Standard 6 2 25" xfId="3582" xr:uid="{00000000-0005-0000-0000-0000050E0000}"/>
    <cellStyle name="Standard 6 2 25 2" xfId="15543" xr:uid="{EFE4AA7C-7FF3-4CA4-B25F-43CCA8C6473E}"/>
    <cellStyle name="Standard 6 2 26" xfId="3583" xr:uid="{00000000-0005-0000-0000-0000060E0000}"/>
    <cellStyle name="Standard 6 2 26 2" xfId="15544" xr:uid="{08AAD738-9FAC-4D57-B18B-B1D187B4FB3B}"/>
    <cellStyle name="Standard 6 2 27" xfId="12402" xr:uid="{FD61EF87-6423-41EF-B4C4-2CE3008A9521}"/>
    <cellStyle name="Standard 6 2 3" xfId="3584" xr:uid="{00000000-0005-0000-0000-0000070E0000}"/>
    <cellStyle name="Standard 6 2 3 10" xfId="3585" xr:uid="{00000000-0005-0000-0000-0000080E0000}"/>
    <cellStyle name="Standard 6 2 3 10 10" xfId="15546" xr:uid="{00649C0B-2ABB-46B3-B3CB-F7DDA3319941}"/>
    <cellStyle name="Standard 6 2 3 10 2" xfId="3586" xr:uid="{00000000-0005-0000-0000-0000090E0000}"/>
    <cellStyle name="Standard 6 2 3 10 2 2" xfId="3587" xr:uid="{00000000-0005-0000-0000-00000A0E0000}"/>
    <cellStyle name="Standard 6 2 3 10 2 2 2" xfId="3588" xr:uid="{00000000-0005-0000-0000-00000B0E0000}"/>
    <cellStyle name="Standard 6 2 3 10 2 2 2 2" xfId="15549" xr:uid="{1A278C09-3B83-4264-B37E-2E4BC29FCF1B}"/>
    <cellStyle name="Standard 6 2 3 10 2 2 3" xfId="15548" xr:uid="{CA847158-7A41-4AAE-A5E2-60FDB8854733}"/>
    <cellStyle name="Standard 6 2 3 10 2 3" xfId="3589" xr:uid="{00000000-0005-0000-0000-00000C0E0000}"/>
    <cellStyle name="Standard 6 2 3 10 2 3 2" xfId="15550" xr:uid="{8AB35EA7-ED94-4267-BFA6-D6D3A2745DEE}"/>
    <cellStyle name="Standard 6 2 3 10 2 4" xfId="15547" xr:uid="{260D60A2-A129-4900-B5E0-7C294DF4D112}"/>
    <cellStyle name="Standard 6 2 3 10 3" xfId="3590" xr:uid="{00000000-0005-0000-0000-00000D0E0000}"/>
    <cellStyle name="Standard 6 2 3 10 3 2" xfId="3591" xr:uid="{00000000-0005-0000-0000-00000E0E0000}"/>
    <cellStyle name="Standard 6 2 3 10 3 2 2" xfId="3592" xr:uid="{00000000-0005-0000-0000-00000F0E0000}"/>
    <cellStyle name="Standard 6 2 3 10 3 2 2 2" xfId="15553" xr:uid="{B9F69B7B-90AA-4A06-B972-3D5B015449DD}"/>
    <cellStyle name="Standard 6 2 3 10 3 2 3" xfId="15552" xr:uid="{7B2301F5-070A-4F14-A8FF-CF0C9A287E3F}"/>
    <cellStyle name="Standard 6 2 3 10 3 3" xfId="3593" xr:uid="{00000000-0005-0000-0000-0000100E0000}"/>
    <cellStyle name="Standard 6 2 3 10 3 3 2" xfId="15554" xr:uid="{5A2D56D4-FA4F-4755-BC24-DFF8D94055F6}"/>
    <cellStyle name="Standard 6 2 3 10 3 4" xfId="15551" xr:uid="{EBCB0E2C-DDBC-4F5A-9A0F-4FE9425ECD05}"/>
    <cellStyle name="Standard 6 2 3 10 4" xfId="3594" xr:uid="{00000000-0005-0000-0000-0000110E0000}"/>
    <cellStyle name="Standard 6 2 3 10 4 2" xfId="3595" xr:uid="{00000000-0005-0000-0000-0000120E0000}"/>
    <cellStyle name="Standard 6 2 3 10 4 2 2" xfId="3596" xr:uid="{00000000-0005-0000-0000-0000130E0000}"/>
    <cellStyle name="Standard 6 2 3 10 4 2 2 2" xfId="15557" xr:uid="{FE7DC319-C7D0-4F9A-BFEB-C1FB84169225}"/>
    <cellStyle name="Standard 6 2 3 10 4 2 3" xfId="15556" xr:uid="{0A9CE43C-ECAF-4C44-AD63-9AC72B24E307}"/>
    <cellStyle name="Standard 6 2 3 10 4 3" xfId="3597" xr:uid="{00000000-0005-0000-0000-0000140E0000}"/>
    <cellStyle name="Standard 6 2 3 10 4 3 2" xfId="15558" xr:uid="{589D5DD7-8E5B-4DD7-9295-8780B614B570}"/>
    <cellStyle name="Standard 6 2 3 10 4 4" xfId="15555" xr:uid="{64844696-1D27-4A77-9F80-31979514C8A9}"/>
    <cellStyle name="Standard 6 2 3 10 5" xfId="3598" xr:uid="{00000000-0005-0000-0000-0000150E0000}"/>
    <cellStyle name="Standard 6 2 3 10 5 2" xfId="3599" xr:uid="{00000000-0005-0000-0000-0000160E0000}"/>
    <cellStyle name="Standard 6 2 3 10 5 2 2" xfId="3600" xr:uid="{00000000-0005-0000-0000-0000170E0000}"/>
    <cellStyle name="Standard 6 2 3 10 5 2 2 2" xfId="15561" xr:uid="{6949F8BE-D57C-4D38-A5CB-83011EDF1773}"/>
    <cellStyle name="Standard 6 2 3 10 5 2 3" xfId="15560" xr:uid="{CDC89D0F-7B06-4960-896A-403932B79118}"/>
    <cellStyle name="Standard 6 2 3 10 5 3" xfId="3601" xr:uid="{00000000-0005-0000-0000-0000180E0000}"/>
    <cellStyle name="Standard 6 2 3 10 5 3 2" xfId="15562" xr:uid="{90A50646-5B4D-4FAC-9536-4C459067986A}"/>
    <cellStyle name="Standard 6 2 3 10 5 4" xfId="15559" xr:uid="{708FE918-597F-4BAF-98D9-F443CB364B9D}"/>
    <cellStyle name="Standard 6 2 3 10 6" xfId="3602" xr:uid="{00000000-0005-0000-0000-0000190E0000}"/>
    <cellStyle name="Standard 6 2 3 10 6 2" xfId="3603" xr:uid="{00000000-0005-0000-0000-00001A0E0000}"/>
    <cellStyle name="Standard 6 2 3 10 6 2 2" xfId="3604" xr:uid="{00000000-0005-0000-0000-00001B0E0000}"/>
    <cellStyle name="Standard 6 2 3 10 6 2 2 2" xfId="15565" xr:uid="{994C2A15-6324-4498-B1E0-A06F1F29AE12}"/>
    <cellStyle name="Standard 6 2 3 10 6 2 3" xfId="15564" xr:uid="{C2B71B8F-ACA5-4AAF-AF42-E1391EE32220}"/>
    <cellStyle name="Standard 6 2 3 10 6 3" xfId="3605" xr:uid="{00000000-0005-0000-0000-00001C0E0000}"/>
    <cellStyle name="Standard 6 2 3 10 6 3 2" xfId="15566" xr:uid="{38FB6C0A-9078-486A-BBC3-B332AA779188}"/>
    <cellStyle name="Standard 6 2 3 10 6 4" xfId="15563" xr:uid="{030D20EB-F9A2-4462-9ED4-5207E0AB91E7}"/>
    <cellStyle name="Standard 6 2 3 10 7" xfId="3606" xr:uid="{00000000-0005-0000-0000-00001D0E0000}"/>
    <cellStyle name="Standard 6 2 3 10 7 2" xfId="3607" xr:uid="{00000000-0005-0000-0000-00001E0E0000}"/>
    <cellStyle name="Standard 6 2 3 10 7 2 2" xfId="3608" xr:uid="{00000000-0005-0000-0000-00001F0E0000}"/>
    <cellStyle name="Standard 6 2 3 10 7 2 2 2" xfId="15569" xr:uid="{7E3FE2F8-8518-4CF8-AF3D-15C64BB2B6E4}"/>
    <cellStyle name="Standard 6 2 3 10 7 2 3" xfId="15568" xr:uid="{4EB22516-2076-4389-AB0A-7AEC9AB31932}"/>
    <cellStyle name="Standard 6 2 3 10 7 3" xfId="3609" xr:uid="{00000000-0005-0000-0000-0000200E0000}"/>
    <cellStyle name="Standard 6 2 3 10 7 3 2" xfId="15570" xr:uid="{B894B69C-4E7C-415E-A6F6-9CF6710FB45B}"/>
    <cellStyle name="Standard 6 2 3 10 7 4" xfId="15567" xr:uid="{414C8CFB-5531-45A1-8F4E-6B326E5611D8}"/>
    <cellStyle name="Standard 6 2 3 10 8" xfId="3610" xr:uid="{00000000-0005-0000-0000-0000210E0000}"/>
    <cellStyle name="Standard 6 2 3 10 8 2" xfId="3611" xr:uid="{00000000-0005-0000-0000-0000220E0000}"/>
    <cellStyle name="Standard 6 2 3 10 8 2 2" xfId="15572" xr:uid="{9505F5CB-78DF-4F6B-B480-2F71B127A8C6}"/>
    <cellStyle name="Standard 6 2 3 10 8 3" xfId="15571" xr:uid="{A76ACE02-F3A4-48D1-AA53-31BD1F53BAA9}"/>
    <cellStyle name="Standard 6 2 3 10 9" xfId="3612" xr:uid="{00000000-0005-0000-0000-0000230E0000}"/>
    <cellStyle name="Standard 6 2 3 10 9 2" xfId="15573" xr:uid="{5DE93A5C-9A36-43C1-AC97-1661566A856F}"/>
    <cellStyle name="Standard 6 2 3 11" xfId="3613" xr:uid="{00000000-0005-0000-0000-0000240E0000}"/>
    <cellStyle name="Standard 6 2 3 11 2" xfId="3614" xr:uid="{00000000-0005-0000-0000-0000250E0000}"/>
    <cellStyle name="Standard 6 2 3 11 2 2" xfId="3615" xr:uid="{00000000-0005-0000-0000-0000260E0000}"/>
    <cellStyle name="Standard 6 2 3 11 2 2 2" xfId="3616" xr:uid="{00000000-0005-0000-0000-0000270E0000}"/>
    <cellStyle name="Standard 6 2 3 11 2 2 2 2" xfId="15577" xr:uid="{333D2149-D972-4840-A44D-C337905CAAE7}"/>
    <cellStyle name="Standard 6 2 3 11 2 2 3" xfId="15576" xr:uid="{4840BA94-F69E-493C-9436-15AAB76E71A8}"/>
    <cellStyle name="Standard 6 2 3 11 2 3" xfId="3617" xr:uid="{00000000-0005-0000-0000-0000280E0000}"/>
    <cellStyle name="Standard 6 2 3 11 2 3 2" xfId="15578" xr:uid="{27EFCDCE-763D-41EA-9A0C-21167614CC66}"/>
    <cellStyle name="Standard 6 2 3 11 2 4" xfId="15575" xr:uid="{5FDABE82-F6BD-428C-93F3-D53E9F4FCC88}"/>
    <cellStyle name="Standard 6 2 3 11 3" xfId="3618" xr:uid="{00000000-0005-0000-0000-0000290E0000}"/>
    <cellStyle name="Standard 6 2 3 11 3 2" xfId="3619" xr:uid="{00000000-0005-0000-0000-00002A0E0000}"/>
    <cellStyle name="Standard 6 2 3 11 3 2 2" xfId="3620" xr:uid="{00000000-0005-0000-0000-00002B0E0000}"/>
    <cellStyle name="Standard 6 2 3 11 3 2 2 2" xfId="15581" xr:uid="{8E750709-2F07-4E57-845E-57B32BBEE73C}"/>
    <cellStyle name="Standard 6 2 3 11 3 2 3" xfId="15580" xr:uid="{76842023-A47F-4BB3-84CB-01BED3C9EF7A}"/>
    <cellStyle name="Standard 6 2 3 11 3 3" xfId="3621" xr:uid="{00000000-0005-0000-0000-00002C0E0000}"/>
    <cellStyle name="Standard 6 2 3 11 3 3 2" xfId="15582" xr:uid="{4CFF3470-B607-4AED-8621-C4E2B8634A9A}"/>
    <cellStyle name="Standard 6 2 3 11 3 4" xfId="15579" xr:uid="{81F088F4-47B5-4E58-B7CC-FC655838731A}"/>
    <cellStyle name="Standard 6 2 3 11 4" xfId="3622" xr:uid="{00000000-0005-0000-0000-00002D0E0000}"/>
    <cellStyle name="Standard 6 2 3 11 4 2" xfId="3623" xr:uid="{00000000-0005-0000-0000-00002E0E0000}"/>
    <cellStyle name="Standard 6 2 3 11 4 2 2" xfId="3624" xr:uid="{00000000-0005-0000-0000-00002F0E0000}"/>
    <cellStyle name="Standard 6 2 3 11 4 2 2 2" xfId="15585" xr:uid="{C40AAE54-1DA0-4C2E-A83B-6141BA7C5CDD}"/>
    <cellStyle name="Standard 6 2 3 11 4 2 3" xfId="15584" xr:uid="{4FF9137F-E61C-41B2-9AC7-B1EE67DF8736}"/>
    <cellStyle name="Standard 6 2 3 11 4 3" xfId="3625" xr:uid="{00000000-0005-0000-0000-0000300E0000}"/>
    <cellStyle name="Standard 6 2 3 11 4 3 2" xfId="15586" xr:uid="{02C22B43-CFD1-49D7-94EE-DEE563364355}"/>
    <cellStyle name="Standard 6 2 3 11 4 4" xfId="15583" xr:uid="{26E99DF8-3191-494E-A0CC-3F5857321C67}"/>
    <cellStyle name="Standard 6 2 3 11 5" xfId="3626" xr:uid="{00000000-0005-0000-0000-0000310E0000}"/>
    <cellStyle name="Standard 6 2 3 11 5 2" xfId="3627" xr:uid="{00000000-0005-0000-0000-0000320E0000}"/>
    <cellStyle name="Standard 6 2 3 11 5 2 2" xfId="3628" xr:uid="{00000000-0005-0000-0000-0000330E0000}"/>
    <cellStyle name="Standard 6 2 3 11 5 2 2 2" xfId="15589" xr:uid="{304E9A8E-679B-4869-8A6E-489DBF709B66}"/>
    <cellStyle name="Standard 6 2 3 11 5 2 3" xfId="15588" xr:uid="{900E227F-F623-45FE-9F32-78A0C84E5F0C}"/>
    <cellStyle name="Standard 6 2 3 11 5 3" xfId="3629" xr:uid="{00000000-0005-0000-0000-0000340E0000}"/>
    <cellStyle name="Standard 6 2 3 11 5 3 2" xfId="15590" xr:uid="{566007DD-2209-4446-8D12-3B906FC426BD}"/>
    <cellStyle name="Standard 6 2 3 11 5 4" xfId="15587" xr:uid="{1B0DEC5D-9822-4A01-AB72-3834127C5FFF}"/>
    <cellStyle name="Standard 6 2 3 11 6" xfId="3630" xr:uid="{00000000-0005-0000-0000-0000350E0000}"/>
    <cellStyle name="Standard 6 2 3 11 6 2" xfId="3631" xr:uid="{00000000-0005-0000-0000-0000360E0000}"/>
    <cellStyle name="Standard 6 2 3 11 6 2 2" xfId="3632" xr:uid="{00000000-0005-0000-0000-0000370E0000}"/>
    <cellStyle name="Standard 6 2 3 11 6 2 2 2" xfId="15593" xr:uid="{48FC781B-9FD6-4FB5-8D46-994E304121D1}"/>
    <cellStyle name="Standard 6 2 3 11 6 2 3" xfId="15592" xr:uid="{9276F2CF-0F93-40E4-89BA-92E81E177884}"/>
    <cellStyle name="Standard 6 2 3 11 6 3" xfId="3633" xr:uid="{00000000-0005-0000-0000-0000380E0000}"/>
    <cellStyle name="Standard 6 2 3 11 6 3 2" xfId="15594" xr:uid="{DF40FDB3-9736-4CF4-A61E-DDD29488BA60}"/>
    <cellStyle name="Standard 6 2 3 11 6 4" xfId="15591" xr:uid="{8C6AB29F-59CB-4F6F-BAEB-4E7EC4D15B77}"/>
    <cellStyle name="Standard 6 2 3 11 7" xfId="3634" xr:uid="{00000000-0005-0000-0000-0000390E0000}"/>
    <cellStyle name="Standard 6 2 3 11 7 2" xfId="3635" xr:uid="{00000000-0005-0000-0000-00003A0E0000}"/>
    <cellStyle name="Standard 6 2 3 11 7 2 2" xfId="15596" xr:uid="{4F59E708-8D44-45F8-BE29-E335547AE623}"/>
    <cellStyle name="Standard 6 2 3 11 7 3" xfId="15595" xr:uid="{FC9CE5DA-1911-431E-B3E2-F83425A0580D}"/>
    <cellStyle name="Standard 6 2 3 11 8" xfId="3636" xr:uid="{00000000-0005-0000-0000-00003B0E0000}"/>
    <cellStyle name="Standard 6 2 3 11 8 2" xfId="15597" xr:uid="{E000EE76-9CCF-4D53-8C5D-00FB373F9245}"/>
    <cellStyle name="Standard 6 2 3 11 9" xfId="15574" xr:uid="{B8F20C2F-44E3-4346-AB14-FD006541DC3B}"/>
    <cellStyle name="Standard 6 2 3 12" xfId="3637" xr:uid="{00000000-0005-0000-0000-00003C0E0000}"/>
    <cellStyle name="Standard 6 2 3 12 2" xfId="3638" xr:uid="{00000000-0005-0000-0000-00003D0E0000}"/>
    <cellStyle name="Standard 6 2 3 12 2 2" xfId="3639" xr:uid="{00000000-0005-0000-0000-00003E0E0000}"/>
    <cellStyle name="Standard 6 2 3 12 2 2 2" xfId="15600" xr:uid="{4CCD95C1-B26D-4E9C-B977-3D7EB4B27BF7}"/>
    <cellStyle name="Standard 6 2 3 12 2 3" xfId="15599" xr:uid="{65D86C3E-F310-4223-A285-F0EF22A83235}"/>
    <cellStyle name="Standard 6 2 3 12 3" xfId="3640" xr:uid="{00000000-0005-0000-0000-00003F0E0000}"/>
    <cellStyle name="Standard 6 2 3 12 3 2" xfId="15601" xr:uid="{35FC3FE9-6931-4BA2-A2D3-3B47C41AE4DA}"/>
    <cellStyle name="Standard 6 2 3 12 4" xfId="15598" xr:uid="{F6D69125-4797-40DA-A2A1-51BD031C23F8}"/>
    <cellStyle name="Standard 6 2 3 13" xfId="3641" xr:uid="{00000000-0005-0000-0000-0000400E0000}"/>
    <cellStyle name="Standard 6 2 3 13 2" xfId="3642" xr:uid="{00000000-0005-0000-0000-0000410E0000}"/>
    <cellStyle name="Standard 6 2 3 13 2 2" xfId="3643" xr:uid="{00000000-0005-0000-0000-0000420E0000}"/>
    <cellStyle name="Standard 6 2 3 13 2 2 2" xfId="15604" xr:uid="{B052F09E-62FE-450E-9399-EDFDBCAAB7FD}"/>
    <cellStyle name="Standard 6 2 3 13 2 3" xfId="15603" xr:uid="{CE1C2568-7B5F-48F7-8F7C-0D8A35CF2E20}"/>
    <cellStyle name="Standard 6 2 3 13 3" xfId="3644" xr:uid="{00000000-0005-0000-0000-0000430E0000}"/>
    <cellStyle name="Standard 6 2 3 13 3 2" xfId="15605" xr:uid="{5E8BE47A-A892-4C5A-A45D-C604ECFAD71D}"/>
    <cellStyle name="Standard 6 2 3 13 4" xfId="15602" xr:uid="{CE14D3B0-BED1-4225-B0CC-1F5EB791FAE9}"/>
    <cellStyle name="Standard 6 2 3 14" xfId="3645" xr:uid="{00000000-0005-0000-0000-0000440E0000}"/>
    <cellStyle name="Standard 6 2 3 14 2" xfId="3646" xr:uid="{00000000-0005-0000-0000-0000450E0000}"/>
    <cellStyle name="Standard 6 2 3 14 2 2" xfId="3647" xr:uid="{00000000-0005-0000-0000-0000460E0000}"/>
    <cellStyle name="Standard 6 2 3 14 2 2 2" xfId="15608" xr:uid="{0338510A-50A1-4EB9-9E87-3A0EAE5D2323}"/>
    <cellStyle name="Standard 6 2 3 14 2 3" xfId="15607" xr:uid="{964BBE6B-ABDE-437D-90FB-2D0486737F14}"/>
    <cellStyle name="Standard 6 2 3 14 3" xfId="3648" xr:uid="{00000000-0005-0000-0000-0000470E0000}"/>
    <cellStyle name="Standard 6 2 3 14 3 2" xfId="15609" xr:uid="{30B95B74-DBF2-4E2F-9C58-68E5E71C2EB6}"/>
    <cellStyle name="Standard 6 2 3 14 4" xfId="15606" xr:uid="{4FA02EBC-85AB-40E2-B75B-95EDEF3894E2}"/>
    <cellStyle name="Standard 6 2 3 15" xfId="3649" xr:uid="{00000000-0005-0000-0000-0000480E0000}"/>
    <cellStyle name="Standard 6 2 3 15 2" xfId="3650" xr:uid="{00000000-0005-0000-0000-0000490E0000}"/>
    <cellStyle name="Standard 6 2 3 15 2 2" xfId="3651" xr:uid="{00000000-0005-0000-0000-00004A0E0000}"/>
    <cellStyle name="Standard 6 2 3 15 2 2 2" xfId="15612" xr:uid="{8FB2083C-03AE-40DC-9212-9362D576CBB1}"/>
    <cellStyle name="Standard 6 2 3 15 2 3" xfId="15611" xr:uid="{8AA301DA-DC20-4596-9F74-256F748AEA0D}"/>
    <cellStyle name="Standard 6 2 3 15 3" xfId="3652" xr:uid="{00000000-0005-0000-0000-00004B0E0000}"/>
    <cellStyle name="Standard 6 2 3 15 3 2" xfId="15613" xr:uid="{5F681E5A-4919-46C0-9264-596B668B7804}"/>
    <cellStyle name="Standard 6 2 3 15 4" xfId="15610" xr:uid="{358B3C04-DA3D-4196-BD56-778FC466889D}"/>
    <cellStyle name="Standard 6 2 3 16" xfId="3653" xr:uid="{00000000-0005-0000-0000-00004C0E0000}"/>
    <cellStyle name="Standard 6 2 3 16 2" xfId="3654" xr:uid="{00000000-0005-0000-0000-00004D0E0000}"/>
    <cellStyle name="Standard 6 2 3 16 2 2" xfId="3655" xr:uid="{00000000-0005-0000-0000-00004E0E0000}"/>
    <cellStyle name="Standard 6 2 3 16 2 2 2" xfId="15616" xr:uid="{D6A61DD5-314E-4C9C-B6E8-DEBF44FCCE99}"/>
    <cellStyle name="Standard 6 2 3 16 2 3" xfId="15615" xr:uid="{E941F621-5E32-4951-B77C-A3078200A059}"/>
    <cellStyle name="Standard 6 2 3 16 3" xfId="3656" xr:uid="{00000000-0005-0000-0000-00004F0E0000}"/>
    <cellStyle name="Standard 6 2 3 16 3 2" xfId="15617" xr:uid="{B1AF7560-3E96-4EB1-BED4-3BF522220530}"/>
    <cellStyle name="Standard 6 2 3 16 4" xfId="15614" xr:uid="{063DC282-3C74-4E0D-A68C-AD26B447362A}"/>
    <cellStyle name="Standard 6 2 3 17" xfId="3657" xr:uid="{00000000-0005-0000-0000-0000500E0000}"/>
    <cellStyle name="Standard 6 2 3 17 2" xfId="3658" xr:uid="{00000000-0005-0000-0000-0000510E0000}"/>
    <cellStyle name="Standard 6 2 3 17 2 2" xfId="3659" xr:uid="{00000000-0005-0000-0000-0000520E0000}"/>
    <cellStyle name="Standard 6 2 3 17 2 2 2" xfId="15620" xr:uid="{0C9DB95F-B2B3-4A7A-877C-9B3659BC4098}"/>
    <cellStyle name="Standard 6 2 3 17 2 3" xfId="15619" xr:uid="{56AB166E-5F50-4E0F-8E0F-B8E77C33D4C5}"/>
    <cellStyle name="Standard 6 2 3 17 3" xfId="3660" xr:uid="{00000000-0005-0000-0000-0000530E0000}"/>
    <cellStyle name="Standard 6 2 3 17 3 2" xfId="15621" xr:uid="{114FF597-69BF-420F-9FA6-03045CF767DD}"/>
    <cellStyle name="Standard 6 2 3 17 4" xfId="15618" xr:uid="{EE1F3C70-EE60-4053-A698-7674BBA85E10}"/>
    <cellStyle name="Standard 6 2 3 18" xfId="3661" xr:uid="{00000000-0005-0000-0000-0000540E0000}"/>
    <cellStyle name="Standard 6 2 3 18 2" xfId="3662" xr:uid="{00000000-0005-0000-0000-0000550E0000}"/>
    <cellStyle name="Standard 6 2 3 18 2 2" xfId="3663" xr:uid="{00000000-0005-0000-0000-0000560E0000}"/>
    <cellStyle name="Standard 6 2 3 18 2 2 2" xfId="15624" xr:uid="{F4FF169F-3AFE-4ED6-B53D-557C3522ED38}"/>
    <cellStyle name="Standard 6 2 3 18 2 3" xfId="15623" xr:uid="{7E2D8871-7DD8-4825-88C0-69514E89E3F4}"/>
    <cellStyle name="Standard 6 2 3 18 3" xfId="3664" xr:uid="{00000000-0005-0000-0000-0000570E0000}"/>
    <cellStyle name="Standard 6 2 3 18 3 2" xfId="15625" xr:uid="{E600A6AE-A055-4AE4-A6B2-746016FB0C5B}"/>
    <cellStyle name="Standard 6 2 3 18 4" xfId="15622" xr:uid="{015E642F-0D2A-4D25-B8D9-11B7CE47CDF2}"/>
    <cellStyle name="Standard 6 2 3 19" xfId="3665" xr:uid="{00000000-0005-0000-0000-0000580E0000}"/>
    <cellStyle name="Standard 6 2 3 19 2" xfId="3666" xr:uid="{00000000-0005-0000-0000-0000590E0000}"/>
    <cellStyle name="Standard 6 2 3 19 2 2" xfId="3667" xr:uid="{00000000-0005-0000-0000-00005A0E0000}"/>
    <cellStyle name="Standard 6 2 3 19 2 2 2" xfId="15628" xr:uid="{646B5C87-023E-4ED7-81E4-BA3F686AE86A}"/>
    <cellStyle name="Standard 6 2 3 19 2 3" xfId="15627" xr:uid="{FC7DB96B-E8A1-4FB8-9EAA-D0468D6FD5E1}"/>
    <cellStyle name="Standard 6 2 3 19 3" xfId="3668" xr:uid="{00000000-0005-0000-0000-00005B0E0000}"/>
    <cellStyle name="Standard 6 2 3 19 3 2" xfId="15629" xr:uid="{9103B694-7ABD-4A9F-AA8B-9AE2E315318B}"/>
    <cellStyle name="Standard 6 2 3 19 4" xfId="15626" xr:uid="{199F6AE1-1A11-4B20-A079-064C29706CFC}"/>
    <cellStyle name="Standard 6 2 3 2" xfId="3669" xr:uid="{00000000-0005-0000-0000-00005C0E0000}"/>
    <cellStyle name="Standard 6 2 3 2 10" xfId="3670" xr:uid="{00000000-0005-0000-0000-00005D0E0000}"/>
    <cellStyle name="Standard 6 2 3 2 10 2" xfId="3671" xr:uid="{00000000-0005-0000-0000-00005E0E0000}"/>
    <cellStyle name="Standard 6 2 3 2 10 2 2" xfId="3672" xr:uid="{00000000-0005-0000-0000-00005F0E0000}"/>
    <cellStyle name="Standard 6 2 3 2 10 2 2 2" xfId="15633" xr:uid="{741B3967-30D9-4C36-803A-D0C172F44DF6}"/>
    <cellStyle name="Standard 6 2 3 2 10 2 3" xfId="15632" xr:uid="{7AF36E37-ECE2-4E37-9F3B-DA021765B532}"/>
    <cellStyle name="Standard 6 2 3 2 10 3" xfId="3673" xr:uid="{00000000-0005-0000-0000-0000600E0000}"/>
    <cellStyle name="Standard 6 2 3 2 10 3 2" xfId="15634" xr:uid="{5691D543-8587-4506-8ACC-3F67B7F88273}"/>
    <cellStyle name="Standard 6 2 3 2 10 4" xfId="15631" xr:uid="{559CEDE7-86B8-4B2A-8A28-6D735031DA63}"/>
    <cellStyle name="Standard 6 2 3 2 11" xfId="3674" xr:uid="{00000000-0005-0000-0000-0000610E0000}"/>
    <cellStyle name="Standard 6 2 3 2 11 2" xfId="3675" xr:uid="{00000000-0005-0000-0000-0000620E0000}"/>
    <cellStyle name="Standard 6 2 3 2 11 2 2" xfId="3676" xr:uid="{00000000-0005-0000-0000-0000630E0000}"/>
    <cellStyle name="Standard 6 2 3 2 11 2 2 2" xfId="15637" xr:uid="{7B44F7CC-92C3-4EBB-AD65-69CB2443241F}"/>
    <cellStyle name="Standard 6 2 3 2 11 2 3" xfId="15636" xr:uid="{46DCA0A0-1979-4EEF-8D5C-E7E0E8FBE5B5}"/>
    <cellStyle name="Standard 6 2 3 2 11 3" xfId="3677" xr:uid="{00000000-0005-0000-0000-0000640E0000}"/>
    <cellStyle name="Standard 6 2 3 2 11 3 2" xfId="15638" xr:uid="{B9520E31-8291-4AF4-83CD-AB4CE399236C}"/>
    <cellStyle name="Standard 6 2 3 2 11 4" xfId="15635" xr:uid="{172B11F3-964E-4D1F-8924-4629BF6A68EA}"/>
    <cellStyle name="Standard 6 2 3 2 12" xfId="3678" xr:uid="{00000000-0005-0000-0000-0000650E0000}"/>
    <cellStyle name="Standard 6 2 3 2 12 2" xfId="3679" xr:uid="{00000000-0005-0000-0000-0000660E0000}"/>
    <cellStyle name="Standard 6 2 3 2 12 2 2" xfId="3680" xr:uid="{00000000-0005-0000-0000-0000670E0000}"/>
    <cellStyle name="Standard 6 2 3 2 12 2 2 2" xfId="15641" xr:uid="{933227D1-1B07-4751-B701-D2DBD9533861}"/>
    <cellStyle name="Standard 6 2 3 2 12 2 3" xfId="15640" xr:uid="{DDF8B9F0-C13C-46A5-A67F-2DC94927EB65}"/>
    <cellStyle name="Standard 6 2 3 2 12 3" xfId="3681" xr:uid="{00000000-0005-0000-0000-0000680E0000}"/>
    <cellStyle name="Standard 6 2 3 2 12 3 2" xfId="15642" xr:uid="{A882C9F8-AE01-4DE5-9FCE-6D533F8841A1}"/>
    <cellStyle name="Standard 6 2 3 2 12 4" xfId="15639" xr:uid="{FC68B4BC-61F7-445B-B303-93122C30EFA8}"/>
    <cellStyle name="Standard 6 2 3 2 13" xfId="3682" xr:uid="{00000000-0005-0000-0000-0000690E0000}"/>
    <cellStyle name="Standard 6 2 3 2 13 2" xfId="3683" xr:uid="{00000000-0005-0000-0000-00006A0E0000}"/>
    <cellStyle name="Standard 6 2 3 2 13 2 2" xfId="3684" xr:uid="{00000000-0005-0000-0000-00006B0E0000}"/>
    <cellStyle name="Standard 6 2 3 2 13 2 2 2" xfId="15645" xr:uid="{C6D6AF17-3F33-4E89-AA1A-F8EC6E22071A}"/>
    <cellStyle name="Standard 6 2 3 2 13 2 3" xfId="15644" xr:uid="{A81F2B32-2469-44AD-ABEE-374FECC7F9CB}"/>
    <cellStyle name="Standard 6 2 3 2 13 3" xfId="3685" xr:uid="{00000000-0005-0000-0000-00006C0E0000}"/>
    <cellStyle name="Standard 6 2 3 2 13 3 2" xfId="15646" xr:uid="{3810B900-2B6A-4013-A4F5-C5A5FD52BDD3}"/>
    <cellStyle name="Standard 6 2 3 2 13 4" xfId="15643" xr:uid="{CEA57A5A-9AEC-44CC-B61A-4C93B7155733}"/>
    <cellStyle name="Standard 6 2 3 2 14" xfId="3686" xr:uid="{00000000-0005-0000-0000-00006D0E0000}"/>
    <cellStyle name="Standard 6 2 3 2 14 2" xfId="3687" xr:uid="{00000000-0005-0000-0000-00006E0E0000}"/>
    <cellStyle name="Standard 6 2 3 2 14 2 2" xfId="3688" xr:uid="{00000000-0005-0000-0000-00006F0E0000}"/>
    <cellStyle name="Standard 6 2 3 2 14 2 2 2" xfId="15649" xr:uid="{387ED7D0-49A5-4064-B4BE-07E23E38A8B4}"/>
    <cellStyle name="Standard 6 2 3 2 14 2 3" xfId="15648" xr:uid="{58ECF1D0-D55A-4B85-A5C7-8FC36402640A}"/>
    <cellStyle name="Standard 6 2 3 2 14 3" xfId="3689" xr:uid="{00000000-0005-0000-0000-0000700E0000}"/>
    <cellStyle name="Standard 6 2 3 2 14 3 2" xfId="15650" xr:uid="{45D71696-472A-494E-A48A-BB890743219F}"/>
    <cellStyle name="Standard 6 2 3 2 14 4" xfId="15647" xr:uid="{19ACD907-EB0D-4BEC-AFEC-F81221353CC2}"/>
    <cellStyle name="Standard 6 2 3 2 15" xfId="3690" xr:uid="{00000000-0005-0000-0000-0000710E0000}"/>
    <cellStyle name="Standard 6 2 3 2 15 2" xfId="3691" xr:uid="{00000000-0005-0000-0000-0000720E0000}"/>
    <cellStyle name="Standard 6 2 3 2 15 2 2" xfId="3692" xr:uid="{00000000-0005-0000-0000-0000730E0000}"/>
    <cellStyle name="Standard 6 2 3 2 15 2 2 2" xfId="15653" xr:uid="{BEC560B0-C3F6-4905-8EB7-F75C5159F7D7}"/>
    <cellStyle name="Standard 6 2 3 2 15 2 3" xfId="15652" xr:uid="{52C5ABBB-5EFB-4BAF-A444-5F81485EDB3E}"/>
    <cellStyle name="Standard 6 2 3 2 15 3" xfId="3693" xr:uid="{00000000-0005-0000-0000-0000740E0000}"/>
    <cellStyle name="Standard 6 2 3 2 15 3 2" xfId="15654" xr:uid="{0D74F78D-191A-4A23-82C3-A488196094C9}"/>
    <cellStyle name="Standard 6 2 3 2 15 4" xfId="15651" xr:uid="{3551F1E8-932A-4BEA-B76A-99E61BF8C5B8}"/>
    <cellStyle name="Standard 6 2 3 2 16" xfId="3694" xr:uid="{00000000-0005-0000-0000-0000750E0000}"/>
    <cellStyle name="Standard 6 2 3 2 16 2" xfId="3695" xr:uid="{00000000-0005-0000-0000-0000760E0000}"/>
    <cellStyle name="Standard 6 2 3 2 16 2 2" xfId="3696" xr:uid="{00000000-0005-0000-0000-0000770E0000}"/>
    <cellStyle name="Standard 6 2 3 2 16 2 2 2" xfId="15657" xr:uid="{2B52145B-EC0E-49D9-9535-D875922C10B8}"/>
    <cellStyle name="Standard 6 2 3 2 16 2 3" xfId="15656" xr:uid="{8B5B9DD2-DEFD-44D0-B2ED-D3916F4A23A3}"/>
    <cellStyle name="Standard 6 2 3 2 16 3" xfId="3697" xr:uid="{00000000-0005-0000-0000-0000780E0000}"/>
    <cellStyle name="Standard 6 2 3 2 16 3 2" xfId="15658" xr:uid="{3E9FB242-1005-47D2-96DE-E243D9DE2CA8}"/>
    <cellStyle name="Standard 6 2 3 2 16 4" xfId="15655" xr:uid="{54CDDDE4-8CA7-42A2-87C0-6DD3DB81B6B5}"/>
    <cellStyle name="Standard 6 2 3 2 17" xfId="3698" xr:uid="{00000000-0005-0000-0000-0000790E0000}"/>
    <cellStyle name="Standard 6 2 3 2 17 2" xfId="3699" xr:uid="{00000000-0005-0000-0000-00007A0E0000}"/>
    <cellStyle name="Standard 6 2 3 2 17 2 2" xfId="3700" xr:uid="{00000000-0005-0000-0000-00007B0E0000}"/>
    <cellStyle name="Standard 6 2 3 2 17 2 2 2" xfId="15661" xr:uid="{7020D980-DDB1-4608-B4E2-5E3F481CFE7C}"/>
    <cellStyle name="Standard 6 2 3 2 17 2 3" xfId="15660" xr:uid="{28807AC8-45F8-421C-958E-FEDA1D33770E}"/>
    <cellStyle name="Standard 6 2 3 2 17 3" xfId="3701" xr:uid="{00000000-0005-0000-0000-00007C0E0000}"/>
    <cellStyle name="Standard 6 2 3 2 17 3 2" xfId="15662" xr:uid="{BDD12F7D-832A-4EC7-8170-B70B588BC42E}"/>
    <cellStyle name="Standard 6 2 3 2 17 4" xfId="15659" xr:uid="{C47D83F9-1D49-4D18-866D-ECFC313257FC}"/>
    <cellStyle name="Standard 6 2 3 2 18" xfId="3702" xr:uid="{00000000-0005-0000-0000-00007D0E0000}"/>
    <cellStyle name="Standard 6 2 3 2 18 2" xfId="3703" xr:uid="{00000000-0005-0000-0000-00007E0E0000}"/>
    <cellStyle name="Standard 6 2 3 2 18 2 2" xfId="3704" xr:uid="{00000000-0005-0000-0000-00007F0E0000}"/>
    <cellStyle name="Standard 6 2 3 2 18 2 2 2" xfId="15665" xr:uid="{8F09F465-8A2E-43B3-B230-BB4956F03F91}"/>
    <cellStyle name="Standard 6 2 3 2 18 2 3" xfId="15664" xr:uid="{7F9EFCFE-2D96-4B5E-B9D8-CBF75CBE58B9}"/>
    <cellStyle name="Standard 6 2 3 2 18 3" xfId="3705" xr:uid="{00000000-0005-0000-0000-0000800E0000}"/>
    <cellStyle name="Standard 6 2 3 2 18 3 2" xfId="15666" xr:uid="{15D46144-A729-47A0-B7EA-7841D088781B}"/>
    <cellStyle name="Standard 6 2 3 2 18 4" xfId="15663" xr:uid="{79D76A95-A54B-49E5-82B0-A8CFB5E7EB9E}"/>
    <cellStyle name="Standard 6 2 3 2 19" xfId="3706" xr:uid="{00000000-0005-0000-0000-0000810E0000}"/>
    <cellStyle name="Standard 6 2 3 2 19 2" xfId="3707" xr:uid="{00000000-0005-0000-0000-0000820E0000}"/>
    <cellStyle name="Standard 6 2 3 2 19 2 2" xfId="3708" xr:uid="{00000000-0005-0000-0000-0000830E0000}"/>
    <cellStyle name="Standard 6 2 3 2 19 2 2 2" xfId="15669" xr:uid="{349ADD6D-CB6C-46FD-B50A-2B367035B3F6}"/>
    <cellStyle name="Standard 6 2 3 2 19 2 3" xfId="15668" xr:uid="{0049781C-B184-4477-BA3B-D037D25A2D1E}"/>
    <cellStyle name="Standard 6 2 3 2 19 3" xfId="3709" xr:uid="{00000000-0005-0000-0000-0000840E0000}"/>
    <cellStyle name="Standard 6 2 3 2 19 3 2" xfId="15670" xr:uid="{527BD4C9-E4D0-42CE-906F-A9DA66DFA82A}"/>
    <cellStyle name="Standard 6 2 3 2 19 4" xfId="15667" xr:uid="{3ACD59D2-D047-4D6A-A573-C4F926F523C6}"/>
    <cellStyle name="Standard 6 2 3 2 2" xfId="3710" xr:uid="{00000000-0005-0000-0000-0000850E0000}"/>
    <cellStyle name="Standard 6 2 3 2 2 10" xfId="3711" xr:uid="{00000000-0005-0000-0000-0000860E0000}"/>
    <cellStyle name="Standard 6 2 3 2 2 10 2" xfId="3712" xr:uid="{00000000-0005-0000-0000-0000870E0000}"/>
    <cellStyle name="Standard 6 2 3 2 2 10 2 2" xfId="15673" xr:uid="{680AA587-BEAE-422A-B0CA-B4AFE5D9D6BA}"/>
    <cellStyle name="Standard 6 2 3 2 2 10 3" xfId="15672" xr:uid="{B077C5D4-B18F-430C-B6B6-7AC10F4161D2}"/>
    <cellStyle name="Standard 6 2 3 2 2 11" xfId="3713" xr:uid="{00000000-0005-0000-0000-0000880E0000}"/>
    <cellStyle name="Standard 6 2 3 2 2 11 2" xfId="15674" xr:uid="{2252C8BC-9186-4722-929D-CDA724CDD668}"/>
    <cellStyle name="Standard 6 2 3 2 2 12" xfId="15671" xr:uid="{FAD45831-5032-4C6E-A18F-980E356E008F}"/>
    <cellStyle name="Standard 6 2 3 2 2 2" xfId="3714" xr:uid="{00000000-0005-0000-0000-0000890E0000}"/>
    <cellStyle name="Standard 6 2 3 2 2 2 10" xfId="3715" xr:uid="{00000000-0005-0000-0000-00008A0E0000}"/>
    <cellStyle name="Standard 6 2 3 2 2 2 10 2" xfId="15676" xr:uid="{EDC115AA-B3AE-4198-953F-C5373FC1ECEA}"/>
    <cellStyle name="Standard 6 2 3 2 2 2 11" xfId="15675" xr:uid="{DFFFC324-381C-4348-BD77-4B5FA2C59C8D}"/>
    <cellStyle name="Standard 6 2 3 2 2 2 2" xfId="3716" xr:uid="{00000000-0005-0000-0000-00008B0E0000}"/>
    <cellStyle name="Standard 6 2 3 2 2 2 2 10" xfId="15677" xr:uid="{7414FD00-8CC5-4494-98EC-D5C80B0AD68B}"/>
    <cellStyle name="Standard 6 2 3 2 2 2 2 2" xfId="3717" xr:uid="{00000000-0005-0000-0000-00008C0E0000}"/>
    <cellStyle name="Standard 6 2 3 2 2 2 2 2 2" xfId="3718" xr:uid="{00000000-0005-0000-0000-00008D0E0000}"/>
    <cellStyle name="Standard 6 2 3 2 2 2 2 2 2 2" xfId="3719" xr:uid="{00000000-0005-0000-0000-00008E0E0000}"/>
    <cellStyle name="Standard 6 2 3 2 2 2 2 2 2 2 2" xfId="15680" xr:uid="{94A22473-DD37-4B92-899D-75663DBB501B}"/>
    <cellStyle name="Standard 6 2 3 2 2 2 2 2 2 3" xfId="15679" xr:uid="{31D71CAD-1C9D-4C30-A740-60DF2BA2C8E8}"/>
    <cellStyle name="Standard 6 2 3 2 2 2 2 2 3" xfId="3720" xr:uid="{00000000-0005-0000-0000-00008F0E0000}"/>
    <cellStyle name="Standard 6 2 3 2 2 2 2 2 3 2" xfId="15681" xr:uid="{68B4C6A0-DA0A-49DD-A80D-FB676BE7E6C8}"/>
    <cellStyle name="Standard 6 2 3 2 2 2 2 2 4" xfId="15678" xr:uid="{E5246E73-C084-40BD-ADC9-6F88F8AB2F9A}"/>
    <cellStyle name="Standard 6 2 3 2 2 2 2 3" xfId="3721" xr:uid="{00000000-0005-0000-0000-0000900E0000}"/>
    <cellStyle name="Standard 6 2 3 2 2 2 2 3 2" xfId="3722" xr:uid="{00000000-0005-0000-0000-0000910E0000}"/>
    <cellStyle name="Standard 6 2 3 2 2 2 2 3 2 2" xfId="3723" xr:uid="{00000000-0005-0000-0000-0000920E0000}"/>
    <cellStyle name="Standard 6 2 3 2 2 2 2 3 2 2 2" xfId="15684" xr:uid="{7ACB2679-6A0C-4CE4-8A0A-B32D7C27BE0C}"/>
    <cellStyle name="Standard 6 2 3 2 2 2 2 3 2 3" xfId="15683" xr:uid="{F982258F-A5F3-45B7-8387-2D41290DA189}"/>
    <cellStyle name="Standard 6 2 3 2 2 2 2 3 3" xfId="3724" xr:uid="{00000000-0005-0000-0000-0000930E0000}"/>
    <cellStyle name="Standard 6 2 3 2 2 2 2 3 3 2" xfId="15685" xr:uid="{2D103A99-EEBD-439F-A7C6-43875F12EB98}"/>
    <cellStyle name="Standard 6 2 3 2 2 2 2 3 4" xfId="15682" xr:uid="{63648870-E9C1-4854-812A-1C80DFD9DEF4}"/>
    <cellStyle name="Standard 6 2 3 2 2 2 2 4" xfId="3725" xr:uid="{00000000-0005-0000-0000-0000940E0000}"/>
    <cellStyle name="Standard 6 2 3 2 2 2 2 4 2" xfId="3726" xr:uid="{00000000-0005-0000-0000-0000950E0000}"/>
    <cellStyle name="Standard 6 2 3 2 2 2 2 4 2 2" xfId="3727" xr:uid="{00000000-0005-0000-0000-0000960E0000}"/>
    <cellStyle name="Standard 6 2 3 2 2 2 2 4 2 2 2" xfId="15688" xr:uid="{B4791A6A-41C3-48E3-97D3-10560E1AB529}"/>
    <cellStyle name="Standard 6 2 3 2 2 2 2 4 2 3" xfId="15687" xr:uid="{C5E3FD3B-F7AF-4364-BE7B-B4989C79B123}"/>
    <cellStyle name="Standard 6 2 3 2 2 2 2 4 3" xfId="3728" xr:uid="{00000000-0005-0000-0000-0000970E0000}"/>
    <cellStyle name="Standard 6 2 3 2 2 2 2 4 3 2" xfId="15689" xr:uid="{F577B821-A2F0-4365-917F-F49E2B2FCB10}"/>
    <cellStyle name="Standard 6 2 3 2 2 2 2 4 4" xfId="15686" xr:uid="{D2F63996-AC70-483B-9082-6394E5FACD5E}"/>
    <cellStyle name="Standard 6 2 3 2 2 2 2 5" xfId="3729" xr:uid="{00000000-0005-0000-0000-0000980E0000}"/>
    <cellStyle name="Standard 6 2 3 2 2 2 2 5 2" xfId="3730" xr:uid="{00000000-0005-0000-0000-0000990E0000}"/>
    <cellStyle name="Standard 6 2 3 2 2 2 2 5 2 2" xfId="3731" xr:uid="{00000000-0005-0000-0000-00009A0E0000}"/>
    <cellStyle name="Standard 6 2 3 2 2 2 2 5 2 2 2" xfId="15692" xr:uid="{664E3995-6F3A-4B5C-9D4E-0F484A24E96F}"/>
    <cellStyle name="Standard 6 2 3 2 2 2 2 5 2 3" xfId="15691" xr:uid="{7B4223A7-E832-4F98-B4C5-C6134024754D}"/>
    <cellStyle name="Standard 6 2 3 2 2 2 2 5 3" xfId="3732" xr:uid="{00000000-0005-0000-0000-00009B0E0000}"/>
    <cellStyle name="Standard 6 2 3 2 2 2 2 5 3 2" xfId="15693" xr:uid="{BF60C74F-6D27-4E49-A514-007E89F07A7F}"/>
    <cellStyle name="Standard 6 2 3 2 2 2 2 5 4" xfId="15690" xr:uid="{7D1C3F21-28FC-481F-8034-8C6EBFDA5E29}"/>
    <cellStyle name="Standard 6 2 3 2 2 2 2 6" xfId="3733" xr:uid="{00000000-0005-0000-0000-00009C0E0000}"/>
    <cellStyle name="Standard 6 2 3 2 2 2 2 6 2" xfId="3734" xr:uid="{00000000-0005-0000-0000-00009D0E0000}"/>
    <cellStyle name="Standard 6 2 3 2 2 2 2 6 2 2" xfId="3735" xr:uid="{00000000-0005-0000-0000-00009E0E0000}"/>
    <cellStyle name="Standard 6 2 3 2 2 2 2 6 2 2 2" xfId="15696" xr:uid="{293AD2AA-153F-4802-AE6B-18A7D83FC512}"/>
    <cellStyle name="Standard 6 2 3 2 2 2 2 6 2 3" xfId="15695" xr:uid="{C9F5298C-CD8B-488D-8B40-27F2B99B81B7}"/>
    <cellStyle name="Standard 6 2 3 2 2 2 2 6 3" xfId="3736" xr:uid="{00000000-0005-0000-0000-00009F0E0000}"/>
    <cellStyle name="Standard 6 2 3 2 2 2 2 6 3 2" xfId="15697" xr:uid="{9E19DD1D-D8D7-4544-938D-F9B45C7A9963}"/>
    <cellStyle name="Standard 6 2 3 2 2 2 2 6 4" xfId="15694" xr:uid="{2087A0F4-B9E7-4D01-BAE3-B993C89552EA}"/>
    <cellStyle name="Standard 6 2 3 2 2 2 2 7" xfId="3737" xr:uid="{00000000-0005-0000-0000-0000A00E0000}"/>
    <cellStyle name="Standard 6 2 3 2 2 2 2 7 2" xfId="3738" xr:uid="{00000000-0005-0000-0000-0000A10E0000}"/>
    <cellStyle name="Standard 6 2 3 2 2 2 2 7 2 2" xfId="3739" xr:uid="{00000000-0005-0000-0000-0000A20E0000}"/>
    <cellStyle name="Standard 6 2 3 2 2 2 2 7 2 2 2" xfId="15700" xr:uid="{FCE970DE-FF85-4602-AAE9-A1D92814FACA}"/>
    <cellStyle name="Standard 6 2 3 2 2 2 2 7 2 3" xfId="15699" xr:uid="{D95778B3-4BDB-44A2-8D41-7682730F53EA}"/>
    <cellStyle name="Standard 6 2 3 2 2 2 2 7 3" xfId="3740" xr:uid="{00000000-0005-0000-0000-0000A30E0000}"/>
    <cellStyle name="Standard 6 2 3 2 2 2 2 7 3 2" xfId="15701" xr:uid="{0D813A6B-F545-461C-9C3A-794D0986476F}"/>
    <cellStyle name="Standard 6 2 3 2 2 2 2 7 4" xfId="15698" xr:uid="{C2364F67-ECF8-4EAB-BC73-2A13F93FA225}"/>
    <cellStyle name="Standard 6 2 3 2 2 2 2 8" xfId="3741" xr:uid="{00000000-0005-0000-0000-0000A40E0000}"/>
    <cellStyle name="Standard 6 2 3 2 2 2 2 8 2" xfId="3742" xr:uid="{00000000-0005-0000-0000-0000A50E0000}"/>
    <cellStyle name="Standard 6 2 3 2 2 2 2 8 2 2" xfId="15703" xr:uid="{469660D1-5893-4367-A800-A9DC8900830B}"/>
    <cellStyle name="Standard 6 2 3 2 2 2 2 8 3" xfId="15702" xr:uid="{010FE849-B3D4-465C-93A0-3B88CEC97253}"/>
    <cellStyle name="Standard 6 2 3 2 2 2 2 9" xfId="3743" xr:uid="{00000000-0005-0000-0000-0000A60E0000}"/>
    <cellStyle name="Standard 6 2 3 2 2 2 2 9 2" xfId="15704" xr:uid="{58AAF54F-CE78-4C83-BD30-F28C38690B9E}"/>
    <cellStyle name="Standard 6 2 3 2 2 2 3" xfId="3744" xr:uid="{00000000-0005-0000-0000-0000A70E0000}"/>
    <cellStyle name="Standard 6 2 3 2 2 2 3 2" xfId="3745" xr:uid="{00000000-0005-0000-0000-0000A80E0000}"/>
    <cellStyle name="Standard 6 2 3 2 2 2 3 2 2" xfId="3746" xr:uid="{00000000-0005-0000-0000-0000A90E0000}"/>
    <cellStyle name="Standard 6 2 3 2 2 2 3 2 2 2" xfId="15707" xr:uid="{A7BCFC2F-AA01-4FDA-BC9D-337EFFD1C078}"/>
    <cellStyle name="Standard 6 2 3 2 2 2 3 2 3" xfId="15706" xr:uid="{150D24CE-14D5-4794-AD76-EFA5AC43D881}"/>
    <cellStyle name="Standard 6 2 3 2 2 2 3 3" xfId="3747" xr:uid="{00000000-0005-0000-0000-0000AA0E0000}"/>
    <cellStyle name="Standard 6 2 3 2 2 2 3 3 2" xfId="15708" xr:uid="{9D3D954A-BF36-45D2-AEAB-AA59A9726006}"/>
    <cellStyle name="Standard 6 2 3 2 2 2 3 4" xfId="15705" xr:uid="{4A562C50-8577-4FDC-8B37-1E6D97DFF2A7}"/>
    <cellStyle name="Standard 6 2 3 2 2 2 4" xfId="3748" xr:uid="{00000000-0005-0000-0000-0000AB0E0000}"/>
    <cellStyle name="Standard 6 2 3 2 2 2 4 2" xfId="3749" xr:uid="{00000000-0005-0000-0000-0000AC0E0000}"/>
    <cellStyle name="Standard 6 2 3 2 2 2 4 2 2" xfId="3750" xr:uid="{00000000-0005-0000-0000-0000AD0E0000}"/>
    <cellStyle name="Standard 6 2 3 2 2 2 4 2 2 2" xfId="15711" xr:uid="{904C01A3-9954-4797-B017-758470143943}"/>
    <cellStyle name="Standard 6 2 3 2 2 2 4 2 3" xfId="15710" xr:uid="{31D45AE4-D609-4473-85D6-082E75D14A22}"/>
    <cellStyle name="Standard 6 2 3 2 2 2 4 3" xfId="3751" xr:uid="{00000000-0005-0000-0000-0000AE0E0000}"/>
    <cellStyle name="Standard 6 2 3 2 2 2 4 3 2" xfId="15712" xr:uid="{B6A71F99-AE71-4D7C-AAF0-34704AFCEF42}"/>
    <cellStyle name="Standard 6 2 3 2 2 2 4 4" xfId="15709" xr:uid="{A7673965-46F7-4F8A-9480-F07CAC8BEA5F}"/>
    <cellStyle name="Standard 6 2 3 2 2 2 5" xfId="3752" xr:uid="{00000000-0005-0000-0000-0000AF0E0000}"/>
    <cellStyle name="Standard 6 2 3 2 2 2 5 2" xfId="3753" xr:uid="{00000000-0005-0000-0000-0000B00E0000}"/>
    <cellStyle name="Standard 6 2 3 2 2 2 5 2 2" xfId="3754" xr:uid="{00000000-0005-0000-0000-0000B10E0000}"/>
    <cellStyle name="Standard 6 2 3 2 2 2 5 2 2 2" xfId="15715" xr:uid="{E9F6B046-642C-4C84-94D6-6FC591F2D0C7}"/>
    <cellStyle name="Standard 6 2 3 2 2 2 5 2 3" xfId="15714" xr:uid="{5903ADF4-8C8B-4FE1-A9CD-2F9AB1257904}"/>
    <cellStyle name="Standard 6 2 3 2 2 2 5 3" xfId="3755" xr:uid="{00000000-0005-0000-0000-0000B20E0000}"/>
    <cellStyle name="Standard 6 2 3 2 2 2 5 3 2" xfId="15716" xr:uid="{BB580B2F-E21D-44F0-89D8-775B2C707A41}"/>
    <cellStyle name="Standard 6 2 3 2 2 2 5 4" xfId="15713" xr:uid="{2D3EA45B-FD76-45C9-B159-AF77EB486271}"/>
    <cellStyle name="Standard 6 2 3 2 2 2 6" xfId="3756" xr:uid="{00000000-0005-0000-0000-0000B30E0000}"/>
    <cellStyle name="Standard 6 2 3 2 2 2 6 2" xfId="3757" xr:uid="{00000000-0005-0000-0000-0000B40E0000}"/>
    <cellStyle name="Standard 6 2 3 2 2 2 6 2 2" xfId="3758" xr:uid="{00000000-0005-0000-0000-0000B50E0000}"/>
    <cellStyle name="Standard 6 2 3 2 2 2 6 2 2 2" xfId="15719" xr:uid="{5DF6EBC5-F1CB-416D-9D8D-B6E8D0C8A4AE}"/>
    <cellStyle name="Standard 6 2 3 2 2 2 6 2 3" xfId="15718" xr:uid="{9E1CFF79-7A4F-4394-A622-7F15DD1DA637}"/>
    <cellStyle name="Standard 6 2 3 2 2 2 6 3" xfId="3759" xr:uid="{00000000-0005-0000-0000-0000B60E0000}"/>
    <cellStyle name="Standard 6 2 3 2 2 2 6 3 2" xfId="15720" xr:uid="{DEF7B42B-268B-44AA-AA1F-FF06A23917EA}"/>
    <cellStyle name="Standard 6 2 3 2 2 2 6 4" xfId="15717" xr:uid="{58C83140-7FB0-4391-B48B-27F0CCE64963}"/>
    <cellStyle name="Standard 6 2 3 2 2 2 7" xfId="3760" xr:uid="{00000000-0005-0000-0000-0000B70E0000}"/>
    <cellStyle name="Standard 6 2 3 2 2 2 7 2" xfId="3761" xr:uid="{00000000-0005-0000-0000-0000B80E0000}"/>
    <cellStyle name="Standard 6 2 3 2 2 2 7 2 2" xfId="3762" xr:uid="{00000000-0005-0000-0000-0000B90E0000}"/>
    <cellStyle name="Standard 6 2 3 2 2 2 7 2 2 2" xfId="15723" xr:uid="{F5D8D6F0-05FB-4D84-BCCF-8B430F1200CF}"/>
    <cellStyle name="Standard 6 2 3 2 2 2 7 2 3" xfId="15722" xr:uid="{AE1BAC11-E641-4881-B75A-CCD618EFED13}"/>
    <cellStyle name="Standard 6 2 3 2 2 2 7 3" xfId="3763" xr:uid="{00000000-0005-0000-0000-0000BA0E0000}"/>
    <cellStyle name="Standard 6 2 3 2 2 2 7 3 2" xfId="15724" xr:uid="{62B4AA93-E426-4643-9111-2DBD650DD03A}"/>
    <cellStyle name="Standard 6 2 3 2 2 2 7 4" xfId="15721" xr:uid="{630A56E1-93EF-490E-BB12-9533E7AA1300}"/>
    <cellStyle name="Standard 6 2 3 2 2 2 8" xfId="3764" xr:uid="{00000000-0005-0000-0000-0000BB0E0000}"/>
    <cellStyle name="Standard 6 2 3 2 2 2 8 2" xfId="3765" xr:uid="{00000000-0005-0000-0000-0000BC0E0000}"/>
    <cellStyle name="Standard 6 2 3 2 2 2 8 2 2" xfId="3766" xr:uid="{00000000-0005-0000-0000-0000BD0E0000}"/>
    <cellStyle name="Standard 6 2 3 2 2 2 8 2 2 2" xfId="15727" xr:uid="{7602FD4E-CA05-47B4-85E3-A8DF794CBADF}"/>
    <cellStyle name="Standard 6 2 3 2 2 2 8 2 3" xfId="15726" xr:uid="{F20D3A52-9EEB-446F-9055-6B6DB82AE40B}"/>
    <cellStyle name="Standard 6 2 3 2 2 2 8 3" xfId="3767" xr:uid="{00000000-0005-0000-0000-0000BE0E0000}"/>
    <cellStyle name="Standard 6 2 3 2 2 2 8 3 2" xfId="15728" xr:uid="{730AE2E5-37BE-4050-88DE-C9DAF6ACF11B}"/>
    <cellStyle name="Standard 6 2 3 2 2 2 8 4" xfId="15725" xr:uid="{ABB717A4-8EBB-4B82-9746-84CF6772C2EC}"/>
    <cellStyle name="Standard 6 2 3 2 2 2 9" xfId="3768" xr:uid="{00000000-0005-0000-0000-0000BF0E0000}"/>
    <cellStyle name="Standard 6 2 3 2 2 2 9 2" xfId="3769" xr:uid="{00000000-0005-0000-0000-0000C00E0000}"/>
    <cellStyle name="Standard 6 2 3 2 2 2 9 2 2" xfId="15730" xr:uid="{0A2E1267-4D80-45F5-B637-FFE295389103}"/>
    <cellStyle name="Standard 6 2 3 2 2 2 9 3" xfId="15729" xr:uid="{B2E4BE00-0B67-476F-BD2C-5C419914C992}"/>
    <cellStyle name="Standard 6 2 3 2 2 3" xfId="3770" xr:uid="{00000000-0005-0000-0000-0000C10E0000}"/>
    <cellStyle name="Standard 6 2 3 2 2 3 10" xfId="15731" xr:uid="{111CAA3D-3860-4FD5-BCDE-55C64047781F}"/>
    <cellStyle name="Standard 6 2 3 2 2 3 2" xfId="3771" xr:uid="{00000000-0005-0000-0000-0000C20E0000}"/>
    <cellStyle name="Standard 6 2 3 2 2 3 2 2" xfId="3772" xr:uid="{00000000-0005-0000-0000-0000C30E0000}"/>
    <cellStyle name="Standard 6 2 3 2 2 3 2 2 2" xfId="3773" xr:uid="{00000000-0005-0000-0000-0000C40E0000}"/>
    <cellStyle name="Standard 6 2 3 2 2 3 2 2 2 2" xfId="15734" xr:uid="{22D1B69B-2BD8-4C2E-94DA-6B8C3685F0C7}"/>
    <cellStyle name="Standard 6 2 3 2 2 3 2 2 3" xfId="15733" xr:uid="{166B6347-D121-4ED1-AFDB-8D4FE474F45A}"/>
    <cellStyle name="Standard 6 2 3 2 2 3 2 3" xfId="3774" xr:uid="{00000000-0005-0000-0000-0000C50E0000}"/>
    <cellStyle name="Standard 6 2 3 2 2 3 2 3 2" xfId="15735" xr:uid="{C78E9D43-B06B-4027-AD83-A5D09E2412F1}"/>
    <cellStyle name="Standard 6 2 3 2 2 3 2 4" xfId="15732" xr:uid="{38127552-3AD8-456C-8CCE-56212BB7428D}"/>
    <cellStyle name="Standard 6 2 3 2 2 3 3" xfId="3775" xr:uid="{00000000-0005-0000-0000-0000C60E0000}"/>
    <cellStyle name="Standard 6 2 3 2 2 3 3 2" xfId="3776" xr:uid="{00000000-0005-0000-0000-0000C70E0000}"/>
    <cellStyle name="Standard 6 2 3 2 2 3 3 2 2" xfId="3777" xr:uid="{00000000-0005-0000-0000-0000C80E0000}"/>
    <cellStyle name="Standard 6 2 3 2 2 3 3 2 2 2" xfId="15738" xr:uid="{30C7C904-D56D-4535-ABE8-4027DF1A8E3B}"/>
    <cellStyle name="Standard 6 2 3 2 2 3 3 2 3" xfId="15737" xr:uid="{D81D470F-FBAA-4310-8283-BB531B97F880}"/>
    <cellStyle name="Standard 6 2 3 2 2 3 3 3" xfId="3778" xr:uid="{00000000-0005-0000-0000-0000C90E0000}"/>
    <cellStyle name="Standard 6 2 3 2 2 3 3 3 2" xfId="15739" xr:uid="{E2D6CCEF-1D64-4782-912F-117056131F69}"/>
    <cellStyle name="Standard 6 2 3 2 2 3 3 4" xfId="15736" xr:uid="{773054CC-1EBA-4698-8BA1-BE348F9DC8E0}"/>
    <cellStyle name="Standard 6 2 3 2 2 3 4" xfId="3779" xr:uid="{00000000-0005-0000-0000-0000CA0E0000}"/>
    <cellStyle name="Standard 6 2 3 2 2 3 4 2" xfId="3780" xr:uid="{00000000-0005-0000-0000-0000CB0E0000}"/>
    <cellStyle name="Standard 6 2 3 2 2 3 4 2 2" xfId="3781" xr:uid="{00000000-0005-0000-0000-0000CC0E0000}"/>
    <cellStyle name="Standard 6 2 3 2 2 3 4 2 2 2" xfId="15742" xr:uid="{4AD90D10-1EB7-4200-9B11-47EE319D4050}"/>
    <cellStyle name="Standard 6 2 3 2 2 3 4 2 3" xfId="15741" xr:uid="{798642DB-2DC4-4A52-A08D-239F5E519E35}"/>
    <cellStyle name="Standard 6 2 3 2 2 3 4 3" xfId="3782" xr:uid="{00000000-0005-0000-0000-0000CD0E0000}"/>
    <cellStyle name="Standard 6 2 3 2 2 3 4 3 2" xfId="15743" xr:uid="{698C8127-7EA7-47B2-850F-D2BF9AF24B08}"/>
    <cellStyle name="Standard 6 2 3 2 2 3 4 4" xfId="15740" xr:uid="{86A04F43-F7A5-469C-9FFF-5372998BD2C8}"/>
    <cellStyle name="Standard 6 2 3 2 2 3 5" xfId="3783" xr:uid="{00000000-0005-0000-0000-0000CE0E0000}"/>
    <cellStyle name="Standard 6 2 3 2 2 3 5 2" xfId="3784" xr:uid="{00000000-0005-0000-0000-0000CF0E0000}"/>
    <cellStyle name="Standard 6 2 3 2 2 3 5 2 2" xfId="3785" xr:uid="{00000000-0005-0000-0000-0000D00E0000}"/>
    <cellStyle name="Standard 6 2 3 2 2 3 5 2 2 2" xfId="15746" xr:uid="{BE2222AD-6FA3-4C55-84F8-D35D8AB3E1FF}"/>
    <cellStyle name="Standard 6 2 3 2 2 3 5 2 3" xfId="15745" xr:uid="{ED98ED13-B260-45B2-8B41-2FDDDB10A134}"/>
    <cellStyle name="Standard 6 2 3 2 2 3 5 3" xfId="3786" xr:uid="{00000000-0005-0000-0000-0000D10E0000}"/>
    <cellStyle name="Standard 6 2 3 2 2 3 5 3 2" xfId="15747" xr:uid="{8B376D0C-7021-481E-9C67-4FD18942BBD8}"/>
    <cellStyle name="Standard 6 2 3 2 2 3 5 4" xfId="15744" xr:uid="{C68C8CD8-FA36-44F0-A767-D492DE1C930B}"/>
    <cellStyle name="Standard 6 2 3 2 2 3 6" xfId="3787" xr:uid="{00000000-0005-0000-0000-0000D20E0000}"/>
    <cellStyle name="Standard 6 2 3 2 2 3 6 2" xfId="3788" xr:uid="{00000000-0005-0000-0000-0000D30E0000}"/>
    <cellStyle name="Standard 6 2 3 2 2 3 6 2 2" xfId="3789" xr:uid="{00000000-0005-0000-0000-0000D40E0000}"/>
    <cellStyle name="Standard 6 2 3 2 2 3 6 2 2 2" xfId="15750" xr:uid="{AB090B0F-5F0C-4354-A7BA-5164D1B1223B}"/>
    <cellStyle name="Standard 6 2 3 2 2 3 6 2 3" xfId="15749" xr:uid="{9C10DC8A-BAFF-4FF7-A51D-F996C93D965F}"/>
    <cellStyle name="Standard 6 2 3 2 2 3 6 3" xfId="3790" xr:uid="{00000000-0005-0000-0000-0000D50E0000}"/>
    <cellStyle name="Standard 6 2 3 2 2 3 6 3 2" xfId="15751" xr:uid="{D405FB2F-574B-4F1D-82F2-2D74EF9AA4B7}"/>
    <cellStyle name="Standard 6 2 3 2 2 3 6 4" xfId="15748" xr:uid="{578F20DE-3CC8-4813-8B93-2889B2E5F14C}"/>
    <cellStyle name="Standard 6 2 3 2 2 3 7" xfId="3791" xr:uid="{00000000-0005-0000-0000-0000D60E0000}"/>
    <cellStyle name="Standard 6 2 3 2 2 3 7 2" xfId="3792" xr:uid="{00000000-0005-0000-0000-0000D70E0000}"/>
    <cellStyle name="Standard 6 2 3 2 2 3 7 2 2" xfId="3793" xr:uid="{00000000-0005-0000-0000-0000D80E0000}"/>
    <cellStyle name="Standard 6 2 3 2 2 3 7 2 2 2" xfId="15754" xr:uid="{3AE3EE81-DA69-4526-BE8D-228FC12E4711}"/>
    <cellStyle name="Standard 6 2 3 2 2 3 7 2 3" xfId="15753" xr:uid="{8FE2C78B-D63E-4333-A270-2FE80BE27028}"/>
    <cellStyle name="Standard 6 2 3 2 2 3 7 3" xfId="3794" xr:uid="{00000000-0005-0000-0000-0000D90E0000}"/>
    <cellStyle name="Standard 6 2 3 2 2 3 7 3 2" xfId="15755" xr:uid="{3893501C-5CFE-4AC3-8475-196DBBD114E5}"/>
    <cellStyle name="Standard 6 2 3 2 2 3 7 4" xfId="15752" xr:uid="{9C995112-4572-4EE9-B5B1-F34BFDA703F5}"/>
    <cellStyle name="Standard 6 2 3 2 2 3 8" xfId="3795" xr:uid="{00000000-0005-0000-0000-0000DA0E0000}"/>
    <cellStyle name="Standard 6 2 3 2 2 3 8 2" xfId="3796" xr:uid="{00000000-0005-0000-0000-0000DB0E0000}"/>
    <cellStyle name="Standard 6 2 3 2 2 3 8 2 2" xfId="15757" xr:uid="{29EB00DC-1F46-4431-8B61-E9AD5B873763}"/>
    <cellStyle name="Standard 6 2 3 2 2 3 8 3" xfId="15756" xr:uid="{FD1A3DB4-50AA-4000-BE16-D5CF63F355CA}"/>
    <cellStyle name="Standard 6 2 3 2 2 3 9" xfId="3797" xr:uid="{00000000-0005-0000-0000-0000DC0E0000}"/>
    <cellStyle name="Standard 6 2 3 2 2 3 9 2" xfId="15758" xr:uid="{0F6890F5-40DB-44E5-B210-9741DD394F9C}"/>
    <cellStyle name="Standard 6 2 3 2 2 4" xfId="3798" xr:uid="{00000000-0005-0000-0000-0000DD0E0000}"/>
    <cellStyle name="Standard 6 2 3 2 2 4 2" xfId="3799" xr:uid="{00000000-0005-0000-0000-0000DE0E0000}"/>
    <cellStyle name="Standard 6 2 3 2 2 4 2 2" xfId="3800" xr:uid="{00000000-0005-0000-0000-0000DF0E0000}"/>
    <cellStyle name="Standard 6 2 3 2 2 4 2 2 2" xfId="15761" xr:uid="{2F01AA71-5B79-49F5-A794-A0D8D15442CE}"/>
    <cellStyle name="Standard 6 2 3 2 2 4 2 3" xfId="15760" xr:uid="{CD0F251A-ABB5-4E6F-B74F-09F3B95239F8}"/>
    <cellStyle name="Standard 6 2 3 2 2 4 3" xfId="3801" xr:uid="{00000000-0005-0000-0000-0000E00E0000}"/>
    <cellStyle name="Standard 6 2 3 2 2 4 3 2" xfId="15762" xr:uid="{2B7E3F08-9B16-4F72-89F2-B3C395E06D23}"/>
    <cellStyle name="Standard 6 2 3 2 2 4 4" xfId="15759" xr:uid="{FD5A2A57-4737-470B-B9FD-394846A4825B}"/>
    <cellStyle name="Standard 6 2 3 2 2 5" xfId="3802" xr:uid="{00000000-0005-0000-0000-0000E10E0000}"/>
    <cellStyle name="Standard 6 2 3 2 2 5 2" xfId="3803" xr:uid="{00000000-0005-0000-0000-0000E20E0000}"/>
    <cellStyle name="Standard 6 2 3 2 2 5 2 2" xfId="3804" xr:uid="{00000000-0005-0000-0000-0000E30E0000}"/>
    <cellStyle name="Standard 6 2 3 2 2 5 2 2 2" xfId="15765" xr:uid="{36BDD058-F612-42DD-8DC9-F9CAF3DFB62E}"/>
    <cellStyle name="Standard 6 2 3 2 2 5 2 3" xfId="15764" xr:uid="{495D58B9-E11B-46EF-9169-EFCA70F7A62D}"/>
    <cellStyle name="Standard 6 2 3 2 2 5 3" xfId="3805" xr:uid="{00000000-0005-0000-0000-0000E40E0000}"/>
    <cellStyle name="Standard 6 2 3 2 2 5 3 2" xfId="15766" xr:uid="{777E060F-C7EC-45F1-84BE-25F0F02A44A2}"/>
    <cellStyle name="Standard 6 2 3 2 2 5 4" xfId="15763" xr:uid="{237A716F-1B4E-4FE7-8DCC-54C0D07BE46A}"/>
    <cellStyle name="Standard 6 2 3 2 2 6" xfId="3806" xr:uid="{00000000-0005-0000-0000-0000E50E0000}"/>
    <cellStyle name="Standard 6 2 3 2 2 6 2" xfId="3807" xr:uid="{00000000-0005-0000-0000-0000E60E0000}"/>
    <cellStyle name="Standard 6 2 3 2 2 6 2 2" xfId="3808" xr:uid="{00000000-0005-0000-0000-0000E70E0000}"/>
    <cellStyle name="Standard 6 2 3 2 2 6 2 2 2" xfId="15769" xr:uid="{AE448001-6028-4159-968E-57D5A0B1272C}"/>
    <cellStyle name="Standard 6 2 3 2 2 6 2 3" xfId="15768" xr:uid="{A63CB9B2-8FBA-43FC-9D5A-F2A35E09D272}"/>
    <cellStyle name="Standard 6 2 3 2 2 6 3" xfId="3809" xr:uid="{00000000-0005-0000-0000-0000E80E0000}"/>
    <cellStyle name="Standard 6 2 3 2 2 6 3 2" xfId="15770" xr:uid="{BB1FA6C0-1F1B-4F87-B603-32B7B268A44A}"/>
    <cellStyle name="Standard 6 2 3 2 2 6 4" xfId="15767" xr:uid="{AFDC182C-8540-4A48-AE34-EF85553848C5}"/>
    <cellStyle name="Standard 6 2 3 2 2 7" xfId="3810" xr:uid="{00000000-0005-0000-0000-0000E90E0000}"/>
    <cellStyle name="Standard 6 2 3 2 2 7 2" xfId="3811" xr:uid="{00000000-0005-0000-0000-0000EA0E0000}"/>
    <cellStyle name="Standard 6 2 3 2 2 7 2 2" xfId="3812" xr:uid="{00000000-0005-0000-0000-0000EB0E0000}"/>
    <cellStyle name="Standard 6 2 3 2 2 7 2 2 2" xfId="15773" xr:uid="{D3588816-9380-44EB-A10B-AEFF7F7759D1}"/>
    <cellStyle name="Standard 6 2 3 2 2 7 2 3" xfId="15772" xr:uid="{6F8AF549-B326-4DB4-A7DF-BD7C6E98EDA9}"/>
    <cellStyle name="Standard 6 2 3 2 2 7 3" xfId="3813" xr:uid="{00000000-0005-0000-0000-0000EC0E0000}"/>
    <cellStyle name="Standard 6 2 3 2 2 7 3 2" xfId="15774" xr:uid="{44E5A841-4781-489F-8086-8F405DE36BEE}"/>
    <cellStyle name="Standard 6 2 3 2 2 7 4" xfId="15771" xr:uid="{00771F55-1744-4A84-9A19-8014B643D1ED}"/>
    <cellStyle name="Standard 6 2 3 2 2 8" xfId="3814" xr:uid="{00000000-0005-0000-0000-0000ED0E0000}"/>
    <cellStyle name="Standard 6 2 3 2 2 8 2" xfId="3815" xr:uid="{00000000-0005-0000-0000-0000EE0E0000}"/>
    <cellStyle name="Standard 6 2 3 2 2 8 2 2" xfId="3816" xr:uid="{00000000-0005-0000-0000-0000EF0E0000}"/>
    <cellStyle name="Standard 6 2 3 2 2 8 2 2 2" xfId="15777" xr:uid="{506717AF-49DC-476D-86C9-53DE8A8846F5}"/>
    <cellStyle name="Standard 6 2 3 2 2 8 2 3" xfId="15776" xr:uid="{6894B931-4B25-45C9-B7D6-C1EC335FF8ED}"/>
    <cellStyle name="Standard 6 2 3 2 2 8 3" xfId="3817" xr:uid="{00000000-0005-0000-0000-0000F00E0000}"/>
    <cellStyle name="Standard 6 2 3 2 2 8 3 2" xfId="15778" xr:uid="{9891DE47-9583-4532-8DEA-E388C3F75905}"/>
    <cellStyle name="Standard 6 2 3 2 2 8 4" xfId="15775" xr:uid="{48F4F6DD-A92E-4F28-86C6-DBE1BC7032AB}"/>
    <cellStyle name="Standard 6 2 3 2 2 9" xfId="3818" xr:uid="{00000000-0005-0000-0000-0000F10E0000}"/>
    <cellStyle name="Standard 6 2 3 2 2 9 2" xfId="3819" xr:uid="{00000000-0005-0000-0000-0000F20E0000}"/>
    <cellStyle name="Standard 6 2 3 2 2 9 2 2" xfId="3820" xr:uid="{00000000-0005-0000-0000-0000F30E0000}"/>
    <cellStyle name="Standard 6 2 3 2 2 9 2 2 2" xfId="15781" xr:uid="{419837CC-98D5-4A1A-A9B9-797FDA4A333D}"/>
    <cellStyle name="Standard 6 2 3 2 2 9 2 3" xfId="15780" xr:uid="{5E934BDF-4788-44FD-BB94-410CE613DFB4}"/>
    <cellStyle name="Standard 6 2 3 2 2 9 3" xfId="3821" xr:uid="{00000000-0005-0000-0000-0000F40E0000}"/>
    <cellStyle name="Standard 6 2 3 2 2 9 3 2" xfId="15782" xr:uid="{25377938-FECD-4ACB-90BD-6CD6C3B21D5D}"/>
    <cellStyle name="Standard 6 2 3 2 2 9 4" xfId="15779" xr:uid="{6DEE6021-AFD8-4477-B41F-EAAB21F0F720}"/>
    <cellStyle name="Standard 6 2 3 2 20" xfId="3822" xr:uid="{00000000-0005-0000-0000-0000F50E0000}"/>
    <cellStyle name="Standard 6 2 3 2 20 2" xfId="3823" xr:uid="{00000000-0005-0000-0000-0000F60E0000}"/>
    <cellStyle name="Standard 6 2 3 2 20 2 2" xfId="15784" xr:uid="{7B9E7105-FD56-4DDE-BA37-552BB5F30AA7}"/>
    <cellStyle name="Standard 6 2 3 2 20 3" xfId="15783" xr:uid="{49630199-E847-40BD-93BE-21D9B2F8DFB0}"/>
    <cellStyle name="Standard 6 2 3 2 21" xfId="3824" xr:uid="{00000000-0005-0000-0000-0000F70E0000}"/>
    <cellStyle name="Standard 6 2 3 2 21 2" xfId="15785" xr:uid="{9F71AD17-9A34-4B98-93AA-D802BCA9E7DD}"/>
    <cellStyle name="Standard 6 2 3 2 22" xfId="3825" xr:uid="{00000000-0005-0000-0000-0000F80E0000}"/>
    <cellStyle name="Standard 6 2 3 2 22 2" xfId="15786" xr:uid="{5CA23D40-114C-450C-9068-D0D41AE1EB15}"/>
    <cellStyle name="Standard 6 2 3 2 23" xfId="15630" xr:uid="{443716D5-ECC3-4B7E-94C0-3455A79900F1}"/>
    <cellStyle name="Standard 6 2 3 2 3" xfId="3826" xr:uid="{00000000-0005-0000-0000-0000F90E0000}"/>
    <cellStyle name="Standard 6 2 3 2 3 10" xfId="3827" xr:uid="{00000000-0005-0000-0000-0000FA0E0000}"/>
    <cellStyle name="Standard 6 2 3 2 3 10 2" xfId="15788" xr:uid="{AA5A7A28-8CC2-4E4D-A40F-FFA59727FF32}"/>
    <cellStyle name="Standard 6 2 3 2 3 11" xfId="15787" xr:uid="{63E77505-6259-4AA6-8C72-5991C1E76BC4}"/>
    <cellStyle name="Standard 6 2 3 2 3 2" xfId="3828" xr:uid="{00000000-0005-0000-0000-0000FB0E0000}"/>
    <cellStyle name="Standard 6 2 3 2 3 2 10" xfId="15789" xr:uid="{BC0EB084-2951-40AE-9327-5766F7413119}"/>
    <cellStyle name="Standard 6 2 3 2 3 2 2" xfId="3829" xr:uid="{00000000-0005-0000-0000-0000FC0E0000}"/>
    <cellStyle name="Standard 6 2 3 2 3 2 2 2" xfId="3830" xr:uid="{00000000-0005-0000-0000-0000FD0E0000}"/>
    <cellStyle name="Standard 6 2 3 2 3 2 2 2 2" xfId="3831" xr:uid="{00000000-0005-0000-0000-0000FE0E0000}"/>
    <cellStyle name="Standard 6 2 3 2 3 2 2 2 2 2" xfId="15792" xr:uid="{6E81D96A-9BA7-42A4-BB35-4D12AB1C25E2}"/>
    <cellStyle name="Standard 6 2 3 2 3 2 2 2 3" xfId="15791" xr:uid="{BF123FB5-0B66-4BEC-98B8-57CFA749D01F}"/>
    <cellStyle name="Standard 6 2 3 2 3 2 2 3" xfId="3832" xr:uid="{00000000-0005-0000-0000-0000FF0E0000}"/>
    <cellStyle name="Standard 6 2 3 2 3 2 2 3 2" xfId="15793" xr:uid="{FEA62B48-17C8-4B98-BE83-D8D477B03BF3}"/>
    <cellStyle name="Standard 6 2 3 2 3 2 2 4" xfId="15790" xr:uid="{6ECA1DD1-7995-4262-B9DE-0348E60802AD}"/>
    <cellStyle name="Standard 6 2 3 2 3 2 3" xfId="3833" xr:uid="{00000000-0005-0000-0000-0000000F0000}"/>
    <cellStyle name="Standard 6 2 3 2 3 2 3 2" xfId="3834" xr:uid="{00000000-0005-0000-0000-0000010F0000}"/>
    <cellStyle name="Standard 6 2 3 2 3 2 3 2 2" xfId="3835" xr:uid="{00000000-0005-0000-0000-0000020F0000}"/>
    <cellStyle name="Standard 6 2 3 2 3 2 3 2 2 2" xfId="15796" xr:uid="{2591FAE7-C244-4D09-94EB-12CEE0399FB2}"/>
    <cellStyle name="Standard 6 2 3 2 3 2 3 2 3" xfId="15795" xr:uid="{CEEBCDF6-F8E5-45B0-B676-F2671F081807}"/>
    <cellStyle name="Standard 6 2 3 2 3 2 3 3" xfId="3836" xr:uid="{00000000-0005-0000-0000-0000030F0000}"/>
    <cellStyle name="Standard 6 2 3 2 3 2 3 3 2" xfId="15797" xr:uid="{ED7D0AB1-9308-4ABF-84C2-7A97E6FDA813}"/>
    <cellStyle name="Standard 6 2 3 2 3 2 3 4" xfId="15794" xr:uid="{3659C4AB-BB03-49B4-87FE-17347D60D9BB}"/>
    <cellStyle name="Standard 6 2 3 2 3 2 4" xfId="3837" xr:uid="{00000000-0005-0000-0000-0000040F0000}"/>
    <cellStyle name="Standard 6 2 3 2 3 2 4 2" xfId="3838" xr:uid="{00000000-0005-0000-0000-0000050F0000}"/>
    <cellStyle name="Standard 6 2 3 2 3 2 4 2 2" xfId="3839" xr:uid="{00000000-0005-0000-0000-0000060F0000}"/>
    <cellStyle name="Standard 6 2 3 2 3 2 4 2 2 2" xfId="15800" xr:uid="{92205224-7444-4A54-8008-BBFA5CE2B788}"/>
    <cellStyle name="Standard 6 2 3 2 3 2 4 2 3" xfId="15799" xr:uid="{F761DFF8-9EF9-4D1C-A1FF-9E99A13E5F49}"/>
    <cellStyle name="Standard 6 2 3 2 3 2 4 3" xfId="3840" xr:uid="{00000000-0005-0000-0000-0000070F0000}"/>
    <cellStyle name="Standard 6 2 3 2 3 2 4 3 2" xfId="15801" xr:uid="{A4D125A8-AB6B-44BA-84C1-5F80B16148B7}"/>
    <cellStyle name="Standard 6 2 3 2 3 2 4 4" xfId="15798" xr:uid="{E4824EA0-C0E8-42F6-BCED-8AB290025EE1}"/>
    <cellStyle name="Standard 6 2 3 2 3 2 5" xfId="3841" xr:uid="{00000000-0005-0000-0000-0000080F0000}"/>
    <cellStyle name="Standard 6 2 3 2 3 2 5 2" xfId="3842" xr:uid="{00000000-0005-0000-0000-0000090F0000}"/>
    <cellStyle name="Standard 6 2 3 2 3 2 5 2 2" xfId="3843" xr:uid="{00000000-0005-0000-0000-00000A0F0000}"/>
    <cellStyle name="Standard 6 2 3 2 3 2 5 2 2 2" xfId="15804" xr:uid="{81622728-DB7F-43E7-8042-922F7B327159}"/>
    <cellStyle name="Standard 6 2 3 2 3 2 5 2 3" xfId="15803" xr:uid="{FA7D42B6-B33D-4378-B5C1-6833B9D91A5A}"/>
    <cellStyle name="Standard 6 2 3 2 3 2 5 3" xfId="3844" xr:uid="{00000000-0005-0000-0000-00000B0F0000}"/>
    <cellStyle name="Standard 6 2 3 2 3 2 5 3 2" xfId="15805" xr:uid="{24DC40CE-A4E1-4BF9-9FC2-2B408451D40F}"/>
    <cellStyle name="Standard 6 2 3 2 3 2 5 4" xfId="15802" xr:uid="{BDF123C6-E146-4334-B00B-CC7A6B68D22D}"/>
    <cellStyle name="Standard 6 2 3 2 3 2 6" xfId="3845" xr:uid="{00000000-0005-0000-0000-00000C0F0000}"/>
    <cellStyle name="Standard 6 2 3 2 3 2 6 2" xfId="3846" xr:uid="{00000000-0005-0000-0000-00000D0F0000}"/>
    <cellStyle name="Standard 6 2 3 2 3 2 6 2 2" xfId="3847" xr:uid="{00000000-0005-0000-0000-00000E0F0000}"/>
    <cellStyle name="Standard 6 2 3 2 3 2 6 2 2 2" xfId="15808" xr:uid="{4B56467B-C717-4E56-8E5B-871235B10711}"/>
    <cellStyle name="Standard 6 2 3 2 3 2 6 2 3" xfId="15807" xr:uid="{62D1D670-5F80-4EB8-882C-54C7EF048611}"/>
    <cellStyle name="Standard 6 2 3 2 3 2 6 3" xfId="3848" xr:uid="{00000000-0005-0000-0000-00000F0F0000}"/>
    <cellStyle name="Standard 6 2 3 2 3 2 6 3 2" xfId="15809" xr:uid="{0E3919BD-6C3C-4B58-B742-798169C73FAF}"/>
    <cellStyle name="Standard 6 2 3 2 3 2 6 4" xfId="15806" xr:uid="{58980E6C-DC39-4A6C-89E2-3BC4F75D1F72}"/>
    <cellStyle name="Standard 6 2 3 2 3 2 7" xfId="3849" xr:uid="{00000000-0005-0000-0000-0000100F0000}"/>
    <cellStyle name="Standard 6 2 3 2 3 2 7 2" xfId="3850" xr:uid="{00000000-0005-0000-0000-0000110F0000}"/>
    <cellStyle name="Standard 6 2 3 2 3 2 7 2 2" xfId="3851" xr:uid="{00000000-0005-0000-0000-0000120F0000}"/>
    <cellStyle name="Standard 6 2 3 2 3 2 7 2 2 2" xfId="15812" xr:uid="{F3535D63-0D0E-4C3A-8AA9-5197C24B9A16}"/>
    <cellStyle name="Standard 6 2 3 2 3 2 7 2 3" xfId="15811" xr:uid="{412809A3-5B4A-4788-B1A5-C473572EFD3C}"/>
    <cellStyle name="Standard 6 2 3 2 3 2 7 3" xfId="3852" xr:uid="{00000000-0005-0000-0000-0000130F0000}"/>
    <cellStyle name="Standard 6 2 3 2 3 2 7 3 2" xfId="15813" xr:uid="{7924E3C2-C688-49D4-884F-C1C85A1EF3BC}"/>
    <cellStyle name="Standard 6 2 3 2 3 2 7 4" xfId="15810" xr:uid="{AFDEBD4F-39EE-4EF2-A247-CBA4E7B4CF09}"/>
    <cellStyle name="Standard 6 2 3 2 3 2 8" xfId="3853" xr:uid="{00000000-0005-0000-0000-0000140F0000}"/>
    <cellStyle name="Standard 6 2 3 2 3 2 8 2" xfId="3854" xr:uid="{00000000-0005-0000-0000-0000150F0000}"/>
    <cellStyle name="Standard 6 2 3 2 3 2 8 2 2" xfId="15815" xr:uid="{266491E3-838D-4840-B9FD-AB3B231E5450}"/>
    <cellStyle name="Standard 6 2 3 2 3 2 8 3" xfId="15814" xr:uid="{36AE7B43-A30F-47D8-AA6D-57F858E7EB8B}"/>
    <cellStyle name="Standard 6 2 3 2 3 2 9" xfId="3855" xr:uid="{00000000-0005-0000-0000-0000160F0000}"/>
    <cellStyle name="Standard 6 2 3 2 3 2 9 2" xfId="15816" xr:uid="{4FF91998-F84B-437B-AADB-7FACC87BEA0A}"/>
    <cellStyle name="Standard 6 2 3 2 3 3" xfId="3856" xr:uid="{00000000-0005-0000-0000-0000170F0000}"/>
    <cellStyle name="Standard 6 2 3 2 3 3 2" xfId="3857" xr:uid="{00000000-0005-0000-0000-0000180F0000}"/>
    <cellStyle name="Standard 6 2 3 2 3 3 2 2" xfId="3858" xr:uid="{00000000-0005-0000-0000-0000190F0000}"/>
    <cellStyle name="Standard 6 2 3 2 3 3 2 2 2" xfId="15819" xr:uid="{5EBEC65B-9CFE-497D-8728-A8FFF00C7603}"/>
    <cellStyle name="Standard 6 2 3 2 3 3 2 3" xfId="15818" xr:uid="{F4958074-F31A-4583-94AE-213DBDCB0373}"/>
    <cellStyle name="Standard 6 2 3 2 3 3 3" xfId="3859" xr:uid="{00000000-0005-0000-0000-00001A0F0000}"/>
    <cellStyle name="Standard 6 2 3 2 3 3 3 2" xfId="15820" xr:uid="{B6BC1D5D-2FDA-4588-8951-3074B765B7AF}"/>
    <cellStyle name="Standard 6 2 3 2 3 3 4" xfId="15817" xr:uid="{7EC2F7C5-41DB-4E76-9C15-AB026E0198FC}"/>
    <cellStyle name="Standard 6 2 3 2 3 4" xfId="3860" xr:uid="{00000000-0005-0000-0000-00001B0F0000}"/>
    <cellStyle name="Standard 6 2 3 2 3 4 2" xfId="3861" xr:uid="{00000000-0005-0000-0000-00001C0F0000}"/>
    <cellStyle name="Standard 6 2 3 2 3 4 2 2" xfId="3862" xr:uid="{00000000-0005-0000-0000-00001D0F0000}"/>
    <cellStyle name="Standard 6 2 3 2 3 4 2 2 2" xfId="15823" xr:uid="{9EFA2CF1-9C68-4391-9CD3-117AF631AE56}"/>
    <cellStyle name="Standard 6 2 3 2 3 4 2 3" xfId="15822" xr:uid="{56B6B0CD-1C6F-4117-8F57-5FD3C16C010F}"/>
    <cellStyle name="Standard 6 2 3 2 3 4 3" xfId="3863" xr:uid="{00000000-0005-0000-0000-00001E0F0000}"/>
    <cellStyle name="Standard 6 2 3 2 3 4 3 2" xfId="15824" xr:uid="{12C8468E-533D-4766-B7F1-337B9B4AEA2A}"/>
    <cellStyle name="Standard 6 2 3 2 3 4 4" xfId="15821" xr:uid="{7841DE27-9CDE-4906-A78D-A5EC3C57C422}"/>
    <cellStyle name="Standard 6 2 3 2 3 5" xfId="3864" xr:uid="{00000000-0005-0000-0000-00001F0F0000}"/>
    <cellStyle name="Standard 6 2 3 2 3 5 2" xfId="3865" xr:uid="{00000000-0005-0000-0000-0000200F0000}"/>
    <cellStyle name="Standard 6 2 3 2 3 5 2 2" xfId="3866" xr:uid="{00000000-0005-0000-0000-0000210F0000}"/>
    <cellStyle name="Standard 6 2 3 2 3 5 2 2 2" xfId="15827" xr:uid="{03C57949-28D8-4B20-92F7-759B59A38FFB}"/>
    <cellStyle name="Standard 6 2 3 2 3 5 2 3" xfId="15826" xr:uid="{AB99F331-FB66-4553-AF90-44FF48D9BC4E}"/>
    <cellStyle name="Standard 6 2 3 2 3 5 3" xfId="3867" xr:uid="{00000000-0005-0000-0000-0000220F0000}"/>
    <cellStyle name="Standard 6 2 3 2 3 5 3 2" xfId="15828" xr:uid="{D56DBCF6-07D8-4401-B4F7-BA1CA86DB540}"/>
    <cellStyle name="Standard 6 2 3 2 3 5 4" xfId="15825" xr:uid="{294677D5-D3A9-4E00-95E7-C557E095FB0D}"/>
    <cellStyle name="Standard 6 2 3 2 3 6" xfId="3868" xr:uid="{00000000-0005-0000-0000-0000230F0000}"/>
    <cellStyle name="Standard 6 2 3 2 3 6 2" xfId="3869" xr:uid="{00000000-0005-0000-0000-0000240F0000}"/>
    <cellStyle name="Standard 6 2 3 2 3 6 2 2" xfId="3870" xr:uid="{00000000-0005-0000-0000-0000250F0000}"/>
    <cellStyle name="Standard 6 2 3 2 3 6 2 2 2" xfId="15831" xr:uid="{F60D225E-C6B3-4234-8336-CB7B8CA332A7}"/>
    <cellStyle name="Standard 6 2 3 2 3 6 2 3" xfId="15830" xr:uid="{00780D6C-83E4-4CBF-ADF4-6D9AD0F8B5A5}"/>
    <cellStyle name="Standard 6 2 3 2 3 6 3" xfId="3871" xr:uid="{00000000-0005-0000-0000-0000260F0000}"/>
    <cellStyle name="Standard 6 2 3 2 3 6 3 2" xfId="15832" xr:uid="{AF992493-62EE-48F3-8E95-0D393AE08C3B}"/>
    <cellStyle name="Standard 6 2 3 2 3 6 4" xfId="15829" xr:uid="{1BED6193-9CA1-4A2C-A94C-ABE940DE0A30}"/>
    <cellStyle name="Standard 6 2 3 2 3 7" xfId="3872" xr:uid="{00000000-0005-0000-0000-0000270F0000}"/>
    <cellStyle name="Standard 6 2 3 2 3 7 2" xfId="3873" xr:uid="{00000000-0005-0000-0000-0000280F0000}"/>
    <cellStyle name="Standard 6 2 3 2 3 7 2 2" xfId="3874" xr:uid="{00000000-0005-0000-0000-0000290F0000}"/>
    <cellStyle name="Standard 6 2 3 2 3 7 2 2 2" xfId="15835" xr:uid="{C4223A8C-AE7F-49D8-9DF3-B6324181673B}"/>
    <cellStyle name="Standard 6 2 3 2 3 7 2 3" xfId="15834" xr:uid="{EF7C4005-000E-4A05-A610-0C024E1DE134}"/>
    <cellStyle name="Standard 6 2 3 2 3 7 3" xfId="3875" xr:uid="{00000000-0005-0000-0000-00002A0F0000}"/>
    <cellStyle name="Standard 6 2 3 2 3 7 3 2" xfId="15836" xr:uid="{67019F27-394E-4122-97F9-FD4DE671218B}"/>
    <cellStyle name="Standard 6 2 3 2 3 7 4" xfId="15833" xr:uid="{CBC4625C-3F9F-4F99-8809-D9263EE80E8D}"/>
    <cellStyle name="Standard 6 2 3 2 3 8" xfId="3876" xr:uid="{00000000-0005-0000-0000-00002B0F0000}"/>
    <cellStyle name="Standard 6 2 3 2 3 8 2" xfId="3877" xr:uid="{00000000-0005-0000-0000-00002C0F0000}"/>
    <cellStyle name="Standard 6 2 3 2 3 8 2 2" xfId="3878" xr:uid="{00000000-0005-0000-0000-00002D0F0000}"/>
    <cellStyle name="Standard 6 2 3 2 3 8 2 2 2" xfId="15839" xr:uid="{988AE142-58B2-4C3F-A051-47A01593493C}"/>
    <cellStyle name="Standard 6 2 3 2 3 8 2 3" xfId="15838" xr:uid="{AE9D1F06-3D2F-465D-A9F3-4A3CC4E2BCF1}"/>
    <cellStyle name="Standard 6 2 3 2 3 8 3" xfId="3879" xr:uid="{00000000-0005-0000-0000-00002E0F0000}"/>
    <cellStyle name="Standard 6 2 3 2 3 8 3 2" xfId="15840" xr:uid="{993590B2-8557-4004-BC75-E9BB04D5AEC7}"/>
    <cellStyle name="Standard 6 2 3 2 3 8 4" xfId="15837" xr:uid="{5CFD96FC-0221-4C40-BAF4-2287E4DFC15A}"/>
    <cellStyle name="Standard 6 2 3 2 3 9" xfId="3880" xr:uid="{00000000-0005-0000-0000-00002F0F0000}"/>
    <cellStyle name="Standard 6 2 3 2 3 9 2" xfId="3881" xr:uid="{00000000-0005-0000-0000-0000300F0000}"/>
    <cellStyle name="Standard 6 2 3 2 3 9 2 2" xfId="15842" xr:uid="{264FFDDD-6EFF-4E69-BFF6-E34842EA2475}"/>
    <cellStyle name="Standard 6 2 3 2 3 9 3" xfId="15841" xr:uid="{BAAEF725-B0F0-469A-B01E-E36C2D87F456}"/>
    <cellStyle name="Standard 6 2 3 2 4" xfId="3882" xr:uid="{00000000-0005-0000-0000-0000310F0000}"/>
    <cellStyle name="Standard 6 2 3 2 4 10" xfId="3883" xr:uid="{00000000-0005-0000-0000-0000320F0000}"/>
    <cellStyle name="Standard 6 2 3 2 4 10 2" xfId="15844" xr:uid="{DEFC1629-5DAA-4580-938B-47626955D7A2}"/>
    <cellStyle name="Standard 6 2 3 2 4 11" xfId="15843" xr:uid="{15530F57-08BB-4400-8597-5D2AC1BCCA4A}"/>
    <cellStyle name="Standard 6 2 3 2 4 2" xfId="3884" xr:uid="{00000000-0005-0000-0000-0000330F0000}"/>
    <cellStyle name="Standard 6 2 3 2 4 2 10" xfId="15845" xr:uid="{C90F11A7-8567-49F9-B4D8-03FC7AD93C08}"/>
    <cellStyle name="Standard 6 2 3 2 4 2 2" xfId="3885" xr:uid="{00000000-0005-0000-0000-0000340F0000}"/>
    <cellStyle name="Standard 6 2 3 2 4 2 2 2" xfId="3886" xr:uid="{00000000-0005-0000-0000-0000350F0000}"/>
    <cellStyle name="Standard 6 2 3 2 4 2 2 2 2" xfId="3887" xr:uid="{00000000-0005-0000-0000-0000360F0000}"/>
    <cellStyle name="Standard 6 2 3 2 4 2 2 2 2 2" xfId="15848" xr:uid="{2FB4F1C6-2D5B-4E44-BC79-A811986CE46E}"/>
    <cellStyle name="Standard 6 2 3 2 4 2 2 2 3" xfId="15847" xr:uid="{EC7211B7-0B70-40D6-8CFE-471C3EB186AD}"/>
    <cellStyle name="Standard 6 2 3 2 4 2 2 3" xfId="3888" xr:uid="{00000000-0005-0000-0000-0000370F0000}"/>
    <cellStyle name="Standard 6 2 3 2 4 2 2 3 2" xfId="15849" xr:uid="{30484983-3A3D-4023-8D40-D193F7AB5EA1}"/>
    <cellStyle name="Standard 6 2 3 2 4 2 2 4" xfId="15846" xr:uid="{45380776-159E-4365-B56B-72CF7CA639F1}"/>
    <cellStyle name="Standard 6 2 3 2 4 2 3" xfId="3889" xr:uid="{00000000-0005-0000-0000-0000380F0000}"/>
    <cellStyle name="Standard 6 2 3 2 4 2 3 2" xfId="3890" xr:uid="{00000000-0005-0000-0000-0000390F0000}"/>
    <cellStyle name="Standard 6 2 3 2 4 2 3 2 2" xfId="3891" xr:uid="{00000000-0005-0000-0000-00003A0F0000}"/>
    <cellStyle name="Standard 6 2 3 2 4 2 3 2 2 2" xfId="15852" xr:uid="{92C2E52B-EEDB-42FD-BA81-2614CA3201F6}"/>
    <cellStyle name="Standard 6 2 3 2 4 2 3 2 3" xfId="15851" xr:uid="{7BA575D4-2955-47DD-B481-8A90F1797F6A}"/>
    <cellStyle name="Standard 6 2 3 2 4 2 3 3" xfId="3892" xr:uid="{00000000-0005-0000-0000-00003B0F0000}"/>
    <cellStyle name="Standard 6 2 3 2 4 2 3 3 2" xfId="15853" xr:uid="{BDB8587A-8F77-475B-AAC5-8156A789B060}"/>
    <cellStyle name="Standard 6 2 3 2 4 2 3 4" xfId="15850" xr:uid="{1DF14893-4D86-4C89-93C0-3559CA98A6D6}"/>
    <cellStyle name="Standard 6 2 3 2 4 2 4" xfId="3893" xr:uid="{00000000-0005-0000-0000-00003C0F0000}"/>
    <cellStyle name="Standard 6 2 3 2 4 2 4 2" xfId="3894" xr:uid="{00000000-0005-0000-0000-00003D0F0000}"/>
    <cellStyle name="Standard 6 2 3 2 4 2 4 2 2" xfId="3895" xr:uid="{00000000-0005-0000-0000-00003E0F0000}"/>
    <cellStyle name="Standard 6 2 3 2 4 2 4 2 2 2" xfId="15856" xr:uid="{4E8E6AC4-6465-4EC8-92A8-EA4C1EEEBD2C}"/>
    <cellStyle name="Standard 6 2 3 2 4 2 4 2 3" xfId="15855" xr:uid="{ACB0A711-6427-47BB-B969-CC3315995AFC}"/>
    <cellStyle name="Standard 6 2 3 2 4 2 4 3" xfId="3896" xr:uid="{00000000-0005-0000-0000-00003F0F0000}"/>
    <cellStyle name="Standard 6 2 3 2 4 2 4 3 2" xfId="15857" xr:uid="{AD5E860A-AFE9-481C-A725-3A906E31372E}"/>
    <cellStyle name="Standard 6 2 3 2 4 2 4 4" xfId="15854" xr:uid="{150FE529-451A-4986-9376-ADD1E80F6238}"/>
    <cellStyle name="Standard 6 2 3 2 4 2 5" xfId="3897" xr:uid="{00000000-0005-0000-0000-0000400F0000}"/>
    <cellStyle name="Standard 6 2 3 2 4 2 5 2" xfId="3898" xr:uid="{00000000-0005-0000-0000-0000410F0000}"/>
    <cellStyle name="Standard 6 2 3 2 4 2 5 2 2" xfId="3899" xr:uid="{00000000-0005-0000-0000-0000420F0000}"/>
    <cellStyle name="Standard 6 2 3 2 4 2 5 2 2 2" xfId="15860" xr:uid="{9A46FE1E-8DA7-4049-9FB8-B22EC29D4A9F}"/>
    <cellStyle name="Standard 6 2 3 2 4 2 5 2 3" xfId="15859" xr:uid="{E842F5FD-83C9-406B-86BC-1C352EB87EBD}"/>
    <cellStyle name="Standard 6 2 3 2 4 2 5 3" xfId="3900" xr:uid="{00000000-0005-0000-0000-0000430F0000}"/>
    <cellStyle name="Standard 6 2 3 2 4 2 5 3 2" xfId="15861" xr:uid="{BC7D1F87-61C3-479D-BCBC-F5A9FD34DE82}"/>
    <cellStyle name="Standard 6 2 3 2 4 2 5 4" xfId="15858" xr:uid="{DC0C1F18-B9C5-4CB2-B461-E892D7ED2EF3}"/>
    <cellStyle name="Standard 6 2 3 2 4 2 6" xfId="3901" xr:uid="{00000000-0005-0000-0000-0000440F0000}"/>
    <cellStyle name="Standard 6 2 3 2 4 2 6 2" xfId="3902" xr:uid="{00000000-0005-0000-0000-0000450F0000}"/>
    <cellStyle name="Standard 6 2 3 2 4 2 6 2 2" xfId="3903" xr:uid="{00000000-0005-0000-0000-0000460F0000}"/>
    <cellStyle name="Standard 6 2 3 2 4 2 6 2 2 2" xfId="15864" xr:uid="{6A4BF357-35D5-4ADA-948B-92492A4413C4}"/>
    <cellStyle name="Standard 6 2 3 2 4 2 6 2 3" xfId="15863" xr:uid="{FBCA14C2-A07F-4935-820B-3E9C717034A5}"/>
    <cellStyle name="Standard 6 2 3 2 4 2 6 3" xfId="3904" xr:uid="{00000000-0005-0000-0000-0000470F0000}"/>
    <cellStyle name="Standard 6 2 3 2 4 2 6 3 2" xfId="15865" xr:uid="{C5E7A16D-E64B-4004-BC99-D89CD7778758}"/>
    <cellStyle name="Standard 6 2 3 2 4 2 6 4" xfId="15862" xr:uid="{5296D0AD-E49A-4022-A474-6A9DEA3BA9A1}"/>
    <cellStyle name="Standard 6 2 3 2 4 2 7" xfId="3905" xr:uid="{00000000-0005-0000-0000-0000480F0000}"/>
    <cellStyle name="Standard 6 2 3 2 4 2 7 2" xfId="3906" xr:uid="{00000000-0005-0000-0000-0000490F0000}"/>
    <cellStyle name="Standard 6 2 3 2 4 2 7 2 2" xfId="3907" xr:uid="{00000000-0005-0000-0000-00004A0F0000}"/>
    <cellStyle name="Standard 6 2 3 2 4 2 7 2 2 2" xfId="15868" xr:uid="{2B69A68D-56D8-499F-A7FC-D022CA1EAF30}"/>
    <cellStyle name="Standard 6 2 3 2 4 2 7 2 3" xfId="15867" xr:uid="{79B878EA-8F71-4315-AB4D-B26394D6AC17}"/>
    <cellStyle name="Standard 6 2 3 2 4 2 7 3" xfId="3908" xr:uid="{00000000-0005-0000-0000-00004B0F0000}"/>
    <cellStyle name="Standard 6 2 3 2 4 2 7 3 2" xfId="15869" xr:uid="{628CA6DD-6AD1-431A-B6D9-E942B7EBD336}"/>
    <cellStyle name="Standard 6 2 3 2 4 2 7 4" xfId="15866" xr:uid="{7E3AAEA3-37C7-4EAB-97A9-ADCFAB7750C6}"/>
    <cellStyle name="Standard 6 2 3 2 4 2 8" xfId="3909" xr:uid="{00000000-0005-0000-0000-00004C0F0000}"/>
    <cellStyle name="Standard 6 2 3 2 4 2 8 2" xfId="3910" xr:uid="{00000000-0005-0000-0000-00004D0F0000}"/>
    <cellStyle name="Standard 6 2 3 2 4 2 8 2 2" xfId="15871" xr:uid="{36D2C913-5393-4786-8127-9604698BF945}"/>
    <cellStyle name="Standard 6 2 3 2 4 2 8 3" xfId="15870" xr:uid="{B09902CD-F235-4DE9-8665-C52854C13096}"/>
    <cellStyle name="Standard 6 2 3 2 4 2 9" xfId="3911" xr:uid="{00000000-0005-0000-0000-00004E0F0000}"/>
    <cellStyle name="Standard 6 2 3 2 4 2 9 2" xfId="15872" xr:uid="{E2A7B2CA-42C2-4ADE-BC8D-C594581EE392}"/>
    <cellStyle name="Standard 6 2 3 2 4 3" xfId="3912" xr:uid="{00000000-0005-0000-0000-00004F0F0000}"/>
    <cellStyle name="Standard 6 2 3 2 4 3 2" xfId="3913" xr:uid="{00000000-0005-0000-0000-0000500F0000}"/>
    <cellStyle name="Standard 6 2 3 2 4 3 2 2" xfId="3914" xr:uid="{00000000-0005-0000-0000-0000510F0000}"/>
    <cellStyle name="Standard 6 2 3 2 4 3 2 2 2" xfId="15875" xr:uid="{F5732D6A-196B-4BAC-9862-0A20071ACF6B}"/>
    <cellStyle name="Standard 6 2 3 2 4 3 2 3" xfId="15874" xr:uid="{0CA95CD5-29FB-4E87-A965-E6DFB5029B68}"/>
    <cellStyle name="Standard 6 2 3 2 4 3 3" xfId="3915" xr:uid="{00000000-0005-0000-0000-0000520F0000}"/>
    <cellStyle name="Standard 6 2 3 2 4 3 3 2" xfId="15876" xr:uid="{2943B8FC-56EC-4B46-AF15-3A07CCF2C32B}"/>
    <cellStyle name="Standard 6 2 3 2 4 3 4" xfId="15873" xr:uid="{97CF6BF7-D05C-40DA-85A4-9541C3625EB3}"/>
    <cellStyle name="Standard 6 2 3 2 4 4" xfId="3916" xr:uid="{00000000-0005-0000-0000-0000530F0000}"/>
    <cellStyle name="Standard 6 2 3 2 4 4 2" xfId="3917" xr:uid="{00000000-0005-0000-0000-0000540F0000}"/>
    <cellStyle name="Standard 6 2 3 2 4 4 2 2" xfId="3918" xr:uid="{00000000-0005-0000-0000-0000550F0000}"/>
    <cellStyle name="Standard 6 2 3 2 4 4 2 2 2" xfId="15879" xr:uid="{9B9E5FCD-A40D-4FCE-AD08-4A0595055994}"/>
    <cellStyle name="Standard 6 2 3 2 4 4 2 3" xfId="15878" xr:uid="{0D6D9AD6-DCB6-40F7-843B-22C244A58E8F}"/>
    <cellStyle name="Standard 6 2 3 2 4 4 3" xfId="3919" xr:uid="{00000000-0005-0000-0000-0000560F0000}"/>
    <cellStyle name="Standard 6 2 3 2 4 4 3 2" xfId="15880" xr:uid="{E39A4C2B-B382-44E4-8BE8-D83D1428F67B}"/>
    <cellStyle name="Standard 6 2 3 2 4 4 4" xfId="15877" xr:uid="{3D456644-026B-42A5-B78A-8B33B6AA49EB}"/>
    <cellStyle name="Standard 6 2 3 2 4 5" xfId="3920" xr:uid="{00000000-0005-0000-0000-0000570F0000}"/>
    <cellStyle name="Standard 6 2 3 2 4 5 2" xfId="3921" xr:uid="{00000000-0005-0000-0000-0000580F0000}"/>
    <cellStyle name="Standard 6 2 3 2 4 5 2 2" xfId="3922" xr:uid="{00000000-0005-0000-0000-0000590F0000}"/>
    <cellStyle name="Standard 6 2 3 2 4 5 2 2 2" xfId="15883" xr:uid="{0C63223C-06C1-4F08-BA03-120D989332A6}"/>
    <cellStyle name="Standard 6 2 3 2 4 5 2 3" xfId="15882" xr:uid="{792DEA80-F4DB-4C5E-BCA6-BB3B4B125444}"/>
    <cellStyle name="Standard 6 2 3 2 4 5 3" xfId="3923" xr:uid="{00000000-0005-0000-0000-00005A0F0000}"/>
    <cellStyle name="Standard 6 2 3 2 4 5 3 2" xfId="15884" xr:uid="{8B1A1648-B5A9-4470-89F7-38E6FDE7A107}"/>
    <cellStyle name="Standard 6 2 3 2 4 5 4" xfId="15881" xr:uid="{C0A83801-0017-4FAF-9464-0172A2F1822B}"/>
    <cellStyle name="Standard 6 2 3 2 4 6" xfId="3924" xr:uid="{00000000-0005-0000-0000-00005B0F0000}"/>
    <cellStyle name="Standard 6 2 3 2 4 6 2" xfId="3925" xr:uid="{00000000-0005-0000-0000-00005C0F0000}"/>
    <cellStyle name="Standard 6 2 3 2 4 6 2 2" xfId="3926" xr:uid="{00000000-0005-0000-0000-00005D0F0000}"/>
    <cellStyle name="Standard 6 2 3 2 4 6 2 2 2" xfId="15887" xr:uid="{E4B18651-C4C4-458A-B240-B1DBA5F5AA09}"/>
    <cellStyle name="Standard 6 2 3 2 4 6 2 3" xfId="15886" xr:uid="{30CFA1E8-5DB0-4741-B825-16FF1561E38B}"/>
    <cellStyle name="Standard 6 2 3 2 4 6 3" xfId="3927" xr:uid="{00000000-0005-0000-0000-00005E0F0000}"/>
    <cellStyle name="Standard 6 2 3 2 4 6 3 2" xfId="15888" xr:uid="{09F9BC59-A774-41D4-9BEE-F9E7A3908CCA}"/>
    <cellStyle name="Standard 6 2 3 2 4 6 4" xfId="15885" xr:uid="{2C2783B0-99A4-4BE0-A40F-B37764ECC341}"/>
    <cellStyle name="Standard 6 2 3 2 4 7" xfId="3928" xr:uid="{00000000-0005-0000-0000-00005F0F0000}"/>
    <cellStyle name="Standard 6 2 3 2 4 7 2" xfId="3929" xr:uid="{00000000-0005-0000-0000-0000600F0000}"/>
    <cellStyle name="Standard 6 2 3 2 4 7 2 2" xfId="3930" xr:uid="{00000000-0005-0000-0000-0000610F0000}"/>
    <cellStyle name="Standard 6 2 3 2 4 7 2 2 2" xfId="15891" xr:uid="{2C81CE2F-22DA-420C-AAAA-6523B28C9D4E}"/>
    <cellStyle name="Standard 6 2 3 2 4 7 2 3" xfId="15890" xr:uid="{951DEA67-D645-474C-9400-6842F68D9935}"/>
    <cellStyle name="Standard 6 2 3 2 4 7 3" xfId="3931" xr:uid="{00000000-0005-0000-0000-0000620F0000}"/>
    <cellStyle name="Standard 6 2 3 2 4 7 3 2" xfId="15892" xr:uid="{4139E2A7-1DB2-400A-986F-70D6AC2F1017}"/>
    <cellStyle name="Standard 6 2 3 2 4 7 4" xfId="15889" xr:uid="{B5FA744D-65A9-4FF2-A8AD-72DE3DBD9AB0}"/>
    <cellStyle name="Standard 6 2 3 2 4 8" xfId="3932" xr:uid="{00000000-0005-0000-0000-0000630F0000}"/>
    <cellStyle name="Standard 6 2 3 2 4 8 2" xfId="3933" xr:uid="{00000000-0005-0000-0000-0000640F0000}"/>
    <cellStyle name="Standard 6 2 3 2 4 8 2 2" xfId="3934" xr:uid="{00000000-0005-0000-0000-0000650F0000}"/>
    <cellStyle name="Standard 6 2 3 2 4 8 2 2 2" xfId="15895" xr:uid="{28D04FC2-83C9-4E3D-A751-1F2B37180411}"/>
    <cellStyle name="Standard 6 2 3 2 4 8 2 3" xfId="15894" xr:uid="{05FA8CE5-D70A-4E3A-80B0-91222F0293B1}"/>
    <cellStyle name="Standard 6 2 3 2 4 8 3" xfId="3935" xr:uid="{00000000-0005-0000-0000-0000660F0000}"/>
    <cellStyle name="Standard 6 2 3 2 4 8 3 2" xfId="15896" xr:uid="{39FF0FD4-E959-4681-B027-822951DD40DB}"/>
    <cellStyle name="Standard 6 2 3 2 4 8 4" xfId="15893" xr:uid="{C56098D4-7B33-4B1A-B29C-1D05CB95532F}"/>
    <cellStyle name="Standard 6 2 3 2 4 9" xfId="3936" xr:uid="{00000000-0005-0000-0000-0000670F0000}"/>
    <cellStyle name="Standard 6 2 3 2 4 9 2" xfId="3937" xr:uid="{00000000-0005-0000-0000-0000680F0000}"/>
    <cellStyle name="Standard 6 2 3 2 4 9 2 2" xfId="15898" xr:uid="{054D505F-E9F7-4C60-AF91-ED385B640C66}"/>
    <cellStyle name="Standard 6 2 3 2 4 9 3" xfId="15897" xr:uid="{C1735893-60E9-4C02-8C34-BF64933B832E}"/>
    <cellStyle name="Standard 6 2 3 2 5" xfId="3938" xr:uid="{00000000-0005-0000-0000-0000690F0000}"/>
    <cellStyle name="Standard 6 2 3 2 5 10" xfId="3939" xr:uid="{00000000-0005-0000-0000-00006A0F0000}"/>
    <cellStyle name="Standard 6 2 3 2 5 10 2" xfId="15900" xr:uid="{D979DC90-5559-49C0-9951-FF60D061D8E9}"/>
    <cellStyle name="Standard 6 2 3 2 5 11" xfId="15899" xr:uid="{E9FB78B9-8CBC-4E6F-8511-AF0F4AAC0147}"/>
    <cellStyle name="Standard 6 2 3 2 5 2" xfId="3940" xr:uid="{00000000-0005-0000-0000-00006B0F0000}"/>
    <cellStyle name="Standard 6 2 3 2 5 2 10" xfId="15901" xr:uid="{DDB8B045-A905-4A41-A1E7-0231CB392A15}"/>
    <cellStyle name="Standard 6 2 3 2 5 2 2" xfId="3941" xr:uid="{00000000-0005-0000-0000-00006C0F0000}"/>
    <cellStyle name="Standard 6 2 3 2 5 2 2 2" xfId="3942" xr:uid="{00000000-0005-0000-0000-00006D0F0000}"/>
    <cellStyle name="Standard 6 2 3 2 5 2 2 2 2" xfId="3943" xr:uid="{00000000-0005-0000-0000-00006E0F0000}"/>
    <cellStyle name="Standard 6 2 3 2 5 2 2 2 2 2" xfId="15904" xr:uid="{35782626-3A7A-4207-BA42-758EF5D9A8B3}"/>
    <cellStyle name="Standard 6 2 3 2 5 2 2 2 3" xfId="15903" xr:uid="{A593FE3D-0C28-4CA3-8EE6-CA7D33E04B9C}"/>
    <cellStyle name="Standard 6 2 3 2 5 2 2 3" xfId="3944" xr:uid="{00000000-0005-0000-0000-00006F0F0000}"/>
    <cellStyle name="Standard 6 2 3 2 5 2 2 3 2" xfId="15905" xr:uid="{998883B5-792B-4BC3-B36C-6B319A2E48F2}"/>
    <cellStyle name="Standard 6 2 3 2 5 2 2 4" xfId="15902" xr:uid="{A1C39154-33A0-4D02-ABBD-4585F98A51B4}"/>
    <cellStyle name="Standard 6 2 3 2 5 2 3" xfId="3945" xr:uid="{00000000-0005-0000-0000-0000700F0000}"/>
    <cellStyle name="Standard 6 2 3 2 5 2 3 2" xfId="3946" xr:uid="{00000000-0005-0000-0000-0000710F0000}"/>
    <cellStyle name="Standard 6 2 3 2 5 2 3 2 2" xfId="3947" xr:uid="{00000000-0005-0000-0000-0000720F0000}"/>
    <cellStyle name="Standard 6 2 3 2 5 2 3 2 2 2" xfId="15908" xr:uid="{807FD64C-4C01-4BC9-9F48-FCC71E7A98D6}"/>
    <cellStyle name="Standard 6 2 3 2 5 2 3 2 3" xfId="15907" xr:uid="{44064933-EC50-4A46-85C4-73FF982A1668}"/>
    <cellStyle name="Standard 6 2 3 2 5 2 3 3" xfId="3948" xr:uid="{00000000-0005-0000-0000-0000730F0000}"/>
    <cellStyle name="Standard 6 2 3 2 5 2 3 3 2" xfId="15909" xr:uid="{BB1A06FA-4009-49EC-B327-F48C328E4343}"/>
    <cellStyle name="Standard 6 2 3 2 5 2 3 4" xfId="15906" xr:uid="{32165EC1-860A-43B1-BF63-A8060630B019}"/>
    <cellStyle name="Standard 6 2 3 2 5 2 4" xfId="3949" xr:uid="{00000000-0005-0000-0000-0000740F0000}"/>
    <cellStyle name="Standard 6 2 3 2 5 2 4 2" xfId="3950" xr:uid="{00000000-0005-0000-0000-0000750F0000}"/>
    <cellStyle name="Standard 6 2 3 2 5 2 4 2 2" xfId="3951" xr:uid="{00000000-0005-0000-0000-0000760F0000}"/>
    <cellStyle name="Standard 6 2 3 2 5 2 4 2 2 2" xfId="15912" xr:uid="{0BD27228-45B0-4021-9F61-F6DF112804E3}"/>
    <cellStyle name="Standard 6 2 3 2 5 2 4 2 3" xfId="15911" xr:uid="{8A5B7171-68AB-431C-9134-894BE3C15541}"/>
    <cellStyle name="Standard 6 2 3 2 5 2 4 3" xfId="3952" xr:uid="{00000000-0005-0000-0000-0000770F0000}"/>
    <cellStyle name="Standard 6 2 3 2 5 2 4 3 2" xfId="15913" xr:uid="{891C0CD5-C638-47E9-A98C-F5B5094FFD14}"/>
    <cellStyle name="Standard 6 2 3 2 5 2 4 4" xfId="15910" xr:uid="{9490A82D-8912-42B3-B55D-EAB8856D54CE}"/>
    <cellStyle name="Standard 6 2 3 2 5 2 5" xfId="3953" xr:uid="{00000000-0005-0000-0000-0000780F0000}"/>
    <cellStyle name="Standard 6 2 3 2 5 2 5 2" xfId="3954" xr:uid="{00000000-0005-0000-0000-0000790F0000}"/>
    <cellStyle name="Standard 6 2 3 2 5 2 5 2 2" xfId="3955" xr:uid="{00000000-0005-0000-0000-00007A0F0000}"/>
    <cellStyle name="Standard 6 2 3 2 5 2 5 2 2 2" xfId="15916" xr:uid="{359FC498-C783-4957-82A7-01C485ED7068}"/>
    <cellStyle name="Standard 6 2 3 2 5 2 5 2 3" xfId="15915" xr:uid="{FE863058-76E8-4D43-9AFD-4150295BCDC6}"/>
    <cellStyle name="Standard 6 2 3 2 5 2 5 3" xfId="3956" xr:uid="{00000000-0005-0000-0000-00007B0F0000}"/>
    <cellStyle name="Standard 6 2 3 2 5 2 5 3 2" xfId="15917" xr:uid="{A2C41689-9824-4FCA-BD61-5DC47C599C1F}"/>
    <cellStyle name="Standard 6 2 3 2 5 2 5 4" xfId="15914" xr:uid="{1BD9EA40-A830-45CB-BD76-0F9717506EC5}"/>
    <cellStyle name="Standard 6 2 3 2 5 2 6" xfId="3957" xr:uid="{00000000-0005-0000-0000-00007C0F0000}"/>
    <cellStyle name="Standard 6 2 3 2 5 2 6 2" xfId="3958" xr:uid="{00000000-0005-0000-0000-00007D0F0000}"/>
    <cellStyle name="Standard 6 2 3 2 5 2 6 2 2" xfId="3959" xr:uid="{00000000-0005-0000-0000-00007E0F0000}"/>
    <cellStyle name="Standard 6 2 3 2 5 2 6 2 2 2" xfId="15920" xr:uid="{038426BE-2996-4F9E-B06E-0ADA8515375F}"/>
    <cellStyle name="Standard 6 2 3 2 5 2 6 2 3" xfId="15919" xr:uid="{53CE6C51-F8C2-4D7B-85AA-E397090F04F9}"/>
    <cellStyle name="Standard 6 2 3 2 5 2 6 3" xfId="3960" xr:uid="{00000000-0005-0000-0000-00007F0F0000}"/>
    <cellStyle name="Standard 6 2 3 2 5 2 6 3 2" xfId="15921" xr:uid="{CD8F7622-ECD9-481D-A385-C9FCC694FA38}"/>
    <cellStyle name="Standard 6 2 3 2 5 2 6 4" xfId="15918" xr:uid="{E9A240FA-A6E9-488D-912C-6D80956DCDB0}"/>
    <cellStyle name="Standard 6 2 3 2 5 2 7" xfId="3961" xr:uid="{00000000-0005-0000-0000-0000800F0000}"/>
    <cellStyle name="Standard 6 2 3 2 5 2 7 2" xfId="3962" xr:uid="{00000000-0005-0000-0000-0000810F0000}"/>
    <cellStyle name="Standard 6 2 3 2 5 2 7 2 2" xfId="3963" xr:uid="{00000000-0005-0000-0000-0000820F0000}"/>
    <cellStyle name="Standard 6 2 3 2 5 2 7 2 2 2" xfId="15924" xr:uid="{B2E10EB4-FE23-4198-82FC-D70DBB5D9FD3}"/>
    <cellStyle name="Standard 6 2 3 2 5 2 7 2 3" xfId="15923" xr:uid="{53E7B05C-11C0-4ACC-BEAF-64B1D048DE19}"/>
    <cellStyle name="Standard 6 2 3 2 5 2 7 3" xfId="3964" xr:uid="{00000000-0005-0000-0000-0000830F0000}"/>
    <cellStyle name="Standard 6 2 3 2 5 2 7 3 2" xfId="15925" xr:uid="{93D59B4C-A05F-4A84-9A23-DA5E778B86F6}"/>
    <cellStyle name="Standard 6 2 3 2 5 2 7 4" xfId="15922" xr:uid="{861D445C-32D0-4085-8ACD-7D08A4EBAB54}"/>
    <cellStyle name="Standard 6 2 3 2 5 2 8" xfId="3965" xr:uid="{00000000-0005-0000-0000-0000840F0000}"/>
    <cellStyle name="Standard 6 2 3 2 5 2 8 2" xfId="3966" xr:uid="{00000000-0005-0000-0000-0000850F0000}"/>
    <cellStyle name="Standard 6 2 3 2 5 2 8 2 2" xfId="15927" xr:uid="{AEB40985-6CB1-411C-A476-3E9D44C80933}"/>
    <cellStyle name="Standard 6 2 3 2 5 2 8 3" xfId="15926" xr:uid="{6C22E83E-1588-4F7B-9242-76EC82112EB3}"/>
    <cellStyle name="Standard 6 2 3 2 5 2 9" xfId="3967" xr:uid="{00000000-0005-0000-0000-0000860F0000}"/>
    <cellStyle name="Standard 6 2 3 2 5 2 9 2" xfId="15928" xr:uid="{484206F1-0EFB-4156-83AC-FC734456ED41}"/>
    <cellStyle name="Standard 6 2 3 2 5 3" xfId="3968" xr:uid="{00000000-0005-0000-0000-0000870F0000}"/>
    <cellStyle name="Standard 6 2 3 2 5 3 2" xfId="3969" xr:uid="{00000000-0005-0000-0000-0000880F0000}"/>
    <cellStyle name="Standard 6 2 3 2 5 3 2 2" xfId="3970" xr:uid="{00000000-0005-0000-0000-0000890F0000}"/>
    <cellStyle name="Standard 6 2 3 2 5 3 2 2 2" xfId="15931" xr:uid="{6111FE15-F201-4728-8B9E-2052CDCE2EEA}"/>
    <cellStyle name="Standard 6 2 3 2 5 3 2 3" xfId="15930" xr:uid="{562E79A3-0115-42BA-928B-45A36B30F8DA}"/>
    <cellStyle name="Standard 6 2 3 2 5 3 3" xfId="3971" xr:uid="{00000000-0005-0000-0000-00008A0F0000}"/>
    <cellStyle name="Standard 6 2 3 2 5 3 3 2" xfId="15932" xr:uid="{6AD72033-18D1-44D7-81C6-7DAF9DEBD769}"/>
    <cellStyle name="Standard 6 2 3 2 5 3 4" xfId="15929" xr:uid="{500B6847-056C-43C4-A779-B1E4BD2B9C5C}"/>
    <cellStyle name="Standard 6 2 3 2 5 4" xfId="3972" xr:uid="{00000000-0005-0000-0000-00008B0F0000}"/>
    <cellStyle name="Standard 6 2 3 2 5 4 2" xfId="3973" xr:uid="{00000000-0005-0000-0000-00008C0F0000}"/>
    <cellStyle name="Standard 6 2 3 2 5 4 2 2" xfId="3974" xr:uid="{00000000-0005-0000-0000-00008D0F0000}"/>
    <cellStyle name="Standard 6 2 3 2 5 4 2 2 2" xfId="15935" xr:uid="{1995ED16-C45A-4535-8FD5-18D710D55734}"/>
    <cellStyle name="Standard 6 2 3 2 5 4 2 3" xfId="15934" xr:uid="{E9AB3E65-6817-4890-899A-F31FEC6058A9}"/>
    <cellStyle name="Standard 6 2 3 2 5 4 3" xfId="3975" xr:uid="{00000000-0005-0000-0000-00008E0F0000}"/>
    <cellStyle name="Standard 6 2 3 2 5 4 3 2" xfId="15936" xr:uid="{D048FF23-F31C-47BA-916C-118A3034EF35}"/>
    <cellStyle name="Standard 6 2 3 2 5 4 4" xfId="15933" xr:uid="{96B218D9-CDE2-42F0-9A7F-A0C343E26A25}"/>
    <cellStyle name="Standard 6 2 3 2 5 5" xfId="3976" xr:uid="{00000000-0005-0000-0000-00008F0F0000}"/>
    <cellStyle name="Standard 6 2 3 2 5 5 2" xfId="3977" xr:uid="{00000000-0005-0000-0000-0000900F0000}"/>
    <cellStyle name="Standard 6 2 3 2 5 5 2 2" xfId="3978" xr:uid="{00000000-0005-0000-0000-0000910F0000}"/>
    <cellStyle name="Standard 6 2 3 2 5 5 2 2 2" xfId="15939" xr:uid="{7CD7C5CE-02A9-48D0-A2EC-6DD716D5966A}"/>
    <cellStyle name="Standard 6 2 3 2 5 5 2 3" xfId="15938" xr:uid="{68A44026-FDAC-4AE8-A58E-2E64626B6E1D}"/>
    <cellStyle name="Standard 6 2 3 2 5 5 3" xfId="3979" xr:uid="{00000000-0005-0000-0000-0000920F0000}"/>
    <cellStyle name="Standard 6 2 3 2 5 5 3 2" xfId="15940" xr:uid="{F46A81B7-F9CF-4D4F-BE3A-92EDA2F8EAAF}"/>
    <cellStyle name="Standard 6 2 3 2 5 5 4" xfId="15937" xr:uid="{0CE81C06-6A8A-45CA-B9C3-B53B82BE61C9}"/>
    <cellStyle name="Standard 6 2 3 2 5 6" xfId="3980" xr:uid="{00000000-0005-0000-0000-0000930F0000}"/>
    <cellStyle name="Standard 6 2 3 2 5 6 2" xfId="3981" xr:uid="{00000000-0005-0000-0000-0000940F0000}"/>
    <cellStyle name="Standard 6 2 3 2 5 6 2 2" xfId="3982" xr:uid="{00000000-0005-0000-0000-0000950F0000}"/>
    <cellStyle name="Standard 6 2 3 2 5 6 2 2 2" xfId="15943" xr:uid="{A1B723E9-E894-4804-9BF1-48011DE65E55}"/>
    <cellStyle name="Standard 6 2 3 2 5 6 2 3" xfId="15942" xr:uid="{1CCA5C79-966C-4401-835D-92D6F3AA03FF}"/>
    <cellStyle name="Standard 6 2 3 2 5 6 3" xfId="3983" xr:uid="{00000000-0005-0000-0000-0000960F0000}"/>
    <cellStyle name="Standard 6 2 3 2 5 6 3 2" xfId="15944" xr:uid="{9FE577FD-3BD4-4980-A0F8-183B829AA66F}"/>
    <cellStyle name="Standard 6 2 3 2 5 6 4" xfId="15941" xr:uid="{0315323D-6EB9-4C21-8AF4-746CCCF1E77F}"/>
    <cellStyle name="Standard 6 2 3 2 5 7" xfId="3984" xr:uid="{00000000-0005-0000-0000-0000970F0000}"/>
    <cellStyle name="Standard 6 2 3 2 5 7 2" xfId="3985" xr:uid="{00000000-0005-0000-0000-0000980F0000}"/>
    <cellStyle name="Standard 6 2 3 2 5 7 2 2" xfId="3986" xr:uid="{00000000-0005-0000-0000-0000990F0000}"/>
    <cellStyle name="Standard 6 2 3 2 5 7 2 2 2" xfId="15947" xr:uid="{ECAB4DB8-1693-4E3A-84DE-B50881592EF0}"/>
    <cellStyle name="Standard 6 2 3 2 5 7 2 3" xfId="15946" xr:uid="{40225887-2F83-439C-B1E7-EA3255FEB387}"/>
    <cellStyle name="Standard 6 2 3 2 5 7 3" xfId="3987" xr:uid="{00000000-0005-0000-0000-00009A0F0000}"/>
    <cellStyle name="Standard 6 2 3 2 5 7 3 2" xfId="15948" xr:uid="{DDB1330A-7C27-4157-A2B7-67C0787626F1}"/>
    <cellStyle name="Standard 6 2 3 2 5 7 4" xfId="15945" xr:uid="{F7BD9DAE-B1CB-40F8-80B7-DF862C48802C}"/>
    <cellStyle name="Standard 6 2 3 2 5 8" xfId="3988" xr:uid="{00000000-0005-0000-0000-00009B0F0000}"/>
    <cellStyle name="Standard 6 2 3 2 5 8 2" xfId="3989" xr:uid="{00000000-0005-0000-0000-00009C0F0000}"/>
    <cellStyle name="Standard 6 2 3 2 5 8 2 2" xfId="3990" xr:uid="{00000000-0005-0000-0000-00009D0F0000}"/>
    <cellStyle name="Standard 6 2 3 2 5 8 2 2 2" xfId="15951" xr:uid="{DE5EEA52-FBF2-4986-9BC7-63E25A129ABC}"/>
    <cellStyle name="Standard 6 2 3 2 5 8 2 3" xfId="15950" xr:uid="{DC363D3F-F297-47A1-8786-C4A30247F00B}"/>
    <cellStyle name="Standard 6 2 3 2 5 8 3" xfId="3991" xr:uid="{00000000-0005-0000-0000-00009E0F0000}"/>
    <cellStyle name="Standard 6 2 3 2 5 8 3 2" xfId="15952" xr:uid="{F566F5E2-7D50-463A-A327-F155118437F0}"/>
    <cellStyle name="Standard 6 2 3 2 5 8 4" xfId="15949" xr:uid="{4DAF9980-51D9-4621-ABB7-A31D795A0FD4}"/>
    <cellStyle name="Standard 6 2 3 2 5 9" xfId="3992" xr:uid="{00000000-0005-0000-0000-00009F0F0000}"/>
    <cellStyle name="Standard 6 2 3 2 5 9 2" xfId="3993" xr:uid="{00000000-0005-0000-0000-0000A00F0000}"/>
    <cellStyle name="Standard 6 2 3 2 5 9 2 2" xfId="15954" xr:uid="{EBB0B4EF-5C2C-43B4-8C98-FDDAD1F8727C}"/>
    <cellStyle name="Standard 6 2 3 2 5 9 3" xfId="15953" xr:uid="{789C07E3-D98C-482F-89D1-DE5D4DF4D09C}"/>
    <cellStyle name="Standard 6 2 3 2 6" xfId="3994" xr:uid="{00000000-0005-0000-0000-0000A10F0000}"/>
    <cellStyle name="Standard 6 2 3 2 6 10" xfId="3995" xr:uid="{00000000-0005-0000-0000-0000A20F0000}"/>
    <cellStyle name="Standard 6 2 3 2 6 10 2" xfId="15956" xr:uid="{590F3E49-3855-4BE1-8DE9-1B185CE634A3}"/>
    <cellStyle name="Standard 6 2 3 2 6 11" xfId="15955" xr:uid="{38573E7C-EEB5-4F38-A465-C1ADD29AE65A}"/>
    <cellStyle name="Standard 6 2 3 2 6 2" xfId="3996" xr:uid="{00000000-0005-0000-0000-0000A30F0000}"/>
    <cellStyle name="Standard 6 2 3 2 6 2 10" xfId="15957" xr:uid="{257134AA-99DA-42F5-8612-BD782CF41B9C}"/>
    <cellStyle name="Standard 6 2 3 2 6 2 2" xfId="3997" xr:uid="{00000000-0005-0000-0000-0000A40F0000}"/>
    <cellStyle name="Standard 6 2 3 2 6 2 2 2" xfId="3998" xr:uid="{00000000-0005-0000-0000-0000A50F0000}"/>
    <cellStyle name="Standard 6 2 3 2 6 2 2 2 2" xfId="3999" xr:uid="{00000000-0005-0000-0000-0000A60F0000}"/>
    <cellStyle name="Standard 6 2 3 2 6 2 2 2 2 2" xfId="15960" xr:uid="{2139DBAA-FA48-4636-98AD-DE68926BC4BD}"/>
    <cellStyle name="Standard 6 2 3 2 6 2 2 2 3" xfId="15959" xr:uid="{DA2D1AE9-3B33-4211-854C-6F2AE2BE9A7B}"/>
    <cellStyle name="Standard 6 2 3 2 6 2 2 3" xfId="4000" xr:uid="{00000000-0005-0000-0000-0000A70F0000}"/>
    <cellStyle name="Standard 6 2 3 2 6 2 2 3 2" xfId="15961" xr:uid="{228543F6-F99C-48BD-9925-EA2ADD5FEA57}"/>
    <cellStyle name="Standard 6 2 3 2 6 2 2 4" xfId="15958" xr:uid="{55ED7F07-490D-4F32-BEE2-547DB819B570}"/>
    <cellStyle name="Standard 6 2 3 2 6 2 3" xfId="4001" xr:uid="{00000000-0005-0000-0000-0000A80F0000}"/>
    <cellStyle name="Standard 6 2 3 2 6 2 3 2" xfId="4002" xr:uid="{00000000-0005-0000-0000-0000A90F0000}"/>
    <cellStyle name="Standard 6 2 3 2 6 2 3 2 2" xfId="4003" xr:uid="{00000000-0005-0000-0000-0000AA0F0000}"/>
    <cellStyle name="Standard 6 2 3 2 6 2 3 2 2 2" xfId="15964" xr:uid="{10A574EF-E876-4C60-A2F7-A4A931A93E28}"/>
    <cellStyle name="Standard 6 2 3 2 6 2 3 2 3" xfId="15963" xr:uid="{C2960279-B118-4577-B62A-6A8795B749CE}"/>
    <cellStyle name="Standard 6 2 3 2 6 2 3 3" xfId="4004" xr:uid="{00000000-0005-0000-0000-0000AB0F0000}"/>
    <cellStyle name="Standard 6 2 3 2 6 2 3 3 2" xfId="15965" xr:uid="{AB2F05D9-30B2-4E4A-B29C-13CE7C7BA0A5}"/>
    <cellStyle name="Standard 6 2 3 2 6 2 3 4" xfId="15962" xr:uid="{22F485DD-B388-469A-8BA5-4A9A1E16BC98}"/>
    <cellStyle name="Standard 6 2 3 2 6 2 4" xfId="4005" xr:uid="{00000000-0005-0000-0000-0000AC0F0000}"/>
    <cellStyle name="Standard 6 2 3 2 6 2 4 2" xfId="4006" xr:uid="{00000000-0005-0000-0000-0000AD0F0000}"/>
    <cellStyle name="Standard 6 2 3 2 6 2 4 2 2" xfId="4007" xr:uid="{00000000-0005-0000-0000-0000AE0F0000}"/>
    <cellStyle name="Standard 6 2 3 2 6 2 4 2 2 2" xfId="15968" xr:uid="{3AF429FF-DA32-4E3C-ACC6-43DCC48D422A}"/>
    <cellStyle name="Standard 6 2 3 2 6 2 4 2 3" xfId="15967" xr:uid="{AE8DF03D-9E77-421B-81D1-8C80DBACADA1}"/>
    <cellStyle name="Standard 6 2 3 2 6 2 4 3" xfId="4008" xr:uid="{00000000-0005-0000-0000-0000AF0F0000}"/>
    <cellStyle name="Standard 6 2 3 2 6 2 4 3 2" xfId="15969" xr:uid="{21B7932E-38E8-4515-B7E9-1B991855615E}"/>
    <cellStyle name="Standard 6 2 3 2 6 2 4 4" xfId="15966" xr:uid="{A9AF3878-303A-4345-9B87-F08A098E6445}"/>
    <cellStyle name="Standard 6 2 3 2 6 2 5" xfId="4009" xr:uid="{00000000-0005-0000-0000-0000B00F0000}"/>
    <cellStyle name="Standard 6 2 3 2 6 2 5 2" xfId="4010" xr:uid="{00000000-0005-0000-0000-0000B10F0000}"/>
    <cellStyle name="Standard 6 2 3 2 6 2 5 2 2" xfId="4011" xr:uid="{00000000-0005-0000-0000-0000B20F0000}"/>
    <cellStyle name="Standard 6 2 3 2 6 2 5 2 2 2" xfId="15972" xr:uid="{8F642D77-34AB-412C-9AAB-3CEFD7E6B79E}"/>
    <cellStyle name="Standard 6 2 3 2 6 2 5 2 3" xfId="15971" xr:uid="{14809542-0602-4C72-9A5D-943AAB306E9A}"/>
    <cellStyle name="Standard 6 2 3 2 6 2 5 3" xfId="4012" xr:uid="{00000000-0005-0000-0000-0000B30F0000}"/>
    <cellStyle name="Standard 6 2 3 2 6 2 5 3 2" xfId="15973" xr:uid="{BA2C0125-7D51-453C-BA9E-115600D0B6DC}"/>
    <cellStyle name="Standard 6 2 3 2 6 2 5 4" xfId="15970" xr:uid="{F880E6E7-720C-4367-85EC-67021A07AE28}"/>
    <cellStyle name="Standard 6 2 3 2 6 2 6" xfId="4013" xr:uid="{00000000-0005-0000-0000-0000B40F0000}"/>
    <cellStyle name="Standard 6 2 3 2 6 2 6 2" xfId="4014" xr:uid="{00000000-0005-0000-0000-0000B50F0000}"/>
    <cellStyle name="Standard 6 2 3 2 6 2 6 2 2" xfId="4015" xr:uid="{00000000-0005-0000-0000-0000B60F0000}"/>
    <cellStyle name="Standard 6 2 3 2 6 2 6 2 2 2" xfId="15976" xr:uid="{9BA901C7-FF88-4ADF-BF44-7AD289BC16DD}"/>
    <cellStyle name="Standard 6 2 3 2 6 2 6 2 3" xfId="15975" xr:uid="{F7FAF759-5684-47FA-8641-8CCAA7AF42E0}"/>
    <cellStyle name="Standard 6 2 3 2 6 2 6 3" xfId="4016" xr:uid="{00000000-0005-0000-0000-0000B70F0000}"/>
    <cellStyle name="Standard 6 2 3 2 6 2 6 3 2" xfId="15977" xr:uid="{E4767B77-A141-4F27-8B55-A3EA96859903}"/>
    <cellStyle name="Standard 6 2 3 2 6 2 6 4" xfId="15974" xr:uid="{C488A656-F7F4-4CCD-8C58-5706CFD67E54}"/>
    <cellStyle name="Standard 6 2 3 2 6 2 7" xfId="4017" xr:uid="{00000000-0005-0000-0000-0000B80F0000}"/>
    <cellStyle name="Standard 6 2 3 2 6 2 7 2" xfId="4018" xr:uid="{00000000-0005-0000-0000-0000B90F0000}"/>
    <cellStyle name="Standard 6 2 3 2 6 2 7 2 2" xfId="4019" xr:uid="{00000000-0005-0000-0000-0000BA0F0000}"/>
    <cellStyle name="Standard 6 2 3 2 6 2 7 2 2 2" xfId="15980" xr:uid="{C1085C0E-D9F3-452C-A35C-5D46679DB7C3}"/>
    <cellStyle name="Standard 6 2 3 2 6 2 7 2 3" xfId="15979" xr:uid="{B3BFD8AF-EF39-4548-99F7-F50C658FB5A4}"/>
    <cellStyle name="Standard 6 2 3 2 6 2 7 3" xfId="4020" xr:uid="{00000000-0005-0000-0000-0000BB0F0000}"/>
    <cellStyle name="Standard 6 2 3 2 6 2 7 3 2" xfId="15981" xr:uid="{80B901EB-0F3B-46A1-B82E-5B4F624C30B5}"/>
    <cellStyle name="Standard 6 2 3 2 6 2 7 4" xfId="15978" xr:uid="{049454E9-762A-44D4-886A-F9458E300782}"/>
    <cellStyle name="Standard 6 2 3 2 6 2 8" xfId="4021" xr:uid="{00000000-0005-0000-0000-0000BC0F0000}"/>
    <cellStyle name="Standard 6 2 3 2 6 2 8 2" xfId="4022" xr:uid="{00000000-0005-0000-0000-0000BD0F0000}"/>
    <cellStyle name="Standard 6 2 3 2 6 2 8 2 2" xfId="15983" xr:uid="{87FBDD5F-D307-46D6-9FDA-4CAAC77BA5A9}"/>
    <cellStyle name="Standard 6 2 3 2 6 2 8 3" xfId="15982" xr:uid="{7455F2DD-E0F0-49C7-8896-FC729EB0E8E2}"/>
    <cellStyle name="Standard 6 2 3 2 6 2 9" xfId="4023" xr:uid="{00000000-0005-0000-0000-0000BE0F0000}"/>
    <cellStyle name="Standard 6 2 3 2 6 2 9 2" xfId="15984" xr:uid="{17A00870-9444-4AC6-B46D-E76741A045CA}"/>
    <cellStyle name="Standard 6 2 3 2 6 3" xfId="4024" xr:uid="{00000000-0005-0000-0000-0000BF0F0000}"/>
    <cellStyle name="Standard 6 2 3 2 6 3 2" xfId="4025" xr:uid="{00000000-0005-0000-0000-0000C00F0000}"/>
    <cellStyle name="Standard 6 2 3 2 6 3 2 2" xfId="4026" xr:uid="{00000000-0005-0000-0000-0000C10F0000}"/>
    <cellStyle name="Standard 6 2 3 2 6 3 2 2 2" xfId="15987" xr:uid="{2D6122D1-0461-41D7-8990-622E7570E25E}"/>
    <cellStyle name="Standard 6 2 3 2 6 3 2 3" xfId="15986" xr:uid="{DED95DA5-A39C-42AA-8178-156744EB19BA}"/>
    <cellStyle name="Standard 6 2 3 2 6 3 3" xfId="4027" xr:uid="{00000000-0005-0000-0000-0000C20F0000}"/>
    <cellStyle name="Standard 6 2 3 2 6 3 3 2" xfId="15988" xr:uid="{5533B5B5-A1F8-4FA0-83A0-33966462D7C9}"/>
    <cellStyle name="Standard 6 2 3 2 6 3 4" xfId="15985" xr:uid="{DB7A9A28-8577-4C4A-97B3-01E9A99E15E8}"/>
    <cellStyle name="Standard 6 2 3 2 6 4" xfId="4028" xr:uid="{00000000-0005-0000-0000-0000C30F0000}"/>
    <cellStyle name="Standard 6 2 3 2 6 4 2" xfId="4029" xr:uid="{00000000-0005-0000-0000-0000C40F0000}"/>
    <cellStyle name="Standard 6 2 3 2 6 4 2 2" xfId="4030" xr:uid="{00000000-0005-0000-0000-0000C50F0000}"/>
    <cellStyle name="Standard 6 2 3 2 6 4 2 2 2" xfId="15991" xr:uid="{264C34E4-08B4-4697-AD9B-30F294C88E11}"/>
    <cellStyle name="Standard 6 2 3 2 6 4 2 3" xfId="15990" xr:uid="{1E713F1A-625B-4C18-9F37-928B23ED7735}"/>
    <cellStyle name="Standard 6 2 3 2 6 4 3" xfId="4031" xr:uid="{00000000-0005-0000-0000-0000C60F0000}"/>
    <cellStyle name="Standard 6 2 3 2 6 4 3 2" xfId="15992" xr:uid="{6468BF6A-FBE6-4B6D-8559-92780DA5D8B7}"/>
    <cellStyle name="Standard 6 2 3 2 6 4 4" xfId="15989" xr:uid="{302ED87F-FC78-4D77-9F90-350A476DCE54}"/>
    <cellStyle name="Standard 6 2 3 2 6 5" xfId="4032" xr:uid="{00000000-0005-0000-0000-0000C70F0000}"/>
    <cellStyle name="Standard 6 2 3 2 6 5 2" xfId="4033" xr:uid="{00000000-0005-0000-0000-0000C80F0000}"/>
    <cellStyle name="Standard 6 2 3 2 6 5 2 2" xfId="4034" xr:uid="{00000000-0005-0000-0000-0000C90F0000}"/>
    <cellStyle name="Standard 6 2 3 2 6 5 2 2 2" xfId="15995" xr:uid="{D87E5E31-F48D-416E-A649-C30B42BAD38E}"/>
    <cellStyle name="Standard 6 2 3 2 6 5 2 3" xfId="15994" xr:uid="{B8195EEA-C01B-496F-BE86-5F63F4BC30B7}"/>
    <cellStyle name="Standard 6 2 3 2 6 5 3" xfId="4035" xr:uid="{00000000-0005-0000-0000-0000CA0F0000}"/>
    <cellStyle name="Standard 6 2 3 2 6 5 3 2" xfId="15996" xr:uid="{6253CADB-F771-4BC7-B50E-DFBE17B712FF}"/>
    <cellStyle name="Standard 6 2 3 2 6 5 4" xfId="15993" xr:uid="{BFD415C6-C04C-4C58-B942-EE152F702F2E}"/>
    <cellStyle name="Standard 6 2 3 2 6 6" xfId="4036" xr:uid="{00000000-0005-0000-0000-0000CB0F0000}"/>
    <cellStyle name="Standard 6 2 3 2 6 6 2" xfId="4037" xr:uid="{00000000-0005-0000-0000-0000CC0F0000}"/>
    <cellStyle name="Standard 6 2 3 2 6 6 2 2" xfId="4038" xr:uid="{00000000-0005-0000-0000-0000CD0F0000}"/>
    <cellStyle name="Standard 6 2 3 2 6 6 2 2 2" xfId="15999" xr:uid="{11016517-9F65-4CBA-A6DA-629A916063F7}"/>
    <cellStyle name="Standard 6 2 3 2 6 6 2 3" xfId="15998" xr:uid="{B641A8A2-8E37-4E8C-BC1E-F6B6EB5E76A2}"/>
    <cellStyle name="Standard 6 2 3 2 6 6 3" xfId="4039" xr:uid="{00000000-0005-0000-0000-0000CE0F0000}"/>
    <cellStyle name="Standard 6 2 3 2 6 6 3 2" xfId="16000" xr:uid="{95E6C881-2794-4497-83AC-80F86D68C217}"/>
    <cellStyle name="Standard 6 2 3 2 6 6 4" xfId="15997" xr:uid="{DCAAC1F7-CF35-4DDA-81AD-D0B3503AB62B}"/>
    <cellStyle name="Standard 6 2 3 2 6 7" xfId="4040" xr:uid="{00000000-0005-0000-0000-0000CF0F0000}"/>
    <cellStyle name="Standard 6 2 3 2 6 7 2" xfId="4041" xr:uid="{00000000-0005-0000-0000-0000D00F0000}"/>
    <cellStyle name="Standard 6 2 3 2 6 7 2 2" xfId="4042" xr:uid="{00000000-0005-0000-0000-0000D10F0000}"/>
    <cellStyle name="Standard 6 2 3 2 6 7 2 2 2" xfId="16003" xr:uid="{13FECFCB-496B-43E2-A7A8-98C7F13C7C01}"/>
    <cellStyle name="Standard 6 2 3 2 6 7 2 3" xfId="16002" xr:uid="{7518253E-8E12-4985-B927-5CCFA6F42040}"/>
    <cellStyle name="Standard 6 2 3 2 6 7 3" xfId="4043" xr:uid="{00000000-0005-0000-0000-0000D20F0000}"/>
    <cellStyle name="Standard 6 2 3 2 6 7 3 2" xfId="16004" xr:uid="{F4899EA6-C667-4CAD-93D8-B53E30E7C590}"/>
    <cellStyle name="Standard 6 2 3 2 6 7 4" xfId="16001" xr:uid="{90D912E2-C348-492F-B428-0D41DC580BF1}"/>
    <cellStyle name="Standard 6 2 3 2 6 8" xfId="4044" xr:uid="{00000000-0005-0000-0000-0000D30F0000}"/>
    <cellStyle name="Standard 6 2 3 2 6 8 2" xfId="4045" xr:uid="{00000000-0005-0000-0000-0000D40F0000}"/>
    <cellStyle name="Standard 6 2 3 2 6 8 2 2" xfId="4046" xr:uid="{00000000-0005-0000-0000-0000D50F0000}"/>
    <cellStyle name="Standard 6 2 3 2 6 8 2 2 2" xfId="16007" xr:uid="{21F6483C-8E64-4E29-9FF7-417577EB2769}"/>
    <cellStyle name="Standard 6 2 3 2 6 8 2 3" xfId="16006" xr:uid="{E7137BB8-4A34-48B0-BA57-48F051C3A47B}"/>
    <cellStyle name="Standard 6 2 3 2 6 8 3" xfId="4047" xr:uid="{00000000-0005-0000-0000-0000D60F0000}"/>
    <cellStyle name="Standard 6 2 3 2 6 8 3 2" xfId="16008" xr:uid="{3FA127E8-C188-4BB4-9E4C-E5C9D511195C}"/>
    <cellStyle name="Standard 6 2 3 2 6 8 4" xfId="16005" xr:uid="{543CC394-AF87-413F-B2ED-60074F53F7D1}"/>
    <cellStyle name="Standard 6 2 3 2 6 9" xfId="4048" xr:uid="{00000000-0005-0000-0000-0000D70F0000}"/>
    <cellStyle name="Standard 6 2 3 2 6 9 2" xfId="4049" xr:uid="{00000000-0005-0000-0000-0000D80F0000}"/>
    <cellStyle name="Standard 6 2 3 2 6 9 2 2" xfId="16010" xr:uid="{EC10106A-6084-44A7-B488-6754B8E627C9}"/>
    <cellStyle name="Standard 6 2 3 2 6 9 3" xfId="16009" xr:uid="{992EFAB1-65DC-4418-A80B-B2289D3FAA3B}"/>
    <cellStyle name="Standard 6 2 3 2 7" xfId="4050" xr:uid="{00000000-0005-0000-0000-0000D90F0000}"/>
    <cellStyle name="Standard 6 2 3 2 7 10" xfId="4051" xr:uid="{00000000-0005-0000-0000-0000DA0F0000}"/>
    <cellStyle name="Standard 6 2 3 2 7 10 2" xfId="16012" xr:uid="{14B506CB-DDE3-42D9-8022-50E143166227}"/>
    <cellStyle name="Standard 6 2 3 2 7 11" xfId="16011" xr:uid="{2D716899-5AED-4F2B-963F-8D3B51454390}"/>
    <cellStyle name="Standard 6 2 3 2 7 2" xfId="4052" xr:uid="{00000000-0005-0000-0000-0000DB0F0000}"/>
    <cellStyle name="Standard 6 2 3 2 7 2 10" xfId="16013" xr:uid="{21D9B329-F341-460B-99EE-E5FF105D9084}"/>
    <cellStyle name="Standard 6 2 3 2 7 2 2" xfId="4053" xr:uid="{00000000-0005-0000-0000-0000DC0F0000}"/>
    <cellStyle name="Standard 6 2 3 2 7 2 2 2" xfId="4054" xr:uid="{00000000-0005-0000-0000-0000DD0F0000}"/>
    <cellStyle name="Standard 6 2 3 2 7 2 2 2 2" xfId="4055" xr:uid="{00000000-0005-0000-0000-0000DE0F0000}"/>
    <cellStyle name="Standard 6 2 3 2 7 2 2 2 2 2" xfId="16016" xr:uid="{0B9FA75A-9FF3-40AA-B59D-3FE26F9BFBAA}"/>
    <cellStyle name="Standard 6 2 3 2 7 2 2 2 3" xfId="16015" xr:uid="{0DC81655-4775-4FDC-96D6-45A8276A3A75}"/>
    <cellStyle name="Standard 6 2 3 2 7 2 2 3" xfId="4056" xr:uid="{00000000-0005-0000-0000-0000DF0F0000}"/>
    <cellStyle name="Standard 6 2 3 2 7 2 2 3 2" xfId="16017" xr:uid="{0529F291-2C83-479D-8060-B1B78F63FE87}"/>
    <cellStyle name="Standard 6 2 3 2 7 2 2 4" xfId="16014" xr:uid="{4EFFA799-9BB3-4CBE-B57C-6A0DF6B9D7A5}"/>
    <cellStyle name="Standard 6 2 3 2 7 2 3" xfId="4057" xr:uid="{00000000-0005-0000-0000-0000E00F0000}"/>
    <cellStyle name="Standard 6 2 3 2 7 2 3 2" xfId="4058" xr:uid="{00000000-0005-0000-0000-0000E10F0000}"/>
    <cellStyle name="Standard 6 2 3 2 7 2 3 2 2" xfId="4059" xr:uid="{00000000-0005-0000-0000-0000E20F0000}"/>
    <cellStyle name="Standard 6 2 3 2 7 2 3 2 2 2" xfId="16020" xr:uid="{3C70E7EB-A218-4251-9427-75B6646BA96A}"/>
    <cellStyle name="Standard 6 2 3 2 7 2 3 2 3" xfId="16019" xr:uid="{7C60DF71-B46B-4493-A33D-71649E236309}"/>
    <cellStyle name="Standard 6 2 3 2 7 2 3 3" xfId="4060" xr:uid="{00000000-0005-0000-0000-0000E30F0000}"/>
    <cellStyle name="Standard 6 2 3 2 7 2 3 3 2" xfId="16021" xr:uid="{FE10CDD0-A54C-4581-A2F0-0F176C9D37CF}"/>
    <cellStyle name="Standard 6 2 3 2 7 2 3 4" xfId="16018" xr:uid="{582DF596-390F-45A7-BEAC-B3CB5C958995}"/>
    <cellStyle name="Standard 6 2 3 2 7 2 4" xfId="4061" xr:uid="{00000000-0005-0000-0000-0000E40F0000}"/>
    <cellStyle name="Standard 6 2 3 2 7 2 4 2" xfId="4062" xr:uid="{00000000-0005-0000-0000-0000E50F0000}"/>
    <cellStyle name="Standard 6 2 3 2 7 2 4 2 2" xfId="4063" xr:uid="{00000000-0005-0000-0000-0000E60F0000}"/>
    <cellStyle name="Standard 6 2 3 2 7 2 4 2 2 2" xfId="16024" xr:uid="{267B3291-C539-4390-A561-3DA6DBFC738B}"/>
    <cellStyle name="Standard 6 2 3 2 7 2 4 2 3" xfId="16023" xr:uid="{AEB1ED08-051F-4267-A77B-A58366374557}"/>
    <cellStyle name="Standard 6 2 3 2 7 2 4 3" xfId="4064" xr:uid="{00000000-0005-0000-0000-0000E70F0000}"/>
    <cellStyle name="Standard 6 2 3 2 7 2 4 3 2" xfId="16025" xr:uid="{7691AA91-4036-4602-AA17-EF74063840EE}"/>
    <cellStyle name="Standard 6 2 3 2 7 2 4 4" xfId="16022" xr:uid="{1A941A51-699F-4337-953F-C7A7B4913124}"/>
    <cellStyle name="Standard 6 2 3 2 7 2 5" xfId="4065" xr:uid="{00000000-0005-0000-0000-0000E80F0000}"/>
    <cellStyle name="Standard 6 2 3 2 7 2 5 2" xfId="4066" xr:uid="{00000000-0005-0000-0000-0000E90F0000}"/>
    <cellStyle name="Standard 6 2 3 2 7 2 5 2 2" xfId="4067" xr:uid="{00000000-0005-0000-0000-0000EA0F0000}"/>
    <cellStyle name="Standard 6 2 3 2 7 2 5 2 2 2" xfId="16028" xr:uid="{D36EC2F9-DA4E-46A1-84E1-7DA0BF900874}"/>
    <cellStyle name="Standard 6 2 3 2 7 2 5 2 3" xfId="16027" xr:uid="{E6713CC5-75CB-42D6-81FD-16E724E3F76C}"/>
    <cellStyle name="Standard 6 2 3 2 7 2 5 3" xfId="4068" xr:uid="{00000000-0005-0000-0000-0000EB0F0000}"/>
    <cellStyle name="Standard 6 2 3 2 7 2 5 3 2" xfId="16029" xr:uid="{CD081824-CC9B-4DF2-84E1-BF5FBD09CAAF}"/>
    <cellStyle name="Standard 6 2 3 2 7 2 5 4" xfId="16026" xr:uid="{60943E04-4EFB-4F8D-8415-231817284CC4}"/>
    <cellStyle name="Standard 6 2 3 2 7 2 6" xfId="4069" xr:uid="{00000000-0005-0000-0000-0000EC0F0000}"/>
    <cellStyle name="Standard 6 2 3 2 7 2 6 2" xfId="4070" xr:uid="{00000000-0005-0000-0000-0000ED0F0000}"/>
    <cellStyle name="Standard 6 2 3 2 7 2 6 2 2" xfId="4071" xr:uid="{00000000-0005-0000-0000-0000EE0F0000}"/>
    <cellStyle name="Standard 6 2 3 2 7 2 6 2 2 2" xfId="16032" xr:uid="{D867C503-0F69-4C4A-A6D8-7D3C38104D19}"/>
    <cellStyle name="Standard 6 2 3 2 7 2 6 2 3" xfId="16031" xr:uid="{6D8C99A2-2202-443D-85B4-6E1EF7CEB0A1}"/>
    <cellStyle name="Standard 6 2 3 2 7 2 6 3" xfId="4072" xr:uid="{00000000-0005-0000-0000-0000EF0F0000}"/>
    <cellStyle name="Standard 6 2 3 2 7 2 6 3 2" xfId="16033" xr:uid="{D08AFF40-E0E4-4ABD-A354-D090910920CD}"/>
    <cellStyle name="Standard 6 2 3 2 7 2 6 4" xfId="16030" xr:uid="{5EA64DB9-8C75-4C0F-98BF-887BD03BEDD2}"/>
    <cellStyle name="Standard 6 2 3 2 7 2 7" xfId="4073" xr:uid="{00000000-0005-0000-0000-0000F00F0000}"/>
    <cellStyle name="Standard 6 2 3 2 7 2 7 2" xfId="4074" xr:uid="{00000000-0005-0000-0000-0000F10F0000}"/>
    <cellStyle name="Standard 6 2 3 2 7 2 7 2 2" xfId="4075" xr:uid="{00000000-0005-0000-0000-0000F20F0000}"/>
    <cellStyle name="Standard 6 2 3 2 7 2 7 2 2 2" xfId="16036" xr:uid="{A0D1BEEA-B658-42DE-A1E7-72EB72C14C53}"/>
    <cellStyle name="Standard 6 2 3 2 7 2 7 2 3" xfId="16035" xr:uid="{C28FAC55-39EA-4365-91DE-22FBD948FDA5}"/>
    <cellStyle name="Standard 6 2 3 2 7 2 7 3" xfId="4076" xr:uid="{00000000-0005-0000-0000-0000F30F0000}"/>
    <cellStyle name="Standard 6 2 3 2 7 2 7 3 2" xfId="16037" xr:uid="{BBDE3D0B-DE05-4803-9C15-7628C987A2B6}"/>
    <cellStyle name="Standard 6 2 3 2 7 2 7 4" xfId="16034" xr:uid="{1DEFEC9B-90A8-43A3-933E-EC3281CB0FCD}"/>
    <cellStyle name="Standard 6 2 3 2 7 2 8" xfId="4077" xr:uid="{00000000-0005-0000-0000-0000F40F0000}"/>
    <cellStyle name="Standard 6 2 3 2 7 2 8 2" xfId="4078" xr:uid="{00000000-0005-0000-0000-0000F50F0000}"/>
    <cellStyle name="Standard 6 2 3 2 7 2 8 2 2" xfId="16039" xr:uid="{B6667BBE-702A-4B05-B963-32CAFADF83C3}"/>
    <cellStyle name="Standard 6 2 3 2 7 2 8 3" xfId="16038" xr:uid="{A5A09359-DE4F-4079-A84C-BD7AE5BC099C}"/>
    <cellStyle name="Standard 6 2 3 2 7 2 9" xfId="4079" xr:uid="{00000000-0005-0000-0000-0000F60F0000}"/>
    <cellStyle name="Standard 6 2 3 2 7 2 9 2" xfId="16040" xr:uid="{895A09F3-95CC-47A7-B373-0232D6D0976E}"/>
    <cellStyle name="Standard 6 2 3 2 7 3" xfId="4080" xr:uid="{00000000-0005-0000-0000-0000F70F0000}"/>
    <cellStyle name="Standard 6 2 3 2 7 3 2" xfId="4081" xr:uid="{00000000-0005-0000-0000-0000F80F0000}"/>
    <cellStyle name="Standard 6 2 3 2 7 3 2 2" xfId="4082" xr:uid="{00000000-0005-0000-0000-0000F90F0000}"/>
    <cellStyle name="Standard 6 2 3 2 7 3 2 2 2" xfId="16043" xr:uid="{5A7E8E83-41E9-4CFA-9E31-27DB9560CA06}"/>
    <cellStyle name="Standard 6 2 3 2 7 3 2 3" xfId="16042" xr:uid="{1484FF13-8AEF-4B6A-B3F8-CFAC733051DF}"/>
    <cellStyle name="Standard 6 2 3 2 7 3 3" xfId="4083" xr:uid="{00000000-0005-0000-0000-0000FA0F0000}"/>
    <cellStyle name="Standard 6 2 3 2 7 3 3 2" xfId="16044" xr:uid="{991DF088-BD1C-4515-AAAD-BFB10A7BF26F}"/>
    <cellStyle name="Standard 6 2 3 2 7 3 4" xfId="16041" xr:uid="{AB6375B8-524F-468B-AB52-0C0434DDA609}"/>
    <cellStyle name="Standard 6 2 3 2 7 4" xfId="4084" xr:uid="{00000000-0005-0000-0000-0000FB0F0000}"/>
    <cellStyle name="Standard 6 2 3 2 7 4 2" xfId="4085" xr:uid="{00000000-0005-0000-0000-0000FC0F0000}"/>
    <cellStyle name="Standard 6 2 3 2 7 4 2 2" xfId="4086" xr:uid="{00000000-0005-0000-0000-0000FD0F0000}"/>
    <cellStyle name="Standard 6 2 3 2 7 4 2 2 2" xfId="16047" xr:uid="{F6EF04BC-994D-4463-84E0-685F8EC619A6}"/>
    <cellStyle name="Standard 6 2 3 2 7 4 2 3" xfId="16046" xr:uid="{4ADDC2A8-EB1D-4500-9114-78F090652266}"/>
    <cellStyle name="Standard 6 2 3 2 7 4 3" xfId="4087" xr:uid="{00000000-0005-0000-0000-0000FE0F0000}"/>
    <cellStyle name="Standard 6 2 3 2 7 4 3 2" xfId="16048" xr:uid="{6F783E59-4F7B-4C72-AB4B-336244BFA324}"/>
    <cellStyle name="Standard 6 2 3 2 7 4 4" xfId="16045" xr:uid="{36068D03-2B53-4D6E-B352-11F81029D815}"/>
    <cellStyle name="Standard 6 2 3 2 7 5" xfId="4088" xr:uid="{00000000-0005-0000-0000-0000FF0F0000}"/>
    <cellStyle name="Standard 6 2 3 2 7 5 2" xfId="4089" xr:uid="{00000000-0005-0000-0000-000000100000}"/>
    <cellStyle name="Standard 6 2 3 2 7 5 2 2" xfId="4090" xr:uid="{00000000-0005-0000-0000-000001100000}"/>
    <cellStyle name="Standard 6 2 3 2 7 5 2 2 2" xfId="16051" xr:uid="{C9916479-0538-4868-BC73-98250CEA768E}"/>
    <cellStyle name="Standard 6 2 3 2 7 5 2 3" xfId="16050" xr:uid="{0A5E83ED-6818-447D-9B8A-672119A67A49}"/>
    <cellStyle name="Standard 6 2 3 2 7 5 3" xfId="4091" xr:uid="{00000000-0005-0000-0000-000002100000}"/>
    <cellStyle name="Standard 6 2 3 2 7 5 3 2" xfId="16052" xr:uid="{ABA1D18C-04A2-4327-9357-40A9659529D2}"/>
    <cellStyle name="Standard 6 2 3 2 7 5 4" xfId="16049" xr:uid="{69D307BB-607C-45D3-96D2-4E3E6D7764F7}"/>
    <cellStyle name="Standard 6 2 3 2 7 6" xfId="4092" xr:uid="{00000000-0005-0000-0000-000003100000}"/>
    <cellStyle name="Standard 6 2 3 2 7 6 2" xfId="4093" xr:uid="{00000000-0005-0000-0000-000004100000}"/>
    <cellStyle name="Standard 6 2 3 2 7 6 2 2" xfId="4094" xr:uid="{00000000-0005-0000-0000-000005100000}"/>
    <cellStyle name="Standard 6 2 3 2 7 6 2 2 2" xfId="16055" xr:uid="{9F36FD19-6DAF-433E-BA70-49D5A710E41C}"/>
    <cellStyle name="Standard 6 2 3 2 7 6 2 3" xfId="16054" xr:uid="{BCDCC30A-2A2A-49B9-807C-8861DD581E63}"/>
    <cellStyle name="Standard 6 2 3 2 7 6 3" xfId="4095" xr:uid="{00000000-0005-0000-0000-000006100000}"/>
    <cellStyle name="Standard 6 2 3 2 7 6 3 2" xfId="16056" xr:uid="{00020034-193F-4E47-9D72-CB4B1A45692D}"/>
    <cellStyle name="Standard 6 2 3 2 7 6 4" xfId="16053" xr:uid="{A92899C3-34C0-4336-8ECE-2040F053B58D}"/>
    <cellStyle name="Standard 6 2 3 2 7 7" xfId="4096" xr:uid="{00000000-0005-0000-0000-000007100000}"/>
    <cellStyle name="Standard 6 2 3 2 7 7 2" xfId="4097" xr:uid="{00000000-0005-0000-0000-000008100000}"/>
    <cellStyle name="Standard 6 2 3 2 7 7 2 2" xfId="4098" xr:uid="{00000000-0005-0000-0000-000009100000}"/>
    <cellStyle name="Standard 6 2 3 2 7 7 2 2 2" xfId="16059" xr:uid="{F884C2D0-BDDE-46E7-9F05-084846FEF2FC}"/>
    <cellStyle name="Standard 6 2 3 2 7 7 2 3" xfId="16058" xr:uid="{258AE6A9-F5DE-4CD7-BEC2-A075F983D176}"/>
    <cellStyle name="Standard 6 2 3 2 7 7 3" xfId="4099" xr:uid="{00000000-0005-0000-0000-00000A100000}"/>
    <cellStyle name="Standard 6 2 3 2 7 7 3 2" xfId="16060" xr:uid="{6CDF7DA7-C254-4718-8A71-8894B821B60F}"/>
    <cellStyle name="Standard 6 2 3 2 7 7 4" xfId="16057" xr:uid="{CC97E46A-B4D5-4E5C-9C6F-C9EE7E90180D}"/>
    <cellStyle name="Standard 6 2 3 2 7 8" xfId="4100" xr:uid="{00000000-0005-0000-0000-00000B100000}"/>
    <cellStyle name="Standard 6 2 3 2 7 8 2" xfId="4101" xr:uid="{00000000-0005-0000-0000-00000C100000}"/>
    <cellStyle name="Standard 6 2 3 2 7 8 2 2" xfId="4102" xr:uid="{00000000-0005-0000-0000-00000D100000}"/>
    <cellStyle name="Standard 6 2 3 2 7 8 2 2 2" xfId="16063" xr:uid="{F59ED292-DF1A-4659-AA77-1417976BEE7A}"/>
    <cellStyle name="Standard 6 2 3 2 7 8 2 3" xfId="16062" xr:uid="{73A35A4B-4C1F-46F6-AA31-39BAD174D518}"/>
    <cellStyle name="Standard 6 2 3 2 7 8 3" xfId="4103" xr:uid="{00000000-0005-0000-0000-00000E100000}"/>
    <cellStyle name="Standard 6 2 3 2 7 8 3 2" xfId="16064" xr:uid="{734FF61E-5D69-4D30-85D8-56154F1CAE61}"/>
    <cellStyle name="Standard 6 2 3 2 7 8 4" xfId="16061" xr:uid="{A6D2189E-59BA-467E-B2EA-88FE416F4374}"/>
    <cellStyle name="Standard 6 2 3 2 7 9" xfId="4104" xr:uid="{00000000-0005-0000-0000-00000F100000}"/>
    <cellStyle name="Standard 6 2 3 2 7 9 2" xfId="4105" xr:uid="{00000000-0005-0000-0000-000010100000}"/>
    <cellStyle name="Standard 6 2 3 2 7 9 2 2" xfId="16066" xr:uid="{98631CE0-930F-4A73-B660-E84222261022}"/>
    <cellStyle name="Standard 6 2 3 2 7 9 3" xfId="16065" xr:uid="{BF5CB523-5700-4BF8-885A-53AECFFE1D92}"/>
    <cellStyle name="Standard 6 2 3 2 8" xfId="4106" xr:uid="{00000000-0005-0000-0000-000011100000}"/>
    <cellStyle name="Standard 6 2 3 2 8 10" xfId="16067" xr:uid="{A5F0A1D3-C5D2-4AB4-A15A-042F42688003}"/>
    <cellStyle name="Standard 6 2 3 2 8 2" xfId="4107" xr:uid="{00000000-0005-0000-0000-000012100000}"/>
    <cellStyle name="Standard 6 2 3 2 8 2 2" xfId="4108" xr:uid="{00000000-0005-0000-0000-000013100000}"/>
    <cellStyle name="Standard 6 2 3 2 8 2 2 2" xfId="4109" xr:uid="{00000000-0005-0000-0000-000014100000}"/>
    <cellStyle name="Standard 6 2 3 2 8 2 2 2 2" xfId="16070" xr:uid="{87E5302A-4796-44C6-9009-4F89B6042E16}"/>
    <cellStyle name="Standard 6 2 3 2 8 2 2 3" xfId="16069" xr:uid="{FB229B86-C0CC-4EF5-A064-640081F209C4}"/>
    <cellStyle name="Standard 6 2 3 2 8 2 3" xfId="4110" xr:uid="{00000000-0005-0000-0000-000015100000}"/>
    <cellStyle name="Standard 6 2 3 2 8 2 3 2" xfId="16071" xr:uid="{E4FC23F2-3EF7-4990-BED0-55D6D0ECB2EB}"/>
    <cellStyle name="Standard 6 2 3 2 8 2 4" xfId="16068" xr:uid="{5C6D51DD-7D43-46A0-9A8E-22174A216F31}"/>
    <cellStyle name="Standard 6 2 3 2 8 3" xfId="4111" xr:uid="{00000000-0005-0000-0000-000016100000}"/>
    <cellStyle name="Standard 6 2 3 2 8 3 2" xfId="4112" xr:uid="{00000000-0005-0000-0000-000017100000}"/>
    <cellStyle name="Standard 6 2 3 2 8 3 2 2" xfId="4113" xr:uid="{00000000-0005-0000-0000-000018100000}"/>
    <cellStyle name="Standard 6 2 3 2 8 3 2 2 2" xfId="16074" xr:uid="{02EB0B86-A731-4490-A93A-335CF93D7CBB}"/>
    <cellStyle name="Standard 6 2 3 2 8 3 2 3" xfId="16073" xr:uid="{7F8DBADA-74C3-4233-B534-930E7C803D14}"/>
    <cellStyle name="Standard 6 2 3 2 8 3 3" xfId="4114" xr:uid="{00000000-0005-0000-0000-000019100000}"/>
    <cellStyle name="Standard 6 2 3 2 8 3 3 2" xfId="16075" xr:uid="{7BF28BED-3223-4BB1-971F-BC0733051B9B}"/>
    <cellStyle name="Standard 6 2 3 2 8 3 4" xfId="16072" xr:uid="{7C966B63-D98B-447C-890D-FA892135254E}"/>
    <cellStyle name="Standard 6 2 3 2 8 4" xfId="4115" xr:uid="{00000000-0005-0000-0000-00001A100000}"/>
    <cellStyle name="Standard 6 2 3 2 8 4 2" xfId="4116" xr:uid="{00000000-0005-0000-0000-00001B100000}"/>
    <cellStyle name="Standard 6 2 3 2 8 4 2 2" xfId="4117" xr:uid="{00000000-0005-0000-0000-00001C100000}"/>
    <cellStyle name="Standard 6 2 3 2 8 4 2 2 2" xfId="16078" xr:uid="{7A2DEBAB-9CE4-4F3C-B756-DF55FDD14F47}"/>
    <cellStyle name="Standard 6 2 3 2 8 4 2 3" xfId="16077" xr:uid="{445B6037-6AC7-4A23-B391-83FEE4B78BB1}"/>
    <cellStyle name="Standard 6 2 3 2 8 4 3" xfId="4118" xr:uid="{00000000-0005-0000-0000-00001D100000}"/>
    <cellStyle name="Standard 6 2 3 2 8 4 3 2" xfId="16079" xr:uid="{68E434E1-6C39-48D6-852E-492BE85BA883}"/>
    <cellStyle name="Standard 6 2 3 2 8 4 4" xfId="16076" xr:uid="{D0753D8C-50FB-406D-A247-B2A738338B32}"/>
    <cellStyle name="Standard 6 2 3 2 8 5" xfId="4119" xr:uid="{00000000-0005-0000-0000-00001E100000}"/>
    <cellStyle name="Standard 6 2 3 2 8 5 2" xfId="4120" xr:uid="{00000000-0005-0000-0000-00001F100000}"/>
    <cellStyle name="Standard 6 2 3 2 8 5 2 2" xfId="4121" xr:uid="{00000000-0005-0000-0000-000020100000}"/>
    <cellStyle name="Standard 6 2 3 2 8 5 2 2 2" xfId="16082" xr:uid="{809A6245-3604-4A96-90E5-2E137717F30A}"/>
    <cellStyle name="Standard 6 2 3 2 8 5 2 3" xfId="16081" xr:uid="{CAE94593-266F-4338-8D17-E94E22E08AC5}"/>
    <cellStyle name="Standard 6 2 3 2 8 5 3" xfId="4122" xr:uid="{00000000-0005-0000-0000-000021100000}"/>
    <cellStyle name="Standard 6 2 3 2 8 5 3 2" xfId="16083" xr:uid="{1148C5E0-3B56-41AE-8462-EDEDF43DC52E}"/>
    <cellStyle name="Standard 6 2 3 2 8 5 4" xfId="16080" xr:uid="{1F60D549-8414-4082-845E-1A19F7181E6D}"/>
    <cellStyle name="Standard 6 2 3 2 8 6" xfId="4123" xr:uid="{00000000-0005-0000-0000-000022100000}"/>
    <cellStyle name="Standard 6 2 3 2 8 6 2" xfId="4124" xr:uid="{00000000-0005-0000-0000-000023100000}"/>
    <cellStyle name="Standard 6 2 3 2 8 6 2 2" xfId="4125" xr:uid="{00000000-0005-0000-0000-000024100000}"/>
    <cellStyle name="Standard 6 2 3 2 8 6 2 2 2" xfId="16086" xr:uid="{F64C627A-70DF-48B8-9EB1-B2AC1E3E7EA9}"/>
    <cellStyle name="Standard 6 2 3 2 8 6 2 3" xfId="16085" xr:uid="{4F90A92D-D3FD-4180-B1E0-122F42C4B837}"/>
    <cellStyle name="Standard 6 2 3 2 8 6 3" xfId="4126" xr:uid="{00000000-0005-0000-0000-000025100000}"/>
    <cellStyle name="Standard 6 2 3 2 8 6 3 2" xfId="16087" xr:uid="{4A2321EC-C2DE-4D9A-96E7-CD8414117CF7}"/>
    <cellStyle name="Standard 6 2 3 2 8 6 4" xfId="16084" xr:uid="{41A513B0-ECB1-428B-BD2F-0AD278E55815}"/>
    <cellStyle name="Standard 6 2 3 2 8 7" xfId="4127" xr:uid="{00000000-0005-0000-0000-000026100000}"/>
    <cellStyle name="Standard 6 2 3 2 8 7 2" xfId="4128" xr:uid="{00000000-0005-0000-0000-000027100000}"/>
    <cellStyle name="Standard 6 2 3 2 8 7 2 2" xfId="4129" xr:uid="{00000000-0005-0000-0000-000028100000}"/>
    <cellStyle name="Standard 6 2 3 2 8 7 2 2 2" xfId="16090" xr:uid="{B4FCE89E-303B-4B60-BEA0-4C2BE1301356}"/>
    <cellStyle name="Standard 6 2 3 2 8 7 2 3" xfId="16089" xr:uid="{84B8241F-ACCF-471E-A666-5ED75DE1B9E0}"/>
    <cellStyle name="Standard 6 2 3 2 8 7 3" xfId="4130" xr:uid="{00000000-0005-0000-0000-000029100000}"/>
    <cellStyle name="Standard 6 2 3 2 8 7 3 2" xfId="16091" xr:uid="{DB624036-2B39-4CD9-9D06-9E5CB9CD3C28}"/>
    <cellStyle name="Standard 6 2 3 2 8 7 4" xfId="16088" xr:uid="{52CF2660-E759-46C7-A955-CA43D5B3ADAF}"/>
    <cellStyle name="Standard 6 2 3 2 8 8" xfId="4131" xr:uid="{00000000-0005-0000-0000-00002A100000}"/>
    <cellStyle name="Standard 6 2 3 2 8 8 2" xfId="4132" xr:uid="{00000000-0005-0000-0000-00002B100000}"/>
    <cellStyle name="Standard 6 2 3 2 8 8 2 2" xfId="16093" xr:uid="{BF7E4EFB-E9C1-49A4-ABC4-355ADA51A0BB}"/>
    <cellStyle name="Standard 6 2 3 2 8 8 3" xfId="16092" xr:uid="{16792737-C565-4D36-83E7-260626500B7F}"/>
    <cellStyle name="Standard 6 2 3 2 8 9" xfId="4133" xr:uid="{00000000-0005-0000-0000-00002C100000}"/>
    <cellStyle name="Standard 6 2 3 2 8 9 2" xfId="16094" xr:uid="{770A0FDE-B8A2-4E34-AFA0-7BB18E3CA041}"/>
    <cellStyle name="Standard 6 2 3 2 9" xfId="4134" xr:uid="{00000000-0005-0000-0000-00002D100000}"/>
    <cellStyle name="Standard 6 2 3 2 9 2" xfId="4135" xr:uid="{00000000-0005-0000-0000-00002E100000}"/>
    <cellStyle name="Standard 6 2 3 2 9 2 2" xfId="4136" xr:uid="{00000000-0005-0000-0000-00002F100000}"/>
    <cellStyle name="Standard 6 2 3 2 9 2 2 2" xfId="4137" xr:uid="{00000000-0005-0000-0000-000030100000}"/>
    <cellStyle name="Standard 6 2 3 2 9 2 2 2 2" xfId="16098" xr:uid="{9D2D1383-EDA7-4106-855A-F7BA1C7E9012}"/>
    <cellStyle name="Standard 6 2 3 2 9 2 2 3" xfId="16097" xr:uid="{A8480FF0-2D0E-4778-8D6B-5F454C4C52D9}"/>
    <cellStyle name="Standard 6 2 3 2 9 2 3" xfId="4138" xr:uid="{00000000-0005-0000-0000-000031100000}"/>
    <cellStyle name="Standard 6 2 3 2 9 2 3 2" xfId="16099" xr:uid="{EB264012-6CCC-4F1D-B9C7-B28D44059C4D}"/>
    <cellStyle name="Standard 6 2 3 2 9 2 4" xfId="16096" xr:uid="{AD93DD57-CFEB-4EB4-8A7B-5ADB43004DFF}"/>
    <cellStyle name="Standard 6 2 3 2 9 3" xfId="4139" xr:uid="{00000000-0005-0000-0000-000032100000}"/>
    <cellStyle name="Standard 6 2 3 2 9 3 2" xfId="4140" xr:uid="{00000000-0005-0000-0000-000033100000}"/>
    <cellStyle name="Standard 6 2 3 2 9 3 2 2" xfId="4141" xr:uid="{00000000-0005-0000-0000-000034100000}"/>
    <cellStyle name="Standard 6 2 3 2 9 3 2 2 2" xfId="16102" xr:uid="{27015A50-3818-4D02-AF24-3272E638D2CE}"/>
    <cellStyle name="Standard 6 2 3 2 9 3 2 3" xfId="16101" xr:uid="{C1333A3E-D725-4C56-AE52-04C3F5B8289F}"/>
    <cellStyle name="Standard 6 2 3 2 9 3 3" xfId="4142" xr:uid="{00000000-0005-0000-0000-000035100000}"/>
    <cellStyle name="Standard 6 2 3 2 9 3 3 2" xfId="16103" xr:uid="{98585AFC-311F-47B9-A129-216DAE4ADAB7}"/>
    <cellStyle name="Standard 6 2 3 2 9 3 4" xfId="16100" xr:uid="{72CC7A9A-CD81-4A4F-B765-D40F2421EC38}"/>
    <cellStyle name="Standard 6 2 3 2 9 4" xfId="4143" xr:uid="{00000000-0005-0000-0000-000036100000}"/>
    <cellStyle name="Standard 6 2 3 2 9 4 2" xfId="4144" xr:uid="{00000000-0005-0000-0000-000037100000}"/>
    <cellStyle name="Standard 6 2 3 2 9 4 2 2" xfId="4145" xr:uid="{00000000-0005-0000-0000-000038100000}"/>
    <cellStyle name="Standard 6 2 3 2 9 4 2 2 2" xfId="16106" xr:uid="{A408D827-66EC-4194-9116-76A0E7504D15}"/>
    <cellStyle name="Standard 6 2 3 2 9 4 2 3" xfId="16105" xr:uid="{F0E97140-B5BA-4C7D-B753-E4DEF49B3F30}"/>
    <cellStyle name="Standard 6 2 3 2 9 4 3" xfId="4146" xr:uid="{00000000-0005-0000-0000-000039100000}"/>
    <cellStyle name="Standard 6 2 3 2 9 4 3 2" xfId="16107" xr:uid="{717AE879-D9D1-4EA9-8003-D56CFA9A5ED9}"/>
    <cellStyle name="Standard 6 2 3 2 9 4 4" xfId="16104" xr:uid="{0C831871-EAB2-479B-A696-56663BC42CE4}"/>
    <cellStyle name="Standard 6 2 3 2 9 5" xfId="4147" xr:uid="{00000000-0005-0000-0000-00003A100000}"/>
    <cellStyle name="Standard 6 2 3 2 9 5 2" xfId="4148" xr:uid="{00000000-0005-0000-0000-00003B100000}"/>
    <cellStyle name="Standard 6 2 3 2 9 5 2 2" xfId="4149" xr:uid="{00000000-0005-0000-0000-00003C100000}"/>
    <cellStyle name="Standard 6 2 3 2 9 5 2 2 2" xfId="16110" xr:uid="{25B346DB-1865-4F4B-9133-1E9E7C717608}"/>
    <cellStyle name="Standard 6 2 3 2 9 5 2 3" xfId="16109" xr:uid="{9EFC983E-D57D-4768-A200-4AC4DDE2A752}"/>
    <cellStyle name="Standard 6 2 3 2 9 5 3" xfId="4150" xr:uid="{00000000-0005-0000-0000-00003D100000}"/>
    <cellStyle name="Standard 6 2 3 2 9 5 3 2" xfId="16111" xr:uid="{B3D28DEE-37FE-435B-BF01-62DF97FC46C5}"/>
    <cellStyle name="Standard 6 2 3 2 9 5 4" xfId="16108" xr:uid="{526DAC92-6ECE-4C49-900F-036DE71BCAFD}"/>
    <cellStyle name="Standard 6 2 3 2 9 6" xfId="4151" xr:uid="{00000000-0005-0000-0000-00003E100000}"/>
    <cellStyle name="Standard 6 2 3 2 9 6 2" xfId="4152" xr:uid="{00000000-0005-0000-0000-00003F100000}"/>
    <cellStyle name="Standard 6 2 3 2 9 6 2 2" xfId="4153" xr:uid="{00000000-0005-0000-0000-000040100000}"/>
    <cellStyle name="Standard 6 2 3 2 9 6 2 2 2" xfId="16114" xr:uid="{043B0560-61D9-4DF9-9C50-920C64E804C8}"/>
    <cellStyle name="Standard 6 2 3 2 9 6 2 3" xfId="16113" xr:uid="{F8EF372E-F4B2-40DF-AB04-34D8A67C6395}"/>
    <cellStyle name="Standard 6 2 3 2 9 6 3" xfId="4154" xr:uid="{00000000-0005-0000-0000-000041100000}"/>
    <cellStyle name="Standard 6 2 3 2 9 6 3 2" xfId="16115" xr:uid="{56333D79-2EE1-493B-A42F-52F4E85279CF}"/>
    <cellStyle name="Standard 6 2 3 2 9 6 4" xfId="16112" xr:uid="{5E7E7869-2C4B-41E3-ADC6-31FF744F044B}"/>
    <cellStyle name="Standard 6 2 3 2 9 7" xfId="4155" xr:uid="{00000000-0005-0000-0000-000042100000}"/>
    <cellStyle name="Standard 6 2 3 2 9 7 2" xfId="4156" xr:uid="{00000000-0005-0000-0000-000043100000}"/>
    <cellStyle name="Standard 6 2 3 2 9 7 2 2" xfId="16117" xr:uid="{27302D57-E4EB-4373-B89B-58F0E6B32426}"/>
    <cellStyle name="Standard 6 2 3 2 9 7 3" xfId="16116" xr:uid="{90A0E8AB-16D9-4ABA-A299-C59CD0FCCA3F}"/>
    <cellStyle name="Standard 6 2 3 2 9 8" xfId="4157" xr:uid="{00000000-0005-0000-0000-000044100000}"/>
    <cellStyle name="Standard 6 2 3 2 9 8 2" xfId="16118" xr:uid="{ABBACCB7-C5BB-448D-8273-B49022F5761F}"/>
    <cellStyle name="Standard 6 2 3 2 9 9" xfId="16095" xr:uid="{73B6354E-E5DF-41E1-96C1-46467AC68864}"/>
    <cellStyle name="Standard 6 2 3 20" xfId="4158" xr:uid="{00000000-0005-0000-0000-000045100000}"/>
    <cellStyle name="Standard 6 2 3 20 2" xfId="4159" xr:uid="{00000000-0005-0000-0000-000046100000}"/>
    <cellStyle name="Standard 6 2 3 20 2 2" xfId="4160" xr:uid="{00000000-0005-0000-0000-000047100000}"/>
    <cellStyle name="Standard 6 2 3 20 2 2 2" xfId="16121" xr:uid="{1A4D0E6E-3EB2-44EC-A2E8-E511301407FA}"/>
    <cellStyle name="Standard 6 2 3 20 2 3" xfId="16120" xr:uid="{455090ED-DE07-4F37-BB4B-67CE68B8CF7D}"/>
    <cellStyle name="Standard 6 2 3 20 3" xfId="4161" xr:uid="{00000000-0005-0000-0000-000048100000}"/>
    <cellStyle name="Standard 6 2 3 20 3 2" xfId="16122" xr:uid="{2CC4316C-6C53-429B-91E4-1927FF303734}"/>
    <cellStyle name="Standard 6 2 3 20 4" xfId="16119" xr:uid="{F81A3232-42A9-49DA-8525-B4A9024DD997}"/>
    <cellStyle name="Standard 6 2 3 21" xfId="4162" xr:uid="{00000000-0005-0000-0000-000049100000}"/>
    <cellStyle name="Standard 6 2 3 21 2" xfId="4163" xr:uid="{00000000-0005-0000-0000-00004A100000}"/>
    <cellStyle name="Standard 6 2 3 21 2 2" xfId="4164" xr:uid="{00000000-0005-0000-0000-00004B100000}"/>
    <cellStyle name="Standard 6 2 3 21 2 2 2" xfId="16125" xr:uid="{8A293F4C-F3D3-4E5A-A20E-12D0B64E9B03}"/>
    <cellStyle name="Standard 6 2 3 21 2 3" xfId="16124" xr:uid="{AF53C984-C167-4BE5-B71F-59DF38017885}"/>
    <cellStyle name="Standard 6 2 3 21 3" xfId="4165" xr:uid="{00000000-0005-0000-0000-00004C100000}"/>
    <cellStyle name="Standard 6 2 3 21 3 2" xfId="16126" xr:uid="{2CACEB60-4673-4DBA-AE42-A15E213C6842}"/>
    <cellStyle name="Standard 6 2 3 21 4" xfId="16123" xr:uid="{82EC9244-C7FF-46FD-8288-238E3C55CA2F}"/>
    <cellStyle name="Standard 6 2 3 22" xfId="4166" xr:uid="{00000000-0005-0000-0000-00004D100000}"/>
    <cellStyle name="Standard 6 2 3 22 2" xfId="4167" xr:uid="{00000000-0005-0000-0000-00004E100000}"/>
    <cellStyle name="Standard 6 2 3 22 2 2" xfId="16128" xr:uid="{0BB8D7F1-F478-430C-B98E-1860FCA91F6C}"/>
    <cellStyle name="Standard 6 2 3 22 3" xfId="16127" xr:uid="{47389A32-1B7D-48B3-BC33-65172B0B0E1B}"/>
    <cellStyle name="Standard 6 2 3 23" xfId="4168" xr:uid="{00000000-0005-0000-0000-00004F100000}"/>
    <cellStyle name="Standard 6 2 3 23 2" xfId="16129" xr:uid="{816FDEAB-7E60-438A-9815-5AA4F0A2AC97}"/>
    <cellStyle name="Standard 6 2 3 24" xfId="4169" xr:uid="{00000000-0005-0000-0000-000050100000}"/>
    <cellStyle name="Standard 6 2 3 24 2" xfId="16130" xr:uid="{E270FD41-E2CD-4496-A7F6-53E817B0C9AD}"/>
    <cellStyle name="Standard 6 2 3 25" xfId="15545" xr:uid="{BD8A6D41-E51F-4168-871B-0BA785135382}"/>
    <cellStyle name="Standard 6 2 3 3" xfId="4170" xr:uid="{00000000-0005-0000-0000-000051100000}"/>
    <cellStyle name="Standard 6 2 3 3 10" xfId="4171" xr:uid="{00000000-0005-0000-0000-000052100000}"/>
    <cellStyle name="Standard 6 2 3 3 10 2" xfId="4172" xr:uid="{00000000-0005-0000-0000-000053100000}"/>
    <cellStyle name="Standard 6 2 3 3 10 2 2" xfId="4173" xr:uid="{00000000-0005-0000-0000-000054100000}"/>
    <cellStyle name="Standard 6 2 3 3 10 2 2 2" xfId="16134" xr:uid="{A1DF4378-2494-466D-9FB4-9E4AE44EDE99}"/>
    <cellStyle name="Standard 6 2 3 3 10 2 3" xfId="16133" xr:uid="{A2A1ED2E-E507-4B97-B029-F6D5D4EA18AC}"/>
    <cellStyle name="Standard 6 2 3 3 10 3" xfId="4174" xr:uid="{00000000-0005-0000-0000-000055100000}"/>
    <cellStyle name="Standard 6 2 3 3 10 3 2" xfId="16135" xr:uid="{5865DBF0-1070-49D0-B99E-1FFC7E22D3B1}"/>
    <cellStyle name="Standard 6 2 3 3 10 4" xfId="16132" xr:uid="{66A4D847-5E60-45FC-9E13-40BC737B3B33}"/>
    <cellStyle name="Standard 6 2 3 3 11" xfId="4175" xr:uid="{00000000-0005-0000-0000-000056100000}"/>
    <cellStyle name="Standard 6 2 3 3 11 2" xfId="4176" xr:uid="{00000000-0005-0000-0000-000057100000}"/>
    <cellStyle name="Standard 6 2 3 3 11 2 2" xfId="4177" xr:uid="{00000000-0005-0000-0000-000058100000}"/>
    <cellStyle name="Standard 6 2 3 3 11 2 2 2" xfId="16138" xr:uid="{B168C917-E9C1-4B53-9D71-90B9E7D49AE6}"/>
    <cellStyle name="Standard 6 2 3 3 11 2 3" xfId="16137" xr:uid="{FCAB9606-D468-456C-8B6B-19ABFBC55E34}"/>
    <cellStyle name="Standard 6 2 3 3 11 3" xfId="4178" xr:uid="{00000000-0005-0000-0000-000059100000}"/>
    <cellStyle name="Standard 6 2 3 3 11 3 2" xfId="16139" xr:uid="{AE3CF3D4-DDB5-4381-951F-646FFB3F7CE4}"/>
    <cellStyle name="Standard 6 2 3 3 11 4" xfId="16136" xr:uid="{2B4A270C-258C-4D5C-BD3B-7C4EDB6F7EDE}"/>
    <cellStyle name="Standard 6 2 3 3 12" xfId="4179" xr:uid="{00000000-0005-0000-0000-00005A100000}"/>
    <cellStyle name="Standard 6 2 3 3 12 2" xfId="4180" xr:uid="{00000000-0005-0000-0000-00005B100000}"/>
    <cellStyle name="Standard 6 2 3 3 12 2 2" xfId="4181" xr:uid="{00000000-0005-0000-0000-00005C100000}"/>
    <cellStyle name="Standard 6 2 3 3 12 2 2 2" xfId="16142" xr:uid="{B61E118D-79AF-446D-83C2-7DE6F2E2EAC3}"/>
    <cellStyle name="Standard 6 2 3 3 12 2 3" xfId="16141" xr:uid="{F5498B28-DBB8-4F15-B1B5-A8F840DAE22D}"/>
    <cellStyle name="Standard 6 2 3 3 12 3" xfId="4182" xr:uid="{00000000-0005-0000-0000-00005D100000}"/>
    <cellStyle name="Standard 6 2 3 3 12 3 2" xfId="16143" xr:uid="{1D6A45A4-1382-45BD-9710-BE5B69A52E70}"/>
    <cellStyle name="Standard 6 2 3 3 12 4" xfId="16140" xr:uid="{8D44055D-7423-4FCF-81CB-9883B092E63E}"/>
    <cellStyle name="Standard 6 2 3 3 13" xfId="4183" xr:uid="{00000000-0005-0000-0000-00005E100000}"/>
    <cellStyle name="Standard 6 2 3 3 13 2" xfId="4184" xr:uid="{00000000-0005-0000-0000-00005F100000}"/>
    <cellStyle name="Standard 6 2 3 3 13 2 2" xfId="4185" xr:uid="{00000000-0005-0000-0000-000060100000}"/>
    <cellStyle name="Standard 6 2 3 3 13 2 2 2" xfId="16146" xr:uid="{E64D1A2C-967D-42B4-B9DE-067662F207FF}"/>
    <cellStyle name="Standard 6 2 3 3 13 2 3" xfId="16145" xr:uid="{6925CC6C-4DC8-4884-9006-8B6D39D7D808}"/>
    <cellStyle name="Standard 6 2 3 3 13 3" xfId="4186" xr:uid="{00000000-0005-0000-0000-000061100000}"/>
    <cellStyle name="Standard 6 2 3 3 13 3 2" xfId="16147" xr:uid="{EC9B89A9-A668-49D0-92AF-B1C7D8BC2F1A}"/>
    <cellStyle name="Standard 6 2 3 3 13 4" xfId="16144" xr:uid="{53D81BB5-ED94-414F-942D-921ABF4EF0ED}"/>
    <cellStyle name="Standard 6 2 3 3 14" xfId="4187" xr:uid="{00000000-0005-0000-0000-000062100000}"/>
    <cellStyle name="Standard 6 2 3 3 14 2" xfId="4188" xr:uid="{00000000-0005-0000-0000-000063100000}"/>
    <cellStyle name="Standard 6 2 3 3 14 2 2" xfId="4189" xr:uid="{00000000-0005-0000-0000-000064100000}"/>
    <cellStyle name="Standard 6 2 3 3 14 2 2 2" xfId="16150" xr:uid="{60B751E8-F3D0-4C1B-9552-087521B7790A}"/>
    <cellStyle name="Standard 6 2 3 3 14 2 3" xfId="16149" xr:uid="{4D6648A0-FDA9-4771-A391-AE6B86ECC138}"/>
    <cellStyle name="Standard 6 2 3 3 14 3" xfId="4190" xr:uid="{00000000-0005-0000-0000-000065100000}"/>
    <cellStyle name="Standard 6 2 3 3 14 3 2" xfId="16151" xr:uid="{95E34293-ADF7-4BAD-9065-0FD12CD94B51}"/>
    <cellStyle name="Standard 6 2 3 3 14 4" xfId="16148" xr:uid="{DD070B32-CFC7-42B0-8C93-C139386C3E46}"/>
    <cellStyle name="Standard 6 2 3 3 15" xfId="4191" xr:uid="{00000000-0005-0000-0000-000066100000}"/>
    <cellStyle name="Standard 6 2 3 3 15 2" xfId="4192" xr:uid="{00000000-0005-0000-0000-000067100000}"/>
    <cellStyle name="Standard 6 2 3 3 15 2 2" xfId="4193" xr:uid="{00000000-0005-0000-0000-000068100000}"/>
    <cellStyle name="Standard 6 2 3 3 15 2 2 2" xfId="16154" xr:uid="{53C72D59-8D0D-479E-8D55-E7863BD85958}"/>
    <cellStyle name="Standard 6 2 3 3 15 2 3" xfId="16153" xr:uid="{630B88AC-047B-480C-A014-937FF446CF94}"/>
    <cellStyle name="Standard 6 2 3 3 15 3" xfId="4194" xr:uid="{00000000-0005-0000-0000-000069100000}"/>
    <cellStyle name="Standard 6 2 3 3 15 3 2" xfId="16155" xr:uid="{1AEAFFAE-F7BC-4B7D-B40B-012FF6FBE33C}"/>
    <cellStyle name="Standard 6 2 3 3 15 4" xfId="16152" xr:uid="{EE477079-8884-4865-BE71-845CAF069A32}"/>
    <cellStyle name="Standard 6 2 3 3 16" xfId="4195" xr:uid="{00000000-0005-0000-0000-00006A100000}"/>
    <cellStyle name="Standard 6 2 3 3 16 2" xfId="4196" xr:uid="{00000000-0005-0000-0000-00006B100000}"/>
    <cellStyle name="Standard 6 2 3 3 16 2 2" xfId="4197" xr:uid="{00000000-0005-0000-0000-00006C100000}"/>
    <cellStyle name="Standard 6 2 3 3 16 2 2 2" xfId="16158" xr:uid="{CC251647-A599-485B-9591-578C3813701F}"/>
    <cellStyle name="Standard 6 2 3 3 16 2 3" xfId="16157" xr:uid="{54A2A2FB-AFC0-4DAB-B6DD-89B7BA38065F}"/>
    <cellStyle name="Standard 6 2 3 3 16 3" xfId="4198" xr:uid="{00000000-0005-0000-0000-00006D100000}"/>
    <cellStyle name="Standard 6 2 3 3 16 3 2" xfId="16159" xr:uid="{010AA103-FB1B-4BBB-988D-651C18D4FF9E}"/>
    <cellStyle name="Standard 6 2 3 3 16 4" xfId="16156" xr:uid="{31370911-C0A9-4564-A756-85F74CC8FD83}"/>
    <cellStyle name="Standard 6 2 3 3 17" xfId="4199" xr:uid="{00000000-0005-0000-0000-00006E100000}"/>
    <cellStyle name="Standard 6 2 3 3 17 2" xfId="4200" xr:uid="{00000000-0005-0000-0000-00006F100000}"/>
    <cellStyle name="Standard 6 2 3 3 17 2 2" xfId="4201" xr:uid="{00000000-0005-0000-0000-000070100000}"/>
    <cellStyle name="Standard 6 2 3 3 17 2 2 2" xfId="16162" xr:uid="{9C36C390-49F6-47CB-AB9E-15D94780FA80}"/>
    <cellStyle name="Standard 6 2 3 3 17 2 3" xfId="16161" xr:uid="{71B06AE0-D8F3-4960-A0CA-5099F1ADD9BC}"/>
    <cellStyle name="Standard 6 2 3 3 17 3" xfId="4202" xr:uid="{00000000-0005-0000-0000-000071100000}"/>
    <cellStyle name="Standard 6 2 3 3 17 3 2" xfId="16163" xr:uid="{4BC9BACC-8F19-441A-A9EC-385C51B06C10}"/>
    <cellStyle name="Standard 6 2 3 3 17 4" xfId="16160" xr:uid="{A8D72AAF-6A75-4B99-B5A1-9EACC45F3F65}"/>
    <cellStyle name="Standard 6 2 3 3 18" xfId="4203" xr:uid="{00000000-0005-0000-0000-000072100000}"/>
    <cellStyle name="Standard 6 2 3 3 18 2" xfId="4204" xr:uid="{00000000-0005-0000-0000-000073100000}"/>
    <cellStyle name="Standard 6 2 3 3 18 2 2" xfId="4205" xr:uid="{00000000-0005-0000-0000-000074100000}"/>
    <cellStyle name="Standard 6 2 3 3 18 2 2 2" xfId="16166" xr:uid="{0C8CE0D0-0823-4652-A3E8-D49BB7EB5191}"/>
    <cellStyle name="Standard 6 2 3 3 18 2 3" xfId="16165" xr:uid="{901B5FD3-7688-43DB-ADE4-0EF985A84F43}"/>
    <cellStyle name="Standard 6 2 3 3 18 3" xfId="4206" xr:uid="{00000000-0005-0000-0000-000075100000}"/>
    <cellStyle name="Standard 6 2 3 3 18 3 2" xfId="16167" xr:uid="{821AF7BF-3546-4D52-A7C0-664DE857A83E}"/>
    <cellStyle name="Standard 6 2 3 3 18 4" xfId="16164" xr:uid="{380BDED4-D984-4995-8190-D7007930DB80}"/>
    <cellStyle name="Standard 6 2 3 3 19" xfId="4207" xr:uid="{00000000-0005-0000-0000-000076100000}"/>
    <cellStyle name="Standard 6 2 3 3 19 2" xfId="4208" xr:uid="{00000000-0005-0000-0000-000077100000}"/>
    <cellStyle name="Standard 6 2 3 3 19 2 2" xfId="4209" xr:uid="{00000000-0005-0000-0000-000078100000}"/>
    <cellStyle name="Standard 6 2 3 3 19 2 2 2" xfId="16170" xr:uid="{C4D59026-F83C-4042-8188-6AAA48D6E698}"/>
    <cellStyle name="Standard 6 2 3 3 19 2 3" xfId="16169" xr:uid="{39CA11F3-4AB7-4C67-B6EF-F1F544E1F01E}"/>
    <cellStyle name="Standard 6 2 3 3 19 3" xfId="4210" xr:uid="{00000000-0005-0000-0000-000079100000}"/>
    <cellStyle name="Standard 6 2 3 3 19 3 2" xfId="16171" xr:uid="{FC936123-1478-4D8D-B8DF-F4F9043030CE}"/>
    <cellStyle name="Standard 6 2 3 3 19 4" xfId="16168" xr:uid="{B73B42B5-584C-4DA9-9D13-CB8DB178EA08}"/>
    <cellStyle name="Standard 6 2 3 3 2" xfId="4211" xr:uid="{00000000-0005-0000-0000-00007A100000}"/>
    <cellStyle name="Standard 6 2 3 3 2 10" xfId="4212" xr:uid="{00000000-0005-0000-0000-00007B100000}"/>
    <cellStyle name="Standard 6 2 3 3 2 10 2" xfId="4213" xr:uid="{00000000-0005-0000-0000-00007C100000}"/>
    <cellStyle name="Standard 6 2 3 3 2 10 2 2" xfId="16174" xr:uid="{E4A4EFF8-6F9F-4A55-A85E-3F4DD63CCA6F}"/>
    <cellStyle name="Standard 6 2 3 3 2 10 3" xfId="16173" xr:uid="{BFFE4198-7697-49ED-A98F-50A56960D2FF}"/>
    <cellStyle name="Standard 6 2 3 3 2 11" xfId="4214" xr:uid="{00000000-0005-0000-0000-00007D100000}"/>
    <cellStyle name="Standard 6 2 3 3 2 11 2" xfId="16175" xr:uid="{6FB0FAF0-EBDB-4240-BA5C-C14ABD0D4765}"/>
    <cellStyle name="Standard 6 2 3 3 2 12" xfId="16172" xr:uid="{280BBBE5-3DAD-4BAC-958F-381D42DAD129}"/>
    <cellStyle name="Standard 6 2 3 3 2 2" xfId="4215" xr:uid="{00000000-0005-0000-0000-00007E100000}"/>
    <cellStyle name="Standard 6 2 3 3 2 2 10" xfId="4216" xr:uid="{00000000-0005-0000-0000-00007F100000}"/>
    <cellStyle name="Standard 6 2 3 3 2 2 10 2" xfId="16177" xr:uid="{76A0D2A7-B9A4-4F8E-8264-ECE7258CCB79}"/>
    <cellStyle name="Standard 6 2 3 3 2 2 11" xfId="16176" xr:uid="{2B4CE11E-69EF-463A-B9DB-64B281AFD22A}"/>
    <cellStyle name="Standard 6 2 3 3 2 2 2" xfId="4217" xr:uid="{00000000-0005-0000-0000-000080100000}"/>
    <cellStyle name="Standard 6 2 3 3 2 2 2 10" xfId="16178" xr:uid="{D2F39BE1-BBE9-420E-8915-693C37F3BF1F}"/>
    <cellStyle name="Standard 6 2 3 3 2 2 2 2" xfId="4218" xr:uid="{00000000-0005-0000-0000-000081100000}"/>
    <cellStyle name="Standard 6 2 3 3 2 2 2 2 2" xfId="4219" xr:uid="{00000000-0005-0000-0000-000082100000}"/>
    <cellStyle name="Standard 6 2 3 3 2 2 2 2 2 2" xfId="4220" xr:uid="{00000000-0005-0000-0000-000083100000}"/>
    <cellStyle name="Standard 6 2 3 3 2 2 2 2 2 2 2" xfId="16181" xr:uid="{3C18CB04-45B7-411E-9F18-24C28771CBC7}"/>
    <cellStyle name="Standard 6 2 3 3 2 2 2 2 2 3" xfId="16180" xr:uid="{AED10CF7-BF68-438A-9789-80F2ED024759}"/>
    <cellStyle name="Standard 6 2 3 3 2 2 2 2 3" xfId="4221" xr:uid="{00000000-0005-0000-0000-000084100000}"/>
    <cellStyle name="Standard 6 2 3 3 2 2 2 2 3 2" xfId="16182" xr:uid="{2AD0D61B-E7FB-4C43-A99F-4D0E2F263E13}"/>
    <cellStyle name="Standard 6 2 3 3 2 2 2 2 4" xfId="16179" xr:uid="{82201C70-0320-4536-979B-A286C4B0DE87}"/>
    <cellStyle name="Standard 6 2 3 3 2 2 2 3" xfId="4222" xr:uid="{00000000-0005-0000-0000-000085100000}"/>
    <cellStyle name="Standard 6 2 3 3 2 2 2 3 2" xfId="4223" xr:uid="{00000000-0005-0000-0000-000086100000}"/>
    <cellStyle name="Standard 6 2 3 3 2 2 2 3 2 2" xfId="4224" xr:uid="{00000000-0005-0000-0000-000087100000}"/>
    <cellStyle name="Standard 6 2 3 3 2 2 2 3 2 2 2" xfId="16185" xr:uid="{DF28B3E5-94AF-4DAB-986A-4E95B95DD5D3}"/>
    <cellStyle name="Standard 6 2 3 3 2 2 2 3 2 3" xfId="16184" xr:uid="{7EBA62B1-E744-4586-8C77-628A52E2620A}"/>
    <cellStyle name="Standard 6 2 3 3 2 2 2 3 3" xfId="4225" xr:uid="{00000000-0005-0000-0000-000088100000}"/>
    <cellStyle name="Standard 6 2 3 3 2 2 2 3 3 2" xfId="16186" xr:uid="{709B9C00-E6E0-435A-BC19-631D210B12A4}"/>
    <cellStyle name="Standard 6 2 3 3 2 2 2 3 4" xfId="16183" xr:uid="{C1E8B59A-71F0-424B-A13C-559D774CFC54}"/>
    <cellStyle name="Standard 6 2 3 3 2 2 2 4" xfId="4226" xr:uid="{00000000-0005-0000-0000-000089100000}"/>
    <cellStyle name="Standard 6 2 3 3 2 2 2 4 2" xfId="4227" xr:uid="{00000000-0005-0000-0000-00008A100000}"/>
    <cellStyle name="Standard 6 2 3 3 2 2 2 4 2 2" xfId="4228" xr:uid="{00000000-0005-0000-0000-00008B100000}"/>
    <cellStyle name="Standard 6 2 3 3 2 2 2 4 2 2 2" xfId="16189" xr:uid="{A2B0CAE3-AAC4-44E5-812B-1E0338E53683}"/>
    <cellStyle name="Standard 6 2 3 3 2 2 2 4 2 3" xfId="16188" xr:uid="{956F98D6-C74E-454D-A11B-05E7BA18D86D}"/>
    <cellStyle name="Standard 6 2 3 3 2 2 2 4 3" xfId="4229" xr:uid="{00000000-0005-0000-0000-00008C100000}"/>
    <cellStyle name="Standard 6 2 3 3 2 2 2 4 3 2" xfId="16190" xr:uid="{9DF106EB-CE90-4EA5-B78A-03EF052E2BB0}"/>
    <cellStyle name="Standard 6 2 3 3 2 2 2 4 4" xfId="16187" xr:uid="{AC180BDD-9A43-431A-90B0-8E8E57B20D9E}"/>
    <cellStyle name="Standard 6 2 3 3 2 2 2 5" xfId="4230" xr:uid="{00000000-0005-0000-0000-00008D100000}"/>
    <cellStyle name="Standard 6 2 3 3 2 2 2 5 2" xfId="4231" xr:uid="{00000000-0005-0000-0000-00008E100000}"/>
    <cellStyle name="Standard 6 2 3 3 2 2 2 5 2 2" xfId="4232" xr:uid="{00000000-0005-0000-0000-00008F100000}"/>
    <cellStyle name="Standard 6 2 3 3 2 2 2 5 2 2 2" xfId="16193" xr:uid="{76C8FCEB-7A01-479A-96A4-8AAFC7EA23D6}"/>
    <cellStyle name="Standard 6 2 3 3 2 2 2 5 2 3" xfId="16192" xr:uid="{DF005078-0005-4642-A249-126474A487BE}"/>
    <cellStyle name="Standard 6 2 3 3 2 2 2 5 3" xfId="4233" xr:uid="{00000000-0005-0000-0000-000090100000}"/>
    <cellStyle name="Standard 6 2 3 3 2 2 2 5 3 2" xfId="16194" xr:uid="{FCC90FF9-823F-4D05-90B5-84EAB3EF40E5}"/>
    <cellStyle name="Standard 6 2 3 3 2 2 2 5 4" xfId="16191" xr:uid="{BC646084-73B4-407F-96A2-E2E499AE3CFF}"/>
    <cellStyle name="Standard 6 2 3 3 2 2 2 6" xfId="4234" xr:uid="{00000000-0005-0000-0000-000091100000}"/>
    <cellStyle name="Standard 6 2 3 3 2 2 2 6 2" xfId="4235" xr:uid="{00000000-0005-0000-0000-000092100000}"/>
    <cellStyle name="Standard 6 2 3 3 2 2 2 6 2 2" xfId="4236" xr:uid="{00000000-0005-0000-0000-000093100000}"/>
    <cellStyle name="Standard 6 2 3 3 2 2 2 6 2 2 2" xfId="16197" xr:uid="{DFAA5530-7730-4AA1-8540-40DCD69D03FA}"/>
    <cellStyle name="Standard 6 2 3 3 2 2 2 6 2 3" xfId="16196" xr:uid="{C8961B2E-BDED-40F4-97B7-DCB92AA2B53B}"/>
    <cellStyle name="Standard 6 2 3 3 2 2 2 6 3" xfId="4237" xr:uid="{00000000-0005-0000-0000-000094100000}"/>
    <cellStyle name="Standard 6 2 3 3 2 2 2 6 3 2" xfId="16198" xr:uid="{2466A77B-5BCB-4EE4-B9F2-2C3E82676C46}"/>
    <cellStyle name="Standard 6 2 3 3 2 2 2 6 4" xfId="16195" xr:uid="{6BFD59D8-CF55-47A3-A8FD-F91DD216FCF6}"/>
    <cellStyle name="Standard 6 2 3 3 2 2 2 7" xfId="4238" xr:uid="{00000000-0005-0000-0000-000095100000}"/>
    <cellStyle name="Standard 6 2 3 3 2 2 2 7 2" xfId="4239" xr:uid="{00000000-0005-0000-0000-000096100000}"/>
    <cellStyle name="Standard 6 2 3 3 2 2 2 7 2 2" xfId="4240" xr:uid="{00000000-0005-0000-0000-000097100000}"/>
    <cellStyle name="Standard 6 2 3 3 2 2 2 7 2 2 2" xfId="16201" xr:uid="{EC3F6699-219B-40E3-9A48-93DE88C799A8}"/>
    <cellStyle name="Standard 6 2 3 3 2 2 2 7 2 3" xfId="16200" xr:uid="{FDD6ADF7-C3CD-4331-8947-2B2488B93420}"/>
    <cellStyle name="Standard 6 2 3 3 2 2 2 7 3" xfId="4241" xr:uid="{00000000-0005-0000-0000-000098100000}"/>
    <cellStyle name="Standard 6 2 3 3 2 2 2 7 3 2" xfId="16202" xr:uid="{E71D9129-998C-423D-8402-B302B8A0472E}"/>
    <cellStyle name="Standard 6 2 3 3 2 2 2 7 4" xfId="16199" xr:uid="{4186205A-820A-4F91-BA71-8996CF1E84B6}"/>
    <cellStyle name="Standard 6 2 3 3 2 2 2 8" xfId="4242" xr:uid="{00000000-0005-0000-0000-000099100000}"/>
    <cellStyle name="Standard 6 2 3 3 2 2 2 8 2" xfId="4243" xr:uid="{00000000-0005-0000-0000-00009A100000}"/>
    <cellStyle name="Standard 6 2 3 3 2 2 2 8 2 2" xfId="16204" xr:uid="{D9A43255-2A78-41A6-9E6D-7528BCCCE63C}"/>
    <cellStyle name="Standard 6 2 3 3 2 2 2 8 3" xfId="16203" xr:uid="{73E1EADB-08E3-4195-BF5A-B9704DE9154E}"/>
    <cellStyle name="Standard 6 2 3 3 2 2 2 9" xfId="4244" xr:uid="{00000000-0005-0000-0000-00009B100000}"/>
    <cellStyle name="Standard 6 2 3 3 2 2 2 9 2" xfId="16205" xr:uid="{30C00FF2-EE05-406A-B99F-AE47E800A57A}"/>
    <cellStyle name="Standard 6 2 3 3 2 2 3" xfId="4245" xr:uid="{00000000-0005-0000-0000-00009C100000}"/>
    <cellStyle name="Standard 6 2 3 3 2 2 3 2" xfId="4246" xr:uid="{00000000-0005-0000-0000-00009D100000}"/>
    <cellStyle name="Standard 6 2 3 3 2 2 3 2 2" xfId="4247" xr:uid="{00000000-0005-0000-0000-00009E100000}"/>
    <cellStyle name="Standard 6 2 3 3 2 2 3 2 2 2" xfId="16208" xr:uid="{5977E144-E25C-48E3-B131-D6F729286CCF}"/>
    <cellStyle name="Standard 6 2 3 3 2 2 3 2 3" xfId="16207" xr:uid="{4B202590-7DC2-4EA2-8E31-F63FB0DABE2F}"/>
    <cellStyle name="Standard 6 2 3 3 2 2 3 3" xfId="4248" xr:uid="{00000000-0005-0000-0000-00009F100000}"/>
    <cellStyle name="Standard 6 2 3 3 2 2 3 3 2" xfId="16209" xr:uid="{03C1FFF8-07B7-426B-BB39-028CB5B3E4D3}"/>
    <cellStyle name="Standard 6 2 3 3 2 2 3 4" xfId="16206" xr:uid="{E7B75E3A-C35D-4CFF-BA0C-B82B9C4550A8}"/>
    <cellStyle name="Standard 6 2 3 3 2 2 4" xfId="4249" xr:uid="{00000000-0005-0000-0000-0000A0100000}"/>
    <cellStyle name="Standard 6 2 3 3 2 2 4 2" xfId="4250" xr:uid="{00000000-0005-0000-0000-0000A1100000}"/>
    <cellStyle name="Standard 6 2 3 3 2 2 4 2 2" xfId="4251" xr:uid="{00000000-0005-0000-0000-0000A2100000}"/>
    <cellStyle name="Standard 6 2 3 3 2 2 4 2 2 2" xfId="16212" xr:uid="{37ABF641-CDC8-48F5-9BD0-EB68DCB1B027}"/>
    <cellStyle name="Standard 6 2 3 3 2 2 4 2 3" xfId="16211" xr:uid="{2035D8AE-D147-4B60-9A36-C27E2EAD56DE}"/>
    <cellStyle name="Standard 6 2 3 3 2 2 4 3" xfId="4252" xr:uid="{00000000-0005-0000-0000-0000A3100000}"/>
    <cellStyle name="Standard 6 2 3 3 2 2 4 3 2" xfId="16213" xr:uid="{D368F8BD-5F19-49CB-A4D1-9F7B4D92825F}"/>
    <cellStyle name="Standard 6 2 3 3 2 2 4 4" xfId="16210" xr:uid="{D50C8A2B-4B66-4CEA-AFED-CBB8F14EACA0}"/>
    <cellStyle name="Standard 6 2 3 3 2 2 5" xfId="4253" xr:uid="{00000000-0005-0000-0000-0000A4100000}"/>
    <cellStyle name="Standard 6 2 3 3 2 2 5 2" xfId="4254" xr:uid="{00000000-0005-0000-0000-0000A5100000}"/>
    <cellStyle name="Standard 6 2 3 3 2 2 5 2 2" xfId="4255" xr:uid="{00000000-0005-0000-0000-0000A6100000}"/>
    <cellStyle name="Standard 6 2 3 3 2 2 5 2 2 2" xfId="16216" xr:uid="{F3184A2A-B79C-47E4-BE6F-6FBFEE63510D}"/>
    <cellStyle name="Standard 6 2 3 3 2 2 5 2 3" xfId="16215" xr:uid="{950AE694-8E06-45C7-9AC5-634412C52280}"/>
    <cellStyle name="Standard 6 2 3 3 2 2 5 3" xfId="4256" xr:uid="{00000000-0005-0000-0000-0000A7100000}"/>
    <cellStyle name="Standard 6 2 3 3 2 2 5 3 2" xfId="16217" xr:uid="{C7CE7F00-A83C-4BD0-BCA1-63E165092FAD}"/>
    <cellStyle name="Standard 6 2 3 3 2 2 5 4" xfId="16214" xr:uid="{3ACA1EDC-A47B-4050-84D2-2357EA5DBF9A}"/>
    <cellStyle name="Standard 6 2 3 3 2 2 6" xfId="4257" xr:uid="{00000000-0005-0000-0000-0000A8100000}"/>
    <cellStyle name="Standard 6 2 3 3 2 2 6 2" xfId="4258" xr:uid="{00000000-0005-0000-0000-0000A9100000}"/>
    <cellStyle name="Standard 6 2 3 3 2 2 6 2 2" xfId="4259" xr:uid="{00000000-0005-0000-0000-0000AA100000}"/>
    <cellStyle name="Standard 6 2 3 3 2 2 6 2 2 2" xfId="16220" xr:uid="{CF0F0019-023D-4BB1-8E16-1CE829B01521}"/>
    <cellStyle name="Standard 6 2 3 3 2 2 6 2 3" xfId="16219" xr:uid="{195D207F-6C2C-4B9E-B583-1D2F1A95E49D}"/>
    <cellStyle name="Standard 6 2 3 3 2 2 6 3" xfId="4260" xr:uid="{00000000-0005-0000-0000-0000AB100000}"/>
    <cellStyle name="Standard 6 2 3 3 2 2 6 3 2" xfId="16221" xr:uid="{7F08D757-5515-4776-969E-8B7457108BD4}"/>
    <cellStyle name="Standard 6 2 3 3 2 2 6 4" xfId="16218" xr:uid="{2F2D37F8-4D2C-4051-A5A9-95E42FD1B6BD}"/>
    <cellStyle name="Standard 6 2 3 3 2 2 7" xfId="4261" xr:uid="{00000000-0005-0000-0000-0000AC100000}"/>
    <cellStyle name="Standard 6 2 3 3 2 2 7 2" xfId="4262" xr:uid="{00000000-0005-0000-0000-0000AD100000}"/>
    <cellStyle name="Standard 6 2 3 3 2 2 7 2 2" xfId="4263" xr:uid="{00000000-0005-0000-0000-0000AE100000}"/>
    <cellStyle name="Standard 6 2 3 3 2 2 7 2 2 2" xfId="16224" xr:uid="{0EF21CFA-08F9-4815-8639-160B8939D610}"/>
    <cellStyle name="Standard 6 2 3 3 2 2 7 2 3" xfId="16223" xr:uid="{B4326295-7D2C-4BDB-A19C-022304788DE1}"/>
    <cellStyle name="Standard 6 2 3 3 2 2 7 3" xfId="4264" xr:uid="{00000000-0005-0000-0000-0000AF100000}"/>
    <cellStyle name="Standard 6 2 3 3 2 2 7 3 2" xfId="16225" xr:uid="{EB44E175-991D-453A-8D4D-4A9B7A15E244}"/>
    <cellStyle name="Standard 6 2 3 3 2 2 7 4" xfId="16222" xr:uid="{C46866F4-8A1A-4649-964C-791F3279963B}"/>
    <cellStyle name="Standard 6 2 3 3 2 2 8" xfId="4265" xr:uid="{00000000-0005-0000-0000-0000B0100000}"/>
    <cellStyle name="Standard 6 2 3 3 2 2 8 2" xfId="4266" xr:uid="{00000000-0005-0000-0000-0000B1100000}"/>
    <cellStyle name="Standard 6 2 3 3 2 2 8 2 2" xfId="4267" xr:uid="{00000000-0005-0000-0000-0000B2100000}"/>
    <cellStyle name="Standard 6 2 3 3 2 2 8 2 2 2" xfId="16228" xr:uid="{8CCA1DDC-A084-4384-86B0-44C3253A275C}"/>
    <cellStyle name="Standard 6 2 3 3 2 2 8 2 3" xfId="16227" xr:uid="{3DA9CCE7-765F-427D-82E4-F3383FB1C2D8}"/>
    <cellStyle name="Standard 6 2 3 3 2 2 8 3" xfId="4268" xr:uid="{00000000-0005-0000-0000-0000B3100000}"/>
    <cellStyle name="Standard 6 2 3 3 2 2 8 3 2" xfId="16229" xr:uid="{27342E62-6E2C-432A-9A7A-6D5FE88AD770}"/>
    <cellStyle name="Standard 6 2 3 3 2 2 8 4" xfId="16226" xr:uid="{74AB2FEC-8073-43C1-8FDD-980F2BA88A98}"/>
    <cellStyle name="Standard 6 2 3 3 2 2 9" xfId="4269" xr:uid="{00000000-0005-0000-0000-0000B4100000}"/>
    <cellStyle name="Standard 6 2 3 3 2 2 9 2" xfId="4270" xr:uid="{00000000-0005-0000-0000-0000B5100000}"/>
    <cellStyle name="Standard 6 2 3 3 2 2 9 2 2" xfId="16231" xr:uid="{15171A54-A416-4EBC-9717-59EC56F0530E}"/>
    <cellStyle name="Standard 6 2 3 3 2 2 9 3" xfId="16230" xr:uid="{BB267D8B-0849-47D7-91F9-B6CEC8747FC2}"/>
    <cellStyle name="Standard 6 2 3 3 2 3" xfId="4271" xr:uid="{00000000-0005-0000-0000-0000B6100000}"/>
    <cellStyle name="Standard 6 2 3 3 2 3 10" xfId="16232" xr:uid="{F3BBB9F8-C22A-4F24-9A5C-5DDBC073BC25}"/>
    <cellStyle name="Standard 6 2 3 3 2 3 2" xfId="4272" xr:uid="{00000000-0005-0000-0000-0000B7100000}"/>
    <cellStyle name="Standard 6 2 3 3 2 3 2 2" xfId="4273" xr:uid="{00000000-0005-0000-0000-0000B8100000}"/>
    <cellStyle name="Standard 6 2 3 3 2 3 2 2 2" xfId="4274" xr:uid="{00000000-0005-0000-0000-0000B9100000}"/>
    <cellStyle name="Standard 6 2 3 3 2 3 2 2 2 2" xfId="16235" xr:uid="{CFDE3947-4A8E-425E-83BD-3CE36F17B1FD}"/>
    <cellStyle name="Standard 6 2 3 3 2 3 2 2 3" xfId="16234" xr:uid="{1EF9731A-8B1A-4C1E-8B18-52518A569F90}"/>
    <cellStyle name="Standard 6 2 3 3 2 3 2 3" xfId="4275" xr:uid="{00000000-0005-0000-0000-0000BA100000}"/>
    <cellStyle name="Standard 6 2 3 3 2 3 2 3 2" xfId="16236" xr:uid="{38B6A730-C314-4B8A-85F9-3E60854AB43E}"/>
    <cellStyle name="Standard 6 2 3 3 2 3 2 4" xfId="16233" xr:uid="{32BFE8AD-9009-483F-A183-EA5B2C5EF97E}"/>
    <cellStyle name="Standard 6 2 3 3 2 3 3" xfId="4276" xr:uid="{00000000-0005-0000-0000-0000BB100000}"/>
    <cellStyle name="Standard 6 2 3 3 2 3 3 2" xfId="4277" xr:uid="{00000000-0005-0000-0000-0000BC100000}"/>
    <cellStyle name="Standard 6 2 3 3 2 3 3 2 2" xfId="4278" xr:uid="{00000000-0005-0000-0000-0000BD100000}"/>
    <cellStyle name="Standard 6 2 3 3 2 3 3 2 2 2" xfId="16239" xr:uid="{C712E748-828C-4015-9CFE-B608D28B8B71}"/>
    <cellStyle name="Standard 6 2 3 3 2 3 3 2 3" xfId="16238" xr:uid="{FFABB09F-C2C5-4A09-8C2A-E36A561243C1}"/>
    <cellStyle name="Standard 6 2 3 3 2 3 3 3" xfId="4279" xr:uid="{00000000-0005-0000-0000-0000BE100000}"/>
    <cellStyle name="Standard 6 2 3 3 2 3 3 3 2" xfId="16240" xr:uid="{7DD5EB94-7831-4B44-BE38-06C111A98211}"/>
    <cellStyle name="Standard 6 2 3 3 2 3 3 4" xfId="16237" xr:uid="{9DBF854C-1767-443B-BB1B-B31788841DB1}"/>
    <cellStyle name="Standard 6 2 3 3 2 3 4" xfId="4280" xr:uid="{00000000-0005-0000-0000-0000BF100000}"/>
    <cellStyle name="Standard 6 2 3 3 2 3 4 2" xfId="4281" xr:uid="{00000000-0005-0000-0000-0000C0100000}"/>
    <cellStyle name="Standard 6 2 3 3 2 3 4 2 2" xfId="4282" xr:uid="{00000000-0005-0000-0000-0000C1100000}"/>
    <cellStyle name="Standard 6 2 3 3 2 3 4 2 2 2" xfId="16243" xr:uid="{908BECCC-0409-472D-972F-EC7386B1BF8E}"/>
    <cellStyle name="Standard 6 2 3 3 2 3 4 2 3" xfId="16242" xr:uid="{A821E32F-E6AA-4356-8942-56D1875E23F1}"/>
    <cellStyle name="Standard 6 2 3 3 2 3 4 3" xfId="4283" xr:uid="{00000000-0005-0000-0000-0000C2100000}"/>
    <cellStyle name="Standard 6 2 3 3 2 3 4 3 2" xfId="16244" xr:uid="{528C4461-66FC-43E0-9430-3A205B52336E}"/>
    <cellStyle name="Standard 6 2 3 3 2 3 4 4" xfId="16241" xr:uid="{A6C42251-A9B7-4C1D-9164-7F8C675629E1}"/>
    <cellStyle name="Standard 6 2 3 3 2 3 5" xfId="4284" xr:uid="{00000000-0005-0000-0000-0000C3100000}"/>
    <cellStyle name="Standard 6 2 3 3 2 3 5 2" xfId="4285" xr:uid="{00000000-0005-0000-0000-0000C4100000}"/>
    <cellStyle name="Standard 6 2 3 3 2 3 5 2 2" xfId="4286" xr:uid="{00000000-0005-0000-0000-0000C5100000}"/>
    <cellStyle name="Standard 6 2 3 3 2 3 5 2 2 2" xfId="16247" xr:uid="{5119461B-40C7-4870-A2C5-A1DB828E0B3B}"/>
    <cellStyle name="Standard 6 2 3 3 2 3 5 2 3" xfId="16246" xr:uid="{69277FC0-B902-4D35-8473-664EFAB1735A}"/>
    <cellStyle name="Standard 6 2 3 3 2 3 5 3" xfId="4287" xr:uid="{00000000-0005-0000-0000-0000C6100000}"/>
    <cellStyle name="Standard 6 2 3 3 2 3 5 3 2" xfId="16248" xr:uid="{F392B7A5-D7E5-4491-BFA5-A233F46AAEE1}"/>
    <cellStyle name="Standard 6 2 3 3 2 3 5 4" xfId="16245" xr:uid="{E0E54AD7-8348-4A74-A634-C96A8BD1EA70}"/>
    <cellStyle name="Standard 6 2 3 3 2 3 6" xfId="4288" xr:uid="{00000000-0005-0000-0000-0000C7100000}"/>
    <cellStyle name="Standard 6 2 3 3 2 3 6 2" xfId="4289" xr:uid="{00000000-0005-0000-0000-0000C8100000}"/>
    <cellStyle name="Standard 6 2 3 3 2 3 6 2 2" xfId="4290" xr:uid="{00000000-0005-0000-0000-0000C9100000}"/>
    <cellStyle name="Standard 6 2 3 3 2 3 6 2 2 2" xfId="16251" xr:uid="{65DB7A30-710F-4A2D-A7DD-7C26315F5286}"/>
    <cellStyle name="Standard 6 2 3 3 2 3 6 2 3" xfId="16250" xr:uid="{2E5C2DCD-A085-4D0F-BB44-B575C8C16ADA}"/>
    <cellStyle name="Standard 6 2 3 3 2 3 6 3" xfId="4291" xr:uid="{00000000-0005-0000-0000-0000CA100000}"/>
    <cellStyle name="Standard 6 2 3 3 2 3 6 3 2" xfId="16252" xr:uid="{0D8B4A53-4F2B-4187-A0CB-839DFF580281}"/>
    <cellStyle name="Standard 6 2 3 3 2 3 6 4" xfId="16249" xr:uid="{80ACC1C8-A7F8-4FA6-A031-D670BC043F19}"/>
    <cellStyle name="Standard 6 2 3 3 2 3 7" xfId="4292" xr:uid="{00000000-0005-0000-0000-0000CB100000}"/>
    <cellStyle name="Standard 6 2 3 3 2 3 7 2" xfId="4293" xr:uid="{00000000-0005-0000-0000-0000CC100000}"/>
    <cellStyle name="Standard 6 2 3 3 2 3 7 2 2" xfId="4294" xr:uid="{00000000-0005-0000-0000-0000CD100000}"/>
    <cellStyle name="Standard 6 2 3 3 2 3 7 2 2 2" xfId="16255" xr:uid="{29B69C13-805C-47ED-B653-417970A5F495}"/>
    <cellStyle name="Standard 6 2 3 3 2 3 7 2 3" xfId="16254" xr:uid="{5C96B25F-29D2-44E0-BB18-D72E241011BD}"/>
    <cellStyle name="Standard 6 2 3 3 2 3 7 3" xfId="4295" xr:uid="{00000000-0005-0000-0000-0000CE100000}"/>
    <cellStyle name="Standard 6 2 3 3 2 3 7 3 2" xfId="16256" xr:uid="{35E74CA2-0406-4450-B07F-B9822D8416AE}"/>
    <cellStyle name="Standard 6 2 3 3 2 3 7 4" xfId="16253" xr:uid="{A93C2B7B-897C-4162-9C08-9054FB9628B8}"/>
    <cellStyle name="Standard 6 2 3 3 2 3 8" xfId="4296" xr:uid="{00000000-0005-0000-0000-0000CF100000}"/>
    <cellStyle name="Standard 6 2 3 3 2 3 8 2" xfId="4297" xr:uid="{00000000-0005-0000-0000-0000D0100000}"/>
    <cellStyle name="Standard 6 2 3 3 2 3 8 2 2" xfId="16258" xr:uid="{4DB839DD-6D61-4BC0-B4DD-39203BB74473}"/>
    <cellStyle name="Standard 6 2 3 3 2 3 8 3" xfId="16257" xr:uid="{91E54E56-2A4F-4FD4-99C2-0B848283BCFE}"/>
    <cellStyle name="Standard 6 2 3 3 2 3 9" xfId="4298" xr:uid="{00000000-0005-0000-0000-0000D1100000}"/>
    <cellStyle name="Standard 6 2 3 3 2 3 9 2" xfId="16259" xr:uid="{9801642C-7A7E-4F20-BBE2-04C7063AC115}"/>
    <cellStyle name="Standard 6 2 3 3 2 4" xfId="4299" xr:uid="{00000000-0005-0000-0000-0000D2100000}"/>
    <cellStyle name="Standard 6 2 3 3 2 4 2" xfId="4300" xr:uid="{00000000-0005-0000-0000-0000D3100000}"/>
    <cellStyle name="Standard 6 2 3 3 2 4 2 2" xfId="4301" xr:uid="{00000000-0005-0000-0000-0000D4100000}"/>
    <cellStyle name="Standard 6 2 3 3 2 4 2 2 2" xfId="16262" xr:uid="{2E8DF63C-D400-4C59-BB80-FE704AAD530A}"/>
    <cellStyle name="Standard 6 2 3 3 2 4 2 3" xfId="16261" xr:uid="{AE05C931-AF73-462D-AA58-E4417A266F9F}"/>
    <cellStyle name="Standard 6 2 3 3 2 4 3" xfId="4302" xr:uid="{00000000-0005-0000-0000-0000D5100000}"/>
    <cellStyle name="Standard 6 2 3 3 2 4 3 2" xfId="16263" xr:uid="{2557DABD-1C63-4716-A31A-15D145B7A249}"/>
    <cellStyle name="Standard 6 2 3 3 2 4 4" xfId="16260" xr:uid="{AAD7BAE9-401C-488C-892C-8A3ED32E18C9}"/>
    <cellStyle name="Standard 6 2 3 3 2 5" xfId="4303" xr:uid="{00000000-0005-0000-0000-0000D6100000}"/>
    <cellStyle name="Standard 6 2 3 3 2 5 2" xfId="4304" xr:uid="{00000000-0005-0000-0000-0000D7100000}"/>
    <cellStyle name="Standard 6 2 3 3 2 5 2 2" xfId="4305" xr:uid="{00000000-0005-0000-0000-0000D8100000}"/>
    <cellStyle name="Standard 6 2 3 3 2 5 2 2 2" xfId="16266" xr:uid="{E3471583-871B-41D5-A909-F80C2F40EA2C}"/>
    <cellStyle name="Standard 6 2 3 3 2 5 2 3" xfId="16265" xr:uid="{8A059EAB-0819-4435-8D4F-02BA4E4A51AC}"/>
    <cellStyle name="Standard 6 2 3 3 2 5 3" xfId="4306" xr:uid="{00000000-0005-0000-0000-0000D9100000}"/>
    <cellStyle name="Standard 6 2 3 3 2 5 3 2" xfId="16267" xr:uid="{4A58F81B-EE51-4A74-B365-D20094EA6359}"/>
    <cellStyle name="Standard 6 2 3 3 2 5 4" xfId="16264" xr:uid="{CA1F4FD6-1B8F-44DA-82AE-85D6E83D028B}"/>
    <cellStyle name="Standard 6 2 3 3 2 6" xfId="4307" xr:uid="{00000000-0005-0000-0000-0000DA100000}"/>
    <cellStyle name="Standard 6 2 3 3 2 6 2" xfId="4308" xr:uid="{00000000-0005-0000-0000-0000DB100000}"/>
    <cellStyle name="Standard 6 2 3 3 2 6 2 2" xfId="4309" xr:uid="{00000000-0005-0000-0000-0000DC100000}"/>
    <cellStyle name="Standard 6 2 3 3 2 6 2 2 2" xfId="16270" xr:uid="{D23A45AE-9191-43F1-B43F-1266C584C6E6}"/>
    <cellStyle name="Standard 6 2 3 3 2 6 2 3" xfId="16269" xr:uid="{05C97713-436D-4285-89D4-53725A31D115}"/>
    <cellStyle name="Standard 6 2 3 3 2 6 3" xfId="4310" xr:uid="{00000000-0005-0000-0000-0000DD100000}"/>
    <cellStyle name="Standard 6 2 3 3 2 6 3 2" xfId="16271" xr:uid="{15E4EB18-E107-4558-B135-FC72054BB0C2}"/>
    <cellStyle name="Standard 6 2 3 3 2 6 4" xfId="16268" xr:uid="{AE69CA77-703F-4506-BE76-1628CD05E8FC}"/>
    <cellStyle name="Standard 6 2 3 3 2 7" xfId="4311" xr:uid="{00000000-0005-0000-0000-0000DE100000}"/>
    <cellStyle name="Standard 6 2 3 3 2 7 2" xfId="4312" xr:uid="{00000000-0005-0000-0000-0000DF100000}"/>
    <cellStyle name="Standard 6 2 3 3 2 7 2 2" xfId="4313" xr:uid="{00000000-0005-0000-0000-0000E0100000}"/>
    <cellStyle name="Standard 6 2 3 3 2 7 2 2 2" xfId="16274" xr:uid="{A218DEFC-9ABD-474D-A5FF-E4B8FA4BDEA1}"/>
    <cellStyle name="Standard 6 2 3 3 2 7 2 3" xfId="16273" xr:uid="{A269B983-62CB-45D8-94C8-01266F75167F}"/>
    <cellStyle name="Standard 6 2 3 3 2 7 3" xfId="4314" xr:uid="{00000000-0005-0000-0000-0000E1100000}"/>
    <cellStyle name="Standard 6 2 3 3 2 7 3 2" xfId="16275" xr:uid="{ABCE99F8-9B55-4DC5-9BFF-13F479A1A7C9}"/>
    <cellStyle name="Standard 6 2 3 3 2 7 4" xfId="16272" xr:uid="{F81C3BD2-BE14-42FC-8222-09DFAE94F99F}"/>
    <cellStyle name="Standard 6 2 3 3 2 8" xfId="4315" xr:uid="{00000000-0005-0000-0000-0000E2100000}"/>
    <cellStyle name="Standard 6 2 3 3 2 8 2" xfId="4316" xr:uid="{00000000-0005-0000-0000-0000E3100000}"/>
    <cellStyle name="Standard 6 2 3 3 2 8 2 2" xfId="4317" xr:uid="{00000000-0005-0000-0000-0000E4100000}"/>
    <cellStyle name="Standard 6 2 3 3 2 8 2 2 2" xfId="16278" xr:uid="{EA906605-D639-4B7D-ACE7-7BB48B4B4CFB}"/>
    <cellStyle name="Standard 6 2 3 3 2 8 2 3" xfId="16277" xr:uid="{B710FF7C-5C07-4510-8BF1-42302ABBF821}"/>
    <cellStyle name="Standard 6 2 3 3 2 8 3" xfId="4318" xr:uid="{00000000-0005-0000-0000-0000E5100000}"/>
    <cellStyle name="Standard 6 2 3 3 2 8 3 2" xfId="16279" xr:uid="{77768A58-C8CB-4D6C-8983-7E510FE9ED87}"/>
    <cellStyle name="Standard 6 2 3 3 2 8 4" xfId="16276" xr:uid="{CACD69A5-5723-453D-95A6-BC9214C31FBC}"/>
    <cellStyle name="Standard 6 2 3 3 2 9" xfId="4319" xr:uid="{00000000-0005-0000-0000-0000E6100000}"/>
    <cellStyle name="Standard 6 2 3 3 2 9 2" xfId="4320" xr:uid="{00000000-0005-0000-0000-0000E7100000}"/>
    <cellStyle name="Standard 6 2 3 3 2 9 2 2" xfId="4321" xr:uid="{00000000-0005-0000-0000-0000E8100000}"/>
    <cellStyle name="Standard 6 2 3 3 2 9 2 2 2" xfId="16282" xr:uid="{88F44A1E-1191-45B4-84C3-CB91E062FC54}"/>
    <cellStyle name="Standard 6 2 3 3 2 9 2 3" xfId="16281" xr:uid="{2C5E93BE-DFCC-43E7-B64E-748626EA40A0}"/>
    <cellStyle name="Standard 6 2 3 3 2 9 3" xfId="4322" xr:uid="{00000000-0005-0000-0000-0000E9100000}"/>
    <cellStyle name="Standard 6 2 3 3 2 9 3 2" xfId="16283" xr:uid="{7F2532D2-4412-47C0-AD66-FED1FB7A483C}"/>
    <cellStyle name="Standard 6 2 3 3 2 9 4" xfId="16280" xr:uid="{38B7F9C8-891D-46FC-BEAE-4B1A26BD724A}"/>
    <cellStyle name="Standard 6 2 3 3 20" xfId="4323" xr:uid="{00000000-0005-0000-0000-0000EA100000}"/>
    <cellStyle name="Standard 6 2 3 3 20 2" xfId="4324" xr:uid="{00000000-0005-0000-0000-0000EB100000}"/>
    <cellStyle name="Standard 6 2 3 3 20 2 2" xfId="16285" xr:uid="{D26DD564-776E-435F-AB28-98127FC9F16F}"/>
    <cellStyle name="Standard 6 2 3 3 20 3" xfId="16284" xr:uid="{374181FD-C307-4CE1-8828-AB49C8CE00C6}"/>
    <cellStyle name="Standard 6 2 3 3 21" xfId="4325" xr:uid="{00000000-0005-0000-0000-0000EC100000}"/>
    <cellStyle name="Standard 6 2 3 3 21 2" xfId="16286" xr:uid="{D3DE1AA7-2BB8-4814-8563-1EE72D0D6759}"/>
    <cellStyle name="Standard 6 2 3 3 22" xfId="4326" xr:uid="{00000000-0005-0000-0000-0000ED100000}"/>
    <cellStyle name="Standard 6 2 3 3 22 2" xfId="16287" xr:uid="{AD2E4315-ADB6-4705-BDFE-6B7F4A699BC2}"/>
    <cellStyle name="Standard 6 2 3 3 23" xfId="16131" xr:uid="{9676C440-76C5-4269-83E2-45F3AFD7BC0E}"/>
    <cellStyle name="Standard 6 2 3 3 3" xfId="4327" xr:uid="{00000000-0005-0000-0000-0000EE100000}"/>
    <cellStyle name="Standard 6 2 3 3 3 10" xfId="4328" xr:uid="{00000000-0005-0000-0000-0000EF100000}"/>
    <cellStyle name="Standard 6 2 3 3 3 10 2" xfId="16289" xr:uid="{DA328A5F-DCAA-4CC3-9255-5D524A060641}"/>
    <cellStyle name="Standard 6 2 3 3 3 11" xfId="16288" xr:uid="{598F8870-74E2-4A14-92B5-F56CE78A0FBC}"/>
    <cellStyle name="Standard 6 2 3 3 3 2" xfId="4329" xr:uid="{00000000-0005-0000-0000-0000F0100000}"/>
    <cellStyle name="Standard 6 2 3 3 3 2 10" xfId="16290" xr:uid="{FAF2310F-1C5C-473E-8E7A-EE81D038A7FF}"/>
    <cellStyle name="Standard 6 2 3 3 3 2 2" xfId="4330" xr:uid="{00000000-0005-0000-0000-0000F1100000}"/>
    <cellStyle name="Standard 6 2 3 3 3 2 2 2" xfId="4331" xr:uid="{00000000-0005-0000-0000-0000F2100000}"/>
    <cellStyle name="Standard 6 2 3 3 3 2 2 2 2" xfId="4332" xr:uid="{00000000-0005-0000-0000-0000F3100000}"/>
    <cellStyle name="Standard 6 2 3 3 3 2 2 2 2 2" xfId="16293" xr:uid="{A08CF441-5614-4B31-91CC-CF00979A1AEE}"/>
    <cellStyle name="Standard 6 2 3 3 3 2 2 2 3" xfId="16292" xr:uid="{E242450C-E9A0-4AB5-B1B6-9BE466A23224}"/>
    <cellStyle name="Standard 6 2 3 3 3 2 2 3" xfId="4333" xr:uid="{00000000-0005-0000-0000-0000F4100000}"/>
    <cellStyle name="Standard 6 2 3 3 3 2 2 3 2" xfId="16294" xr:uid="{22F3F43C-1129-4CC4-8AE5-E577508F206A}"/>
    <cellStyle name="Standard 6 2 3 3 3 2 2 4" xfId="16291" xr:uid="{0C758CBF-020C-432F-95C1-5EAB9116CEBC}"/>
    <cellStyle name="Standard 6 2 3 3 3 2 3" xfId="4334" xr:uid="{00000000-0005-0000-0000-0000F5100000}"/>
    <cellStyle name="Standard 6 2 3 3 3 2 3 2" xfId="4335" xr:uid="{00000000-0005-0000-0000-0000F6100000}"/>
    <cellStyle name="Standard 6 2 3 3 3 2 3 2 2" xfId="4336" xr:uid="{00000000-0005-0000-0000-0000F7100000}"/>
    <cellStyle name="Standard 6 2 3 3 3 2 3 2 2 2" xfId="16297" xr:uid="{0E5DDD4E-4B3D-4B63-A3FC-1FEF80E9328F}"/>
    <cellStyle name="Standard 6 2 3 3 3 2 3 2 3" xfId="16296" xr:uid="{CB51B75C-98EB-4B31-BFDE-CEF24DB3BD81}"/>
    <cellStyle name="Standard 6 2 3 3 3 2 3 3" xfId="4337" xr:uid="{00000000-0005-0000-0000-0000F8100000}"/>
    <cellStyle name="Standard 6 2 3 3 3 2 3 3 2" xfId="16298" xr:uid="{1998DA1E-DA60-47C8-B057-2F30E9D9E6A4}"/>
    <cellStyle name="Standard 6 2 3 3 3 2 3 4" xfId="16295" xr:uid="{63B5D7CC-C32B-4CC4-9211-2B58959418D5}"/>
    <cellStyle name="Standard 6 2 3 3 3 2 4" xfId="4338" xr:uid="{00000000-0005-0000-0000-0000F9100000}"/>
    <cellStyle name="Standard 6 2 3 3 3 2 4 2" xfId="4339" xr:uid="{00000000-0005-0000-0000-0000FA100000}"/>
    <cellStyle name="Standard 6 2 3 3 3 2 4 2 2" xfId="4340" xr:uid="{00000000-0005-0000-0000-0000FB100000}"/>
    <cellStyle name="Standard 6 2 3 3 3 2 4 2 2 2" xfId="16301" xr:uid="{E84E2EEC-6555-4134-9AED-98E5DA15026B}"/>
    <cellStyle name="Standard 6 2 3 3 3 2 4 2 3" xfId="16300" xr:uid="{AF4B0124-8A1D-4EB8-9394-ECDDF796E327}"/>
    <cellStyle name="Standard 6 2 3 3 3 2 4 3" xfId="4341" xr:uid="{00000000-0005-0000-0000-0000FC100000}"/>
    <cellStyle name="Standard 6 2 3 3 3 2 4 3 2" xfId="16302" xr:uid="{9A00BD03-2AC6-4025-81FA-8774F8F0EC4B}"/>
    <cellStyle name="Standard 6 2 3 3 3 2 4 4" xfId="16299" xr:uid="{E12712F0-6034-4819-BAEF-A0C2F300513B}"/>
    <cellStyle name="Standard 6 2 3 3 3 2 5" xfId="4342" xr:uid="{00000000-0005-0000-0000-0000FD100000}"/>
    <cellStyle name="Standard 6 2 3 3 3 2 5 2" xfId="4343" xr:uid="{00000000-0005-0000-0000-0000FE100000}"/>
    <cellStyle name="Standard 6 2 3 3 3 2 5 2 2" xfId="4344" xr:uid="{00000000-0005-0000-0000-0000FF100000}"/>
    <cellStyle name="Standard 6 2 3 3 3 2 5 2 2 2" xfId="16305" xr:uid="{E275803D-259E-48E7-B0D7-4CFD10DB203E}"/>
    <cellStyle name="Standard 6 2 3 3 3 2 5 2 3" xfId="16304" xr:uid="{8A0C8370-E649-4D8B-B3F5-B1AD27469886}"/>
    <cellStyle name="Standard 6 2 3 3 3 2 5 3" xfId="4345" xr:uid="{00000000-0005-0000-0000-000000110000}"/>
    <cellStyle name="Standard 6 2 3 3 3 2 5 3 2" xfId="16306" xr:uid="{2BCB9391-55BD-47B9-A8F0-F5A0192D7859}"/>
    <cellStyle name="Standard 6 2 3 3 3 2 5 4" xfId="16303" xr:uid="{C1FA8135-B2A8-4986-BB34-B6BFD065F12C}"/>
    <cellStyle name="Standard 6 2 3 3 3 2 6" xfId="4346" xr:uid="{00000000-0005-0000-0000-000001110000}"/>
    <cellStyle name="Standard 6 2 3 3 3 2 6 2" xfId="4347" xr:uid="{00000000-0005-0000-0000-000002110000}"/>
    <cellStyle name="Standard 6 2 3 3 3 2 6 2 2" xfId="4348" xr:uid="{00000000-0005-0000-0000-000003110000}"/>
    <cellStyle name="Standard 6 2 3 3 3 2 6 2 2 2" xfId="16309" xr:uid="{1EEA19BE-293F-4D67-A6AD-68AD556CD46C}"/>
    <cellStyle name="Standard 6 2 3 3 3 2 6 2 3" xfId="16308" xr:uid="{3DF4FA0B-95D4-49B8-88FF-A1B180942A47}"/>
    <cellStyle name="Standard 6 2 3 3 3 2 6 3" xfId="4349" xr:uid="{00000000-0005-0000-0000-000004110000}"/>
    <cellStyle name="Standard 6 2 3 3 3 2 6 3 2" xfId="16310" xr:uid="{3D025153-4F80-4DCE-B273-DC42F1F51A3B}"/>
    <cellStyle name="Standard 6 2 3 3 3 2 6 4" xfId="16307" xr:uid="{F86D235B-AAF7-48B0-9AB0-FEE1803227B0}"/>
    <cellStyle name="Standard 6 2 3 3 3 2 7" xfId="4350" xr:uid="{00000000-0005-0000-0000-000005110000}"/>
    <cellStyle name="Standard 6 2 3 3 3 2 7 2" xfId="4351" xr:uid="{00000000-0005-0000-0000-000006110000}"/>
    <cellStyle name="Standard 6 2 3 3 3 2 7 2 2" xfId="4352" xr:uid="{00000000-0005-0000-0000-000007110000}"/>
    <cellStyle name="Standard 6 2 3 3 3 2 7 2 2 2" xfId="16313" xr:uid="{4AFF3EF8-7E29-4404-BEF3-A8A314B1CF49}"/>
    <cellStyle name="Standard 6 2 3 3 3 2 7 2 3" xfId="16312" xr:uid="{CBA028D3-5A70-4009-B016-17C1A96D7285}"/>
    <cellStyle name="Standard 6 2 3 3 3 2 7 3" xfId="4353" xr:uid="{00000000-0005-0000-0000-000008110000}"/>
    <cellStyle name="Standard 6 2 3 3 3 2 7 3 2" xfId="16314" xr:uid="{0A0FF24A-DE12-48FE-8F03-94B623EDC336}"/>
    <cellStyle name="Standard 6 2 3 3 3 2 7 4" xfId="16311" xr:uid="{0B1D8CCB-73A8-4859-BDD2-ECB57E3CF789}"/>
    <cellStyle name="Standard 6 2 3 3 3 2 8" xfId="4354" xr:uid="{00000000-0005-0000-0000-000009110000}"/>
    <cellStyle name="Standard 6 2 3 3 3 2 8 2" xfId="4355" xr:uid="{00000000-0005-0000-0000-00000A110000}"/>
    <cellStyle name="Standard 6 2 3 3 3 2 8 2 2" xfId="16316" xr:uid="{29D29E7C-7EC2-441B-83DC-1EFF20FAB982}"/>
    <cellStyle name="Standard 6 2 3 3 3 2 8 3" xfId="16315" xr:uid="{BB542EA0-D119-4FF2-BEE4-844092C81808}"/>
    <cellStyle name="Standard 6 2 3 3 3 2 9" xfId="4356" xr:uid="{00000000-0005-0000-0000-00000B110000}"/>
    <cellStyle name="Standard 6 2 3 3 3 2 9 2" xfId="16317" xr:uid="{3816C3FB-ED77-4540-B0AA-47E579C931E2}"/>
    <cellStyle name="Standard 6 2 3 3 3 3" xfId="4357" xr:uid="{00000000-0005-0000-0000-00000C110000}"/>
    <cellStyle name="Standard 6 2 3 3 3 3 2" xfId="4358" xr:uid="{00000000-0005-0000-0000-00000D110000}"/>
    <cellStyle name="Standard 6 2 3 3 3 3 2 2" xfId="4359" xr:uid="{00000000-0005-0000-0000-00000E110000}"/>
    <cellStyle name="Standard 6 2 3 3 3 3 2 2 2" xfId="16320" xr:uid="{16EC3764-8BFF-4C1A-922A-DF8561967BCC}"/>
    <cellStyle name="Standard 6 2 3 3 3 3 2 3" xfId="16319" xr:uid="{721AB3D3-35D5-494F-A957-EA9CEA5082CA}"/>
    <cellStyle name="Standard 6 2 3 3 3 3 3" xfId="4360" xr:uid="{00000000-0005-0000-0000-00000F110000}"/>
    <cellStyle name="Standard 6 2 3 3 3 3 3 2" xfId="16321" xr:uid="{E0BC1FB6-6287-44AE-B206-B3972E81A7D8}"/>
    <cellStyle name="Standard 6 2 3 3 3 3 4" xfId="16318" xr:uid="{20F71A6E-9EA5-43BB-87F3-5F38AAE6E704}"/>
    <cellStyle name="Standard 6 2 3 3 3 4" xfId="4361" xr:uid="{00000000-0005-0000-0000-000010110000}"/>
    <cellStyle name="Standard 6 2 3 3 3 4 2" xfId="4362" xr:uid="{00000000-0005-0000-0000-000011110000}"/>
    <cellStyle name="Standard 6 2 3 3 3 4 2 2" xfId="4363" xr:uid="{00000000-0005-0000-0000-000012110000}"/>
    <cellStyle name="Standard 6 2 3 3 3 4 2 2 2" xfId="16324" xr:uid="{33C03D7B-176F-46EF-9761-4D717C7DA6CB}"/>
    <cellStyle name="Standard 6 2 3 3 3 4 2 3" xfId="16323" xr:uid="{C13E1195-B5AE-418E-A2D8-12B09EF922C0}"/>
    <cellStyle name="Standard 6 2 3 3 3 4 3" xfId="4364" xr:uid="{00000000-0005-0000-0000-000013110000}"/>
    <cellStyle name="Standard 6 2 3 3 3 4 3 2" xfId="16325" xr:uid="{AE9FD9DF-FFB5-4994-8ED2-2E216B2B995F}"/>
    <cellStyle name="Standard 6 2 3 3 3 4 4" xfId="16322" xr:uid="{D9C30895-4EFB-4934-8EC5-F1D50C3D3ABC}"/>
    <cellStyle name="Standard 6 2 3 3 3 5" xfId="4365" xr:uid="{00000000-0005-0000-0000-000014110000}"/>
    <cellStyle name="Standard 6 2 3 3 3 5 2" xfId="4366" xr:uid="{00000000-0005-0000-0000-000015110000}"/>
    <cellStyle name="Standard 6 2 3 3 3 5 2 2" xfId="4367" xr:uid="{00000000-0005-0000-0000-000016110000}"/>
    <cellStyle name="Standard 6 2 3 3 3 5 2 2 2" xfId="16328" xr:uid="{AFF57027-49CD-48ED-A39E-5ACBDCA028DA}"/>
    <cellStyle name="Standard 6 2 3 3 3 5 2 3" xfId="16327" xr:uid="{B87AFFA0-0D34-4CD4-951F-3C188589EE0F}"/>
    <cellStyle name="Standard 6 2 3 3 3 5 3" xfId="4368" xr:uid="{00000000-0005-0000-0000-000017110000}"/>
    <cellStyle name="Standard 6 2 3 3 3 5 3 2" xfId="16329" xr:uid="{B298A0DB-9870-42C9-ADDA-37D116EE8946}"/>
    <cellStyle name="Standard 6 2 3 3 3 5 4" xfId="16326" xr:uid="{D0C5FA61-AD3C-4B36-80C9-790D99A4CA1C}"/>
    <cellStyle name="Standard 6 2 3 3 3 6" xfId="4369" xr:uid="{00000000-0005-0000-0000-000018110000}"/>
    <cellStyle name="Standard 6 2 3 3 3 6 2" xfId="4370" xr:uid="{00000000-0005-0000-0000-000019110000}"/>
    <cellStyle name="Standard 6 2 3 3 3 6 2 2" xfId="4371" xr:uid="{00000000-0005-0000-0000-00001A110000}"/>
    <cellStyle name="Standard 6 2 3 3 3 6 2 2 2" xfId="16332" xr:uid="{02554AC1-5434-4792-B901-7206AD515F21}"/>
    <cellStyle name="Standard 6 2 3 3 3 6 2 3" xfId="16331" xr:uid="{0677F5A7-1B43-4897-9453-E674A39479AF}"/>
    <cellStyle name="Standard 6 2 3 3 3 6 3" xfId="4372" xr:uid="{00000000-0005-0000-0000-00001B110000}"/>
    <cellStyle name="Standard 6 2 3 3 3 6 3 2" xfId="16333" xr:uid="{08282765-39BF-4F20-AFAE-CD64C502AB1D}"/>
    <cellStyle name="Standard 6 2 3 3 3 6 4" xfId="16330" xr:uid="{B26C5C23-D0CD-426F-8246-0690974B2106}"/>
    <cellStyle name="Standard 6 2 3 3 3 7" xfId="4373" xr:uid="{00000000-0005-0000-0000-00001C110000}"/>
    <cellStyle name="Standard 6 2 3 3 3 7 2" xfId="4374" xr:uid="{00000000-0005-0000-0000-00001D110000}"/>
    <cellStyle name="Standard 6 2 3 3 3 7 2 2" xfId="4375" xr:uid="{00000000-0005-0000-0000-00001E110000}"/>
    <cellStyle name="Standard 6 2 3 3 3 7 2 2 2" xfId="16336" xr:uid="{F7D58B6C-7B74-4612-9B79-C8140EAC6FBB}"/>
    <cellStyle name="Standard 6 2 3 3 3 7 2 3" xfId="16335" xr:uid="{1C78599E-6588-4002-8DBA-2CBF359732DD}"/>
    <cellStyle name="Standard 6 2 3 3 3 7 3" xfId="4376" xr:uid="{00000000-0005-0000-0000-00001F110000}"/>
    <cellStyle name="Standard 6 2 3 3 3 7 3 2" xfId="16337" xr:uid="{9BE2CA3D-FD5E-4CDF-B347-4544DED50DFD}"/>
    <cellStyle name="Standard 6 2 3 3 3 7 4" xfId="16334" xr:uid="{714367A3-C1F1-4920-AC91-81200507C139}"/>
    <cellStyle name="Standard 6 2 3 3 3 8" xfId="4377" xr:uid="{00000000-0005-0000-0000-000020110000}"/>
    <cellStyle name="Standard 6 2 3 3 3 8 2" xfId="4378" xr:uid="{00000000-0005-0000-0000-000021110000}"/>
    <cellStyle name="Standard 6 2 3 3 3 8 2 2" xfId="4379" xr:uid="{00000000-0005-0000-0000-000022110000}"/>
    <cellStyle name="Standard 6 2 3 3 3 8 2 2 2" xfId="16340" xr:uid="{662291DC-7C54-44DB-88DC-1D07A617D2F4}"/>
    <cellStyle name="Standard 6 2 3 3 3 8 2 3" xfId="16339" xr:uid="{A0F8F9BC-1397-4F97-879C-8ECB49C7411A}"/>
    <cellStyle name="Standard 6 2 3 3 3 8 3" xfId="4380" xr:uid="{00000000-0005-0000-0000-000023110000}"/>
    <cellStyle name="Standard 6 2 3 3 3 8 3 2" xfId="16341" xr:uid="{6E7CD78C-D990-4D86-9702-BCABF2E68685}"/>
    <cellStyle name="Standard 6 2 3 3 3 8 4" xfId="16338" xr:uid="{3F28C6FD-BA88-4158-8D80-64E9E742DE92}"/>
    <cellStyle name="Standard 6 2 3 3 3 9" xfId="4381" xr:uid="{00000000-0005-0000-0000-000024110000}"/>
    <cellStyle name="Standard 6 2 3 3 3 9 2" xfId="4382" xr:uid="{00000000-0005-0000-0000-000025110000}"/>
    <cellStyle name="Standard 6 2 3 3 3 9 2 2" xfId="16343" xr:uid="{A9D3EA40-694B-4F74-A2D9-FCA9D4C2DA43}"/>
    <cellStyle name="Standard 6 2 3 3 3 9 3" xfId="16342" xr:uid="{C0C15F8B-76A9-4384-969B-17D751F4429D}"/>
    <cellStyle name="Standard 6 2 3 3 4" xfId="4383" xr:uid="{00000000-0005-0000-0000-000026110000}"/>
    <cellStyle name="Standard 6 2 3 3 4 10" xfId="4384" xr:uid="{00000000-0005-0000-0000-000027110000}"/>
    <cellStyle name="Standard 6 2 3 3 4 10 2" xfId="16345" xr:uid="{3D93C94C-AF9D-4505-8432-F11B44087168}"/>
    <cellStyle name="Standard 6 2 3 3 4 11" xfId="16344" xr:uid="{27060EF1-27E8-412A-96E4-4F4ADD63F719}"/>
    <cellStyle name="Standard 6 2 3 3 4 2" xfId="4385" xr:uid="{00000000-0005-0000-0000-000028110000}"/>
    <cellStyle name="Standard 6 2 3 3 4 2 10" xfId="16346" xr:uid="{2D0857B1-91B6-4F66-8A8D-111D8F0162BE}"/>
    <cellStyle name="Standard 6 2 3 3 4 2 2" xfId="4386" xr:uid="{00000000-0005-0000-0000-000029110000}"/>
    <cellStyle name="Standard 6 2 3 3 4 2 2 2" xfId="4387" xr:uid="{00000000-0005-0000-0000-00002A110000}"/>
    <cellStyle name="Standard 6 2 3 3 4 2 2 2 2" xfId="4388" xr:uid="{00000000-0005-0000-0000-00002B110000}"/>
    <cellStyle name="Standard 6 2 3 3 4 2 2 2 2 2" xfId="16349" xr:uid="{6C676600-FD78-44A9-80B2-AB65DFFFEE14}"/>
    <cellStyle name="Standard 6 2 3 3 4 2 2 2 3" xfId="16348" xr:uid="{770D2221-A0E5-4280-A804-A4E0912F4FF7}"/>
    <cellStyle name="Standard 6 2 3 3 4 2 2 3" xfId="4389" xr:uid="{00000000-0005-0000-0000-00002C110000}"/>
    <cellStyle name="Standard 6 2 3 3 4 2 2 3 2" xfId="16350" xr:uid="{614EE9F6-1E1B-4472-8C81-CEC498080770}"/>
    <cellStyle name="Standard 6 2 3 3 4 2 2 4" xfId="16347" xr:uid="{88F95528-E01E-4E0E-86B7-1FF0D0EA5E9E}"/>
    <cellStyle name="Standard 6 2 3 3 4 2 3" xfId="4390" xr:uid="{00000000-0005-0000-0000-00002D110000}"/>
    <cellStyle name="Standard 6 2 3 3 4 2 3 2" xfId="4391" xr:uid="{00000000-0005-0000-0000-00002E110000}"/>
    <cellStyle name="Standard 6 2 3 3 4 2 3 2 2" xfId="4392" xr:uid="{00000000-0005-0000-0000-00002F110000}"/>
    <cellStyle name="Standard 6 2 3 3 4 2 3 2 2 2" xfId="16353" xr:uid="{928B6386-477D-4432-82E8-867232CB5F9D}"/>
    <cellStyle name="Standard 6 2 3 3 4 2 3 2 3" xfId="16352" xr:uid="{B0430D22-3B40-4277-A77F-BBC1C7309330}"/>
    <cellStyle name="Standard 6 2 3 3 4 2 3 3" xfId="4393" xr:uid="{00000000-0005-0000-0000-000030110000}"/>
    <cellStyle name="Standard 6 2 3 3 4 2 3 3 2" xfId="16354" xr:uid="{88060347-915C-4025-9C56-308531DF7099}"/>
    <cellStyle name="Standard 6 2 3 3 4 2 3 4" xfId="16351" xr:uid="{7E977954-76C0-4D04-82C4-40797E699FEB}"/>
    <cellStyle name="Standard 6 2 3 3 4 2 4" xfId="4394" xr:uid="{00000000-0005-0000-0000-000031110000}"/>
    <cellStyle name="Standard 6 2 3 3 4 2 4 2" xfId="4395" xr:uid="{00000000-0005-0000-0000-000032110000}"/>
    <cellStyle name="Standard 6 2 3 3 4 2 4 2 2" xfId="4396" xr:uid="{00000000-0005-0000-0000-000033110000}"/>
    <cellStyle name="Standard 6 2 3 3 4 2 4 2 2 2" xfId="16357" xr:uid="{8675ECC1-2A59-4C79-835A-BA9532B3D58A}"/>
    <cellStyle name="Standard 6 2 3 3 4 2 4 2 3" xfId="16356" xr:uid="{BE0C1748-D6AF-4D2A-BF86-375EF4D44280}"/>
    <cellStyle name="Standard 6 2 3 3 4 2 4 3" xfId="4397" xr:uid="{00000000-0005-0000-0000-000034110000}"/>
    <cellStyle name="Standard 6 2 3 3 4 2 4 3 2" xfId="16358" xr:uid="{F33DBF6C-4F41-4E7E-846E-2C393D2EE8E9}"/>
    <cellStyle name="Standard 6 2 3 3 4 2 4 4" xfId="16355" xr:uid="{A8DEC5C9-F3E3-467A-ABF1-5D45153F11B1}"/>
    <cellStyle name="Standard 6 2 3 3 4 2 5" xfId="4398" xr:uid="{00000000-0005-0000-0000-000035110000}"/>
    <cellStyle name="Standard 6 2 3 3 4 2 5 2" xfId="4399" xr:uid="{00000000-0005-0000-0000-000036110000}"/>
    <cellStyle name="Standard 6 2 3 3 4 2 5 2 2" xfId="4400" xr:uid="{00000000-0005-0000-0000-000037110000}"/>
    <cellStyle name="Standard 6 2 3 3 4 2 5 2 2 2" xfId="16361" xr:uid="{0A457A68-F4A6-4E3E-A01E-96D0A4A0FC06}"/>
    <cellStyle name="Standard 6 2 3 3 4 2 5 2 3" xfId="16360" xr:uid="{30A7A3EF-8396-4F76-80E6-3A0B6B657846}"/>
    <cellStyle name="Standard 6 2 3 3 4 2 5 3" xfId="4401" xr:uid="{00000000-0005-0000-0000-000038110000}"/>
    <cellStyle name="Standard 6 2 3 3 4 2 5 3 2" xfId="16362" xr:uid="{EE6FAF11-D3B6-4DD6-A05B-432D29049319}"/>
    <cellStyle name="Standard 6 2 3 3 4 2 5 4" xfId="16359" xr:uid="{DB38AB93-AABE-483F-86FE-05D0066C5C4F}"/>
    <cellStyle name="Standard 6 2 3 3 4 2 6" xfId="4402" xr:uid="{00000000-0005-0000-0000-000039110000}"/>
    <cellStyle name="Standard 6 2 3 3 4 2 6 2" xfId="4403" xr:uid="{00000000-0005-0000-0000-00003A110000}"/>
    <cellStyle name="Standard 6 2 3 3 4 2 6 2 2" xfId="4404" xr:uid="{00000000-0005-0000-0000-00003B110000}"/>
    <cellStyle name="Standard 6 2 3 3 4 2 6 2 2 2" xfId="16365" xr:uid="{D5DCDC95-432D-4894-80BE-A7852C574C75}"/>
    <cellStyle name="Standard 6 2 3 3 4 2 6 2 3" xfId="16364" xr:uid="{2D931751-4C64-4890-B5D6-46011635A056}"/>
    <cellStyle name="Standard 6 2 3 3 4 2 6 3" xfId="4405" xr:uid="{00000000-0005-0000-0000-00003C110000}"/>
    <cellStyle name="Standard 6 2 3 3 4 2 6 3 2" xfId="16366" xr:uid="{8C2CD1AC-D6F2-4DE1-8125-58571F3A7AC0}"/>
    <cellStyle name="Standard 6 2 3 3 4 2 6 4" xfId="16363" xr:uid="{49DCC790-2966-46B8-B010-AC704ADAA00B}"/>
    <cellStyle name="Standard 6 2 3 3 4 2 7" xfId="4406" xr:uid="{00000000-0005-0000-0000-00003D110000}"/>
    <cellStyle name="Standard 6 2 3 3 4 2 7 2" xfId="4407" xr:uid="{00000000-0005-0000-0000-00003E110000}"/>
    <cellStyle name="Standard 6 2 3 3 4 2 7 2 2" xfId="4408" xr:uid="{00000000-0005-0000-0000-00003F110000}"/>
    <cellStyle name="Standard 6 2 3 3 4 2 7 2 2 2" xfId="16369" xr:uid="{3C4A9C69-4A2D-41D8-AD8D-7F520F199C6D}"/>
    <cellStyle name="Standard 6 2 3 3 4 2 7 2 3" xfId="16368" xr:uid="{7FC3A700-48BE-4521-A58D-BF75982700A7}"/>
    <cellStyle name="Standard 6 2 3 3 4 2 7 3" xfId="4409" xr:uid="{00000000-0005-0000-0000-000040110000}"/>
    <cellStyle name="Standard 6 2 3 3 4 2 7 3 2" xfId="16370" xr:uid="{3D75C837-F030-46D0-BC19-F7F024FD2316}"/>
    <cellStyle name="Standard 6 2 3 3 4 2 7 4" xfId="16367" xr:uid="{57191E86-7ECF-461D-ABE2-3DF16AC21280}"/>
    <cellStyle name="Standard 6 2 3 3 4 2 8" xfId="4410" xr:uid="{00000000-0005-0000-0000-000041110000}"/>
    <cellStyle name="Standard 6 2 3 3 4 2 8 2" xfId="4411" xr:uid="{00000000-0005-0000-0000-000042110000}"/>
    <cellStyle name="Standard 6 2 3 3 4 2 8 2 2" xfId="16372" xr:uid="{B0875932-D68D-4C62-9483-86B35A4B744D}"/>
    <cellStyle name="Standard 6 2 3 3 4 2 8 3" xfId="16371" xr:uid="{6968F60F-1AE5-42C5-90A1-FB9FC7B893DE}"/>
    <cellStyle name="Standard 6 2 3 3 4 2 9" xfId="4412" xr:uid="{00000000-0005-0000-0000-000043110000}"/>
    <cellStyle name="Standard 6 2 3 3 4 2 9 2" xfId="16373" xr:uid="{19249465-D4C8-4E92-8FF5-C0B04EC8EC11}"/>
    <cellStyle name="Standard 6 2 3 3 4 3" xfId="4413" xr:uid="{00000000-0005-0000-0000-000044110000}"/>
    <cellStyle name="Standard 6 2 3 3 4 3 2" xfId="4414" xr:uid="{00000000-0005-0000-0000-000045110000}"/>
    <cellStyle name="Standard 6 2 3 3 4 3 2 2" xfId="4415" xr:uid="{00000000-0005-0000-0000-000046110000}"/>
    <cellStyle name="Standard 6 2 3 3 4 3 2 2 2" xfId="16376" xr:uid="{71CE8A41-83B5-4E30-9566-708B2F1E0918}"/>
    <cellStyle name="Standard 6 2 3 3 4 3 2 3" xfId="16375" xr:uid="{F85193CE-FF97-4E53-8387-7188A0DEA171}"/>
    <cellStyle name="Standard 6 2 3 3 4 3 3" xfId="4416" xr:uid="{00000000-0005-0000-0000-000047110000}"/>
    <cellStyle name="Standard 6 2 3 3 4 3 3 2" xfId="16377" xr:uid="{0D39EDAC-27FD-4216-88D0-C4594473D4A2}"/>
    <cellStyle name="Standard 6 2 3 3 4 3 4" xfId="16374" xr:uid="{FB1DE209-773A-4BD8-A892-79B1FDA7CB70}"/>
    <cellStyle name="Standard 6 2 3 3 4 4" xfId="4417" xr:uid="{00000000-0005-0000-0000-000048110000}"/>
    <cellStyle name="Standard 6 2 3 3 4 4 2" xfId="4418" xr:uid="{00000000-0005-0000-0000-000049110000}"/>
    <cellStyle name="Standard 6 2 3 3 4 4 2 2" xfId="4419" xr:uid="{00000000-0005-0000-0000-00004A110000}"/>
    <cellStyle name="Standard 6 2 3 3 4 4 2 2 2" xfId="16380" xr:uid="{BB3EFCA2-AAC3-478C-8702-0D4BDA386E29}"/>
    <cellStyle name="Standard 6 2 3 3 4 4 2 3" xfId="16379" xr:uid="{A6FAC920-3340-4F54-98DF-D629C3457E8B}"/>
    <cellStyle name="Standard 6 2 3 3 4 4 3" xfId="4420" xr:uid="{00000000-0005-0000-0000-00004B110000}"/>
    <cellStyle name="Standard 6 2 3 3 4 4 3 2" xfId="16381" xr:uid="{D7757529-5A0F-4718-9541-A2A8126EB5B4}"/>
    <cellStyle name="Standard 6 2 3 3 4 4 4" xfId="16378" xr:uid="{26E76A00-7400-4E45-B765-4340528286F4}"/>
    <cellStyle name="Standard 6 2 3 3 4 5" xfId="4421" xr:uid="{00000000-0005-0000-0000-00004C110000}"/>
    <cellStyle name="Standard 6 2 3 3 4 5 2" xfId="4422" xr:uid="{00000000-0005-0000-0000-00004D110000}"/>
    <cellStyle name="Standard 6 2 3 3 4 5 2 2" xfId="4423" xr:uid="{00000000-0005-0000-0000-00004E110000}"/>
    <cellStyle name="Standard 6 2 3 3 4 5 2 2 2" xfId="16384" xr:uid="{7AABD7E0-B38B-4813-BD17-2789615368BD}"/>
    <cellStyle name="Standard 6 2 3 3 4 5 2 3" xfId="16383" xr:uid="{7BFF5379-3423-4A30-8A2A-25C570A3AC72}"/>
    <cellStyle name="Standard 6 2 3 3 4 5 3" xfId="4424" xr:uid="{00000000-0005-0000-0000-00004F110000}"/>
    <cellStyle name="Standard 6 2 3 3 4 5 3 2" xfId="16385" xr:uid="{01DB6E71-277D-49A1-B3FC-649A90633B99}"/>
    <cellStyle name="Standard 6 2 3 3 4 5 4" xfId="16382" xr:uid="{697454A7-7EF1-4164-A156-44F46FEB2F75}"/>
    <cellStyle name="Standard 6 2 3 3 4 6" xfId="4425" xr:uid="{00000000-0005-0000-0000-000050110000}"/>
    <cellStyle name="Standard 6 2 3 3 4 6 2" xfId="4426" xr:uid="{00000000-0005-0000-0000-000051110000}"/>
    <cellStyle name="Standard 6 2 3 3 4 6 2 2" xfId="4427" xr:uid="{00000000-0005-0000-0000-000052110000}"/>
    <cellStyle name="Standard 6 2 3 3 4 6 2 2 2" xfId="16388" xr:uid="{335FCAB5-BA5E-4581-A5D6-8BD1F659EA6A}"/>
    <cellStyle name="Standard 6 2 3 3 4 6 2 3" xfId="16387" xr:uid="{B40A3AFE-5678-414D-B503-1D09DCF03886}"/>
    <cellStyle name="Standard 6 2 3 3 4 6 3" xfId="4428" xr:uid="{00000000-0005-0000-0000-000053110000}"/>
    <cellStyle name="Standard 6 2 3 3 4 6 3 2" xfId="16389" xr:uid="{81435990-6447-42F9-9760-7E7B0DFE42BB}"/>
    <cellStyle name="Standard 6 2 3 3 4 6 4" xfId="16386" xr:uid="{E9D89B76-732F-4210-AC89-C2F36B0CC551}"/>
    <cellStyle name="Standard 6 2 3 3 4 7" xfId="4429" xr:uid="{00000000-0005-0000-0000-000054110000}"/>
    <cellStyle name="Standard 6 2 3 3 4 7 2" xfId="4430" xr:uid="{00000000-0005-0000-0000-000055110000}"/>
    <cellStyle name="Standard 6 2 3 3 4 7 2 2" xfId="4431" xr:uid="{00000000-0005-0000-0000-000056110000}"/>
    <cellStyle name="Standard 6 2 3 3 4 7 2 2 2" xfId="16392" xr:uid="{8C2E7B12-ECC7-47D3-942F-7F42709731CE}"/>
    <cellStyle name="Standard 6 2 3 3 4 7 2 3" xfId="16391" xr:uid="{E51EA6E9-F33D-4556-94A1-378EAEAED490}"/>
    <cellStyle name="Standard 6 2 3 3 4 7 3" xfId="4432" xr:uid="{00000000-0005-0000-0000-000057110000}"/>
    <cellStyle name="Standard 6 2 3 3 4 7 3 2" xfId="16393" xr:uid="{00EE2A6C-7F9D-433F-AE61-8272E678CE43}"/>
    <cellStyle name="Standard 6 2 3 3 4 7 4" xfId="16390" xr:uid="{2C3705D2-A051-4116-8652-97A2943B0E1E}"/>
    <cellStyle name="Standard 6 2 3 3 4 8" xfId="4433" xr:uid="{00000000-0005-0000-0000-000058110000}"/>
    <cellStyle name="Standard 6 2 3 3 4 8 2" xfId="4434" xr:uid="{00000000-0005-0000-0000-000059110000}"/>
    <cellStyle name="Standard 6 2 3 3 4 8 2 2" xfId="4435" xr:uid="{00000000-0005-0000-0000-00005A110000}"/>
    <cellStyle name="Standard 6 2 3 3 4 8 2 2 2" xfId="16396" xr:uid="{D6579B9E-0C12-4FBD-90EE-0960CE839265}"/>
    <cellStyle name="Standard 6 2 3 3 4 8 2 3" xfId="16395" xr:uid="{9A8F2671-FDB2-4CFD-88DE-32748BE3E3D8}"/>
    <cellStyle name="Standard 6 2 3 3 4 8 3" xfId="4436" xr:uid="{00000000-0005-0000-0000-00005B110000}"/>
    <cellStyle name="Standard 6 2 3 3 4 8 3 2" xfId="16397" xr:uid="{6AA6E521-6AD5-42B7-B2ED-57CDC6268B17}"/>
    <cellStyle name="Standard 6 2 3 3 4 8 4" xfId="16394" xr:uid="{BF600755-0B22-49B6-81E5-06D7E260954D}"/>
    <cellStyle name="Standard 6 2 3 3 4 9" xfId="4437" xr:uid="{00000000-0005-0000-0000-00005C110000}"/>
    <cellStyle name="Standard 6 2 3 3 4 9 2" xfId="4438" xr:uid="{00000000-0005-0000-0000-00005D110000}"/>
    <cellStyle name="Standard 6 2 3 3 4 9 2 2" xfId="16399" xr:uid="{9BE662F0-2491-4856-B77C-1DA03FC3C4B4}"/>
    <cellStyle name="Standard 6 2 3 3 4 9 3" xfId="16398" xr:uid="{8C7A5205-DFAD-4176-88FA-C88FAEA4DE92}"/>
    <cellStyle name="Standard 6 2 3 3 5" xfId="4439" xr:uid="{00000000-0005-0000-0000-00005E110000}"/>
    <cellStyle name="Standard 6 2 3 3 5 10" xfId="4440" xr:uid="{00000000-0005-0000-0000-00005F110000}"/>
    <cellStyle name="Standard 6 2 3 3 5 10 2" xfId="16401" xr:uid="{B3DB243A-EB62-4809-B49C-3DCF82E855CD}"/>
    <cellStyle name="Standard 6 2 3 3 5 11" xfId="16400" xr:uid="{040DDE91-BA8E-4DAA-9A32-E64E6E4952F4}"/>
    <cellStyle name="Standard 6 2 3 3 5 2" xfId="4441" xr:uid="{00000000-0005-0000-0000-000060110000}"/>
    <cellStyle name="Standard 6 2 3 3 5 2 10" xfId="16402" xr:uid="{5BD1AF7E-3068-47BF-B2EA-D25CAA69E28D}"/>
    <cellStyle name="Standard 6 2 3 3 5 2 2" xfId="4442" xr:uid="{00000000-0005-0000-0000-000061110000}"/>
    <cellStyle name="Standard 6 2 3 3 5 2 2 2" xfId="4443" xr:uid="{00000000-0005-0000-0000-000062110000}"/>
    <cellStyle name="Standard 6 2 3 3 5 2 2 2 2" xfId="4444" xr:uid="{00000000-0005-0000-0000-000063110000}"/>
    <cellStyle name="Standard 6 2 3 3 5 2 2 2 2 2" xfId="16405" xr:uid="{E886A592-0A5A-4E6B-8EA8-140572A8E72E}"/>
    <cellStyle name="Standard 6 2 3 3 5 2 2 2 3" xfId="16404" xr:uid="{07F74440-D34F-42AD-B870-14BFC7858D7A}"/>
    <cellStyle name="Standard 6 2 3 3 5 2 2 3" xfId="4445" xr:uid="{00000000-0005-0000-0000-000064110000}"/>
    <cellStyle name="Standard 6 2 3 3 5 2 2 3 2" xfId="16406" xr:uid="{51D46766-5825-4536-AC0E-B4F5936C2171}"/>
    <cellStyle name="Standard 6 2 3 3 5 2 2 4" xfId="16403" xr:uid="{4588D347-9927-44EA-AFA9-7D697E47DFCE}"/>
    <cellStyle name="Standard 6 2 3 3 5 2 3" xfId="4446" xr:uid="{00000000-0005-0000-0000-000065110000}"/>
    <cellStyle name="Standard 6 2 3 3 5 2 3 2" xfId="4447" xr:uid="{00000000-0005-0000-0000-000066110000}"/>
    <cellStyle name="Standard 6 2 3 3 5 2 3 2 2" xfId="4448" xr:uid="{00000000-0005-0000-0000-000067110000}"/>
    <cellStyle name="Standard 6 2 3 3 5 2 3 2 2 2" xfId="16409" xr:uid="{954B9D78-6AB2-485E-A61B-E502FFBCAA9F}"/>
    <cellStyle name="Standard 6 2 3 3 5 2 3 2 3" xfId="16408" xr:uid="{92B9D143-3FAD-4FF0-8930-87AF4079C3AB}"/>
    <cellStyle name="Standard 6 2 3 3 5 2 3 3" xfId="4449" xr:uid="{00000000-0005-0000-0000-000068110000}"/>
    <cellStyle name="Standard 6 2 3 3 5 2 3 3 2" xfId="16410" xr:uid="{D3989208-5A45-4158-96A3-372EA0823DB3}"/>
    <cellStyle name="Standard 6 2 3 3 5 2 3 4" xfId="16407" xr:uid="{1F07246A-07B6-41B8-88F4-78620CCCD818}"/>
    <cellStyle name="Standard 6 2 3 3 5 2 4" xfId="4450" xr:uid="{00000000-0005-0000-0000-000069110000}"/>
    <cellStyle name="Standard 6 2 3 3 5 2 4 2" xfId="4451" xr:uid="{00000000-0005-0000-0000-00006A110000}"/>
    <cellStyle name="Standard 6 2 3 3 5 2 4 2 2" xfId="4452" xr:uid="{00000000-0005-0000-0000-00006B110000}"/>
    <cellStyle name="Standard 6 2 3 3 5 2 4 2 2 2" xfId="16413" xr:uid="{0DBBF058-1FE7-41C9-9497-B79586CCC4BE}"/>
    <cellStyle name="Standard 6 2 3 3 5 2 4 2 3" xfId="16412" xr:uid="{5E27DED5-294F-459F-8A7C-1BFE04D033E2}"/>
    <cellStyle name="Standard 6 2 3 3 5 2 4 3" xfId="4453" xr:uid="{00000000-0005-0000-0000-00006C110000}"/>
    <cellStyle name="Standard 6 2 3 3 5 2 4 3 2" xfId="16414" xr:uid="{08838361-A00C-4587-AD72-3BA50E9D852C}"/>
    <cellStyle name="Standard 6 2 3 3 5 2 4 4" xfId="16411" xr:uid="{8F7692F3-77B1-47B0-9E7E-66EFD35CC394}"/>
    <cellStyle name="Standard 6 2 3 3 5 2 5" xfId="4454" xr:uid="{00000000-0005-0000-0000-00006D110000}"/>
    <cellStyle name="Standard 6 2 3 3 5 2 5 2" xfId="4455" xr:uid="{00000000-0005-0000-0000-00006E110000}"/>
    <cellStyle name="Standard 6 2 3 3 5 2 5 2 2" xfId="4456" xr:uid="{00000000-0005-0000-0000-00006F110000}"/>
    <cellStyle name="Standard 6 2 3 3 5 2 5 2 2 2" xfId="16417" xr:uid="{DAB3862C-7996-469A-8752-6F040AB24F0F}"/>
    <cellStyle name="Standard 6 2 3 3 5 2 5 2 3" xfId="16416" xr:uid="{38088B04-B4C4-4DC6-9EB8-39A754E85F04}"/>
    <cellStyle name="Standard 6 2 3 3 5 2 5 3" xfId="4457" xr:uid="{00000000-0005-0000-0000-000070110000}"/>
    <cellStyle name="Standard 6 2 3 3 5 2 5 3 2" xfId="16418" xr:uid="{ED6EB90A-EBF8-4A80-8214-A805CCFDD028}"/>
    <cellStyle name="Standard 6 2 3 3 5 2 5 4" xfId="16415" xr:uid="{0794A143-500B-4D5B-B028-DF145D86C56E}"/>
    <cellStyle name="Standard 6 2 3 3 5 2 6" xfId="4458" xr:uid="{00000000-0005-0000-0000-000071110000}"/>
    <cellStyle name="Standard 6 2 3 3 5 2 6 2" xfId="4459" xr:uid="{00000000-0005-0000-0000-000072110000}"/>
    <cellStyle name="Standard 6 2 3 3 5 2 6 2 2" xfId="4460" xr:uid="{00000000-0005-0000-0000-000073110000}"/>
    <cellStyle name="Standard 6 2 3 3 5 2 6 2 2 2" xfId="16421" xr:uid="{64C1C542-D523-4E49-9505-36D516B96C9E}"/>
    <cellStyle name="Standard 6 2 3 3 5 2 6 2 3" xfId="16420" xr:uid="{70022A6E-6DF3-4C59-AA96-B2E24D6F70DC}"/>
    <cellStyle name="Standard 6 2 3 3 5 2 6 3" xfId="4461" xr:uid="{00000000-0005-0000-0000-000074110000}"/>
    <cellStyle name="Standard 6 2 3 3 5 2 6 3 2" xfId="16422" xr:uid="{B4DA71C3-36EA-41DF-8EEB-BA9F84C664AE}"/>
    <cellStyle name="Standard 6 2 3 3 5 2 6 4" xfId="16419" xr:uid="{7FE23CCA-FB76-444A-A753-D441155498E2}"/>
    <cellStyle name="Standard 6 2 3 3 5 2 7" xfId="4462" xr:uid="{00000000-0005-0000-0000-000075110000}"/>
    <cellStyle name="Standard 6 2 3 3 5 2 7 2" xfId="4463" xr:uid="{00000000-0005-0000-0000-000076110000}"/>
    <cellStyle name="Standard 6 2 3 3 5 2 7 2 2" xfId="4464" xr:uid="{00000000-0005-0000-0000-000077110000}"/>
    <cellStyle name="Standard 6 2 3 3 5 2 7 2 2 2" xfId="16425" xr:uid="{5FC04660-E01B-4558-9A7D-AD3487CDA54F}"/>
    <cellStyle name="Standard 6 2 3 3 5 2 7 2 3" xfId="16424" xr:uid="{6C411150-E1C9-43A7-A22C-36008025FBF8}"/>
    <cellStyle name="Standard 6 2 3 3 5 2 7 3" xfId="4465" xr:uid="{00000000-0005-0000-0000-000078110000}"/>
    <cellStyle name="Standard 6 2 3 3 5 2 7 3 2" xfId="16426" xr:uid="{0C1B875D-9033-4339-8677-7E3AA57D3862}"/>
    <cellStyle name="Standard 6 2 3 3 5 2 7 4" xfId="16423" xr:uid="{5D6F216C-AA45-4404-AD4B-1EEAEE30378F}"/>
    <cellStyle name="Standard 6 2 3 3 5 2 8" xfId="4466" xr:uid="{00000000-0005-0000-0000-000079110000}"/>
    <cellStyle name="Standard 6 2 3 3 5 2 8 2" xfId="4467" xr:uid="{00000000-0005-0000-0000-00007A110000}"/>
    <cellStyle name="Standard 6 2 3 3 5 2 8 2 2" xfId="16428" xr:uid="{341EBC48-BEBD-482B-A762-B1F7A8B03299}"/>
    <cellStyle name="Standard 6 2 3 3 5 2 8 3" xfId="16427" xr:uid="{3CF616E3-B230-4B02-955C-282DB7A08DAD}"/>
    <cellStyle name="Standard 6 2 3 3 5 2 9" xfId="4468" xr:uid="{00000000-0005-0000-0000-00007B110000}"/>
    <cellStyle name="Standard 6 2 3 3 5 2 9 2" xfId="16429" xr:uid="{DA11131F-0333-4356-AC83-C9B150B9A087}"/>
    <cellStyle name="Standard 6 2 3 3 5 3" xfId="4469" xr:uid="{00000000-0005-0000-0000-00007C110000}"/>
    <cellStyle name="Standard 6 2 3 3 5 3 2" xfId="4470" xr:uid="{00000000-0005-0000-0000-00007D110000}"/>
    <cellStyle name="Standard 6 2 3 3 5 3 2 2" xfId="4471" xr:uid="{00000000-0005-0000-0000-00007E110000}"/>
    <cellStyle name="Standard 6 2 3 3 5 3 2 2 2" xfId="16432" xr:uid="{8EE038C3-D64B-4577-B5E5-92BD269D2F46}"/>
    <cellStyle name="Standard 6 2 3 3 5 3 2 3" xfId="16431" xr:uid="{9126A3CD-71A5-43D0-9B42-3A6DB4BC3F54}"/>
    <cellStyle name="Standard 6 2 3 3 5 3 3" xfId="4472" xr:uid="{00000000-0005-0000-0000-00007F110000}"/>
    <cellStyle name="Standard 6 2 3 3 5 3 3 2" xfId="16433" xr:uid="{52226FF0-6600-42C0-9172-D04A9190398E}"/>
    <cellStyle name="Standard 6 2 3 3 5 3 4" xfId="16430" xr:uid="{52012EB3-F4F9-43D2-B0B7-D99518ACA868}"/>
    <cellStyle name="Standard 6 2 3 3 5 4" xfId="4473" xr:uid="{00000000-0005-0000-0000-000080110000}"/>
    <cellStyle name="Standard 6 2 3 3 5 4 2" xfId="4474" xr:uid="{00000000-0005-0000-0000-000081110000}"/>
    <cellStyle name="Standard 6 2 3 3 5 4 2 2" xfId="4475" xr:uid="{00000000-0005-0000-0000-000082110000}"/>
    <cellStyle name="Standard 6 2 3 3 5 4 2 2 2" xfId="16436" xr:uid="{6CEB543A-9FB0-4274-89A0-04C016FA3510}"/>
    <cellStyle name="Standard 6 2 3 3 5 4 2 3" xfId="16435" xr:uid="{59CEE762-D91C-4359-B1DC-AC045A580477}"/>
    <cellStyle name="Standard 6 2 3 3 5 4 3" xfId="4476" xr:uid="{00000000-0005-0000-0000-000083110000}"/>
    <cellStyle name="Standard 6 2 3 3 5 4 3 2" xfId="16437" xr:uid="{8FA706AC-687F-403C-A0A9-4DBDA639862C}"/>
    <cellStyle name="Standard 6 2 3 3 5 4 4" xfId="16434" xr:uid="{4BEFA561-71AB-4874-9DB4-717E54A39BDA}"/>
    <cellStyle name="Standard 6 2 3 3 5 5" xfId="4477" xr:uid="{00000000-0005-0000-0000-000084110000}"/>
    <cellStyle name="Standard 6 2 3 3 5 5 2" xfId="4478" xr:uid="{00000000-0005-0000-0000-000085110000}"/>
    <cellStyle name="Standard 6 2 3 3 5 5 2 2" xfId="4479" xr:uid="{00000000-0005-0000-0000-000086110000}"/>
    <cellStyle name="Standard 6 2 3 3 5 5 2 2 2" xfId="16440" xr:uid="{D26FDB76-BAF1-4724-9F27-0081ED6333D7}"/>
    <cellStyle name="Standard 6 2 3 3 5 5 2 3" xfId="16439" xr:uid="{BABA2EAF-3822-4F05-AFAC-707D3D0A1A5A}"/>
    <cellStyle name="Standard 6 2 3 3 5 5 3" xfId="4480" xr:uid="{00000000-0005-0000-0000-000087110000}"/>
    <cellStyle name="Standard 6 2 3 3 5 5 3 2" xfId="16441" xr:uid="{754E56F1-3592-4682-944D-9CA502702169}"/>
    <cellStyle name="Standard 6 2 3 3 5 5 4" xfId="16438" xr:uid="{F7012DD9-3342-46ED-9502-35C3B09FC436}"/>
    <cellStyle name="Standard 6 2 3 3 5 6" xfId="4481" xr:uid="{00000000-0005-0000-0000-000088110000}"/>
    <cellStyle name="Standard 6 2 3 3 5 6 2" xfId="4482" xr:uid="{00000000-0005-0000-0000-000089110000}"/>
    <cellStyle name="Standard 6 2 3 3 5 6 2 2" xfId="4483" xr:uid="{00000000-0005-0000-0000-00008A110000}"/>
    <cellStyle name="Standard 6 2 3 3 5 6 2 2 2" xfId="16444" xr:uid="{872AA640-D07A-40DD-ADF2-87767DD07701}"/>
    <cellStyle name="Standard 6 2 3 3 5 6 2 3" xfId="16443" xr:uid="{34921FE2-66AD-4B37-9137-5FE2DF975FDD}"/>
    <cellStyle name="Standard 6 2 3 3 5 6 3" xfId="4484" xr:uid="{00000000-0005-0000-0000-00008B110000}"/>
    <cellStyle name="Standard 6 2 3 3 5 6 3 2" xfId="16445" xr:uid="{05BC06EE-EAAA-460D-A760-251EF193B637}"/>
    <cellStyle name="Standard 6 2 3 3 5 6 4" xfId="16442" xr:uid="{FBE4EA8F-295A-4812-90D5-C801B63FAE5B}"/>
    <cellStyle name="Standard 6 2 3 3 5 7" xfId="4485" xr:uid="{00000000-0005-0000-0000-00008C110000}"/>
    <cellStyle name="Standard 6 2 3 3 5 7 2" xfId="4486" xr:uid="{00000000-0005-0000-0000-00008D110000}"/>
    <cellStyle name="Standard 6 2 3 3 5 7 2 2" xfId="4487" xr:uid="{00000000-0005-0000-0000-00008E110000}"/>
    <cellStyle name="Standard 6 2 3 3 5 7 2 2 2" xfId="16448" xr:uid="{D607C6EC-1753-492D-A491-69AE34A6E943}"/>
    <cellStyle name="Standard 6 2 3 3 5 7 2 3" xfId="16447" xr:uid="{77401039-A13C-4308-82EF-E91CDBDB6763}"/>
    <cellStyle name="Standard 6 2 3 3 5 7 3" xfId="4488" xr:uid="{00000000-0005-0000-0000-00008F110000}"/>
    <cellStyle name="Standard 6 2 3 3 5 7 3 2" xfId="16449" xr:uid="{3FA5130B-F0BE-4FCD-B7C4-BC6D37A3BF05}"/>
    <cellStyle name="Standard 6 2 3 3 5 7 4" xfId="16446" xr:uid="{15CD8157-A804-41DB-A7A9-07B969D81322}"/>
    <cellStyle name="Standard 6 2 3 3 5 8" xfId="4489" xr:uid="{00000000-0005-0000-0000-000090110000}"/>
    <cellStyle name="Standard 6 2 3 3 5 8 2" xfId="4490" xr:uid="{00000000-0005-0000-0000-000091110000}"/>
    <cellStyle name="Standard 6 2 3 3 5 8 2 2" xfId="4491" xr:uid="{00000000-0005-0000-0000-000092110000}"/>
    <cellStyle name="Standard 6 2 3 3 5 8 2 2 2" xfId="16452" xr:uid="{F0B09BDA-28B0-4049-85D3-E8C1AA8B88F5}"/>
    <cellStyle name="Standard 6 2 3 3 5 8 2 3" xfId="16451" xr:uid="{6B6F9DCC-B727-4F1B-B8EF-703DD15BED24}"/>
    <cellStyle name="Standard 6 2 3 3 5 8 3" xfId="4492" xr:uid="{00000000-0005-0000-0000-000093110000}"/>
    <cellStyle name="Standard 6 2 3 3 5 8 3 2" xfId="16453" xr:uid="{55FC97A3-F69C-4747-B52F-11E4AC99C023}"/>
    <cellStyle name="Standard 6 2 3 3 5 8 4" xfId="16450" xr:uid="{8564099B-2001-4BAA-A80F-176EF48715C7}"/>
    <cellStyle name="Standard 6 2 3 3 5 9" xfId="4493" xr:uid="{00000000-0005-0000-0000-000094110000}"/>
    <cellStyle name="Standard 6 2 3 3 5 9 2" xfId="4494" xr:uid="{00000000-0005-0000-0000-000095110000}"/>
    <cellStyle name="Standard 6 2 3 3 5 9 2 2" xfId="16455" xr:uid="{6ABE0F6E-1217-4DFD-9878-ECA4550B256E}"/>
    <cellStyle name="Standard 6 2 3 3 5 9 3" xfId="16454" xr:uid="{CB97BED4-2B2A-4466-8C40-BC7AC2E1D648}"/>
    <cellStyle name="Standard 6 2 3 3 6" xfId="4495" xr:uid="{00000000-0005-0000-0000-000096110000}"/>
    <cellStyle name="Standard 6 2 3 3 6 10" xfId="4496" xr:uid="{00000000-0005-0000-0000-000097110000}"/>
    <cellStyle name="Standard 6 2 3 3 6 10 2" xfId="16457" xr:uid="{681B5664-E439-4D43-89BF-3CBB78A18EDF}"/>
    <cellStyle name="Standard 6 2 3 3 6 11" xfId="16456" xr:uid="{A05CBEFC-D688-45FB-A39B-33DE13700EB7}"/>
    <cellStyle name="Standard 6 2 3 3 6 2" xfId="4497" xr:uid="{00000000-0005-0000-0000-000098110000}"/>
    <cellStyle name="Standard 6 2 3 3 6 2 10" xfId="16458" xr:uid="{0790DCA7-1F6C-42F3-AF39-92931974EA7C}"/>
    <cellStyle name="Standard 6 2 3 3 6 2 2" xfId="4498" xr:uid="{00000000-0005-0000-0000-000099110000}"/>
    <cellStyle name="Standard 6 2 3 3 6 2 2 2" xfId="4499" xr:uid="{00000000-0005-0000-0000-00009A110000}"/>
    <cellStyle name="Standard 6 2 3 3 6 2 2 2 2" xfId="4500" xr:uid="{00000000-0005-0000-0000-00009B110000}"/>
    <cellStyle name="Standard 6 2 3 3 6 2 2 2 2 2" xfId="16461" xr:uid="{2FC9753C-7A12-4B51-A0FE-273D0A6AF6A8}"/>
    <cellStyle name="Standard 6 2 3 3 6 2 2 2 3" xfId="16460" xr:uid="{08111E0D-CB7C-41F6-98E8-3D9B25F0CF73}"/>
    <cellStyle name="Standard 6 2 3 3 6 2 2 3" xfId="4501" xr:uid="{00000000-0005-0000-0000-00009C110000}"/>
    <cellStyle name="Standard 6 2 3 3 6 2 2 3 2" xfId="16462" xr:uid="{8145CA69-0EA7-415F-96C7-A6FF4B93AAFF}"/>
    <cellStyle name="Standard 6 2 3 3 6 2 2 4" xfId="16459" xr:uid="{7FA8659E-BAE3-47A7-BC62-59FC1901E5E7}"/>
    <cellStyle name="Standard 6 2 3 3 6 2 3" xfId="4502" xr:uid="{00000000-0005-0000-0000-00009D110000}"/>
    <cellStyle name="Standard 6 2 3 3 6 2 3 2" xfId="4503" xr:uid="{00000000-0005-0000-0000-00009E110000}"/>
    <cellStyle name="Standard 6 2 3 3 6 2 3 2 2" xfId="4504" xr:uid="{00000000-0005-0000-0000-00009F110000}"/>
    <cellStyle name="Standard 6 2 3 3 6 2 3 2 2 2" xfId="16465" xr:uid="{627E184C-05C1-4907-B421-12AD59291E8C}"/>
    <cellStyle name="Standard 6 2 3 3 6 2 3 2 3" xfId="16464" xr:uid="{6D17422B-3FBF-49FD-BF36-D9DCA569C081}"/>
    <cellStyle name="Standard 6 2 3 3 6 2 3 3" xfId="4505" xr:uid="{00000000-0005-0000-0000-0000A0110000}"/>
    <cellStyle name="Standard 6 2 3 3 6 2 3 3 2" xfId="16466" xr:uid="{27042518-B531-4328-A546-E4E5A3B44A62}"/>
    <cellStyle name="Standard 6 2 3 3 6 2 3 4" xfId="16463" xr:uid="{62169CE3-D283-4D38-B759-8356D225E9FD}"/>
    <cellStyle name="Standard 6 2 3 3 6 2 4" xfId="4506" xr:uid="{00000000-0005-0000-0000-0000A1110000}"/>
    <cellStyle name="Standard 6 2 3 3 6 2 4 2" xfId="4507" xr:uid="{00000000-0005-0000-0000-0000A2110000}"/>
    <cellStyle name="Standard 6 2 3 3 6 2 4 2 2" xfId="4508" xr:uid="{00000000-0005-0000-0000-0000A3110000}"/>
    <cellStyle name="Standard 6 2 3 3 6 2 4 2 2 2" xfId="16469" xr:uid="{D1845F12-C909-4087-8002-924240A3098C}"/>
    <cellStyle name="Standard 6 2 3 3 6 2 4 2 3" xfId="16468" xr:uid="{8DA6A390-6AB9-46E2-BDF3-B9AC8B585A0F}"/>
    <cellStyle name="Standard 6 2 3 3 6 2 4 3" xfId="4509" xr:uid="{00000000-0005-0000-0000-0000A4110000}"/>
    <cellStyle name="Standard 6 2 3 3 6 2 4 3 2" xfId="16470" xr:uid="{B2CD7C89-F81B-4567-8647-8847A13F6E95}"/>
    <cellStyle name="Standard 6 2 3 3 6 2 4 4" xfId="16467" xr:uid="{21BDB204-1BEC-42A1-A133-3439B38789BB}"/>
    <cellStyle name="Standard 6 2 3 3 6 2 5" xfId="4510" xr:uid="{00000000-0005-0000-0000-0000A5110000}"/>
    <cellStyle name="Standard 6 2 3 3 6 2 5 2" xfId="4511" xr:uid="{00000000-0005-0000-0000-0000A6110000}"/>
    <cellStyle name="Standard 6 2 3 3 6 2 5 2 2" xfId="4512" xr:uid="{00000000-0005-0000-0000-0000A7110000}"/>
    <cellStyle name="Standard 6 2 3 3 6 2 5 2 2 2" xfId="16473" xr:uid="{09D02E43-7887-4526-9B48-F46EB5334A57}"/>
    <cellStyle name="Standard 6 2 3 3 6 2 5 2 3" xfId="16472" xr:uid="{16B8E3CC-4410-471B-99C4-93FF4917DA7D}"/>
    <cellStyle name="Standard 6 2 3 3 6 2 5 3" xfId="4513" xr:uid="{00000000-0005-0000-0000-0000A8110000}"/>
    <cellStyle name="Standard 6 2 3 3 6 2 5 3 2" xfId="16474" xr:uid="{B17CE9A1-C70D-4E69-A9F6-56C03BBBD9D6}"/>
    <cellStyle name="Standard 6 2 3 3 6 2 5 4" xfId="16471" xr:uid="{609E4ABA-B017-4414-8D10-7E7DCCE0ED30}"/>
    <cellStyle name="Standard 6 2 3 3 6 2 6" xfId="4514" xr:uid="{00000000-0005-0000-0000-0000A9110000}"/>
    <cellStyle name="Standard 6 2 3 3 6 2 6 2" xfId="4515" xr:uid="{00000000-0005-0000-0000-0000AA110000}"/>
    <cellStyle name="Standard 6 2 3 3 6 2 6 2 2" xfId="4516" xr:uid="{00000000-0005-0000-0000-0000AB110000}"/>
    <cellStyle name="Standard 6 2 3 3 6 2 6 2 2 2" xfId="16477" xr:uid="{EAF05050-B450-4F5F-A6D1-0357CF7D9F6D}"/>
    <cellStyle name="Standard 6 2 3 3 6 2 6 2 3" xfId="16476" xr:uid="{65FDFF26-5FF7-498D-A1A9-07333606197C}"/>
    <cellStyle name="Standard 6 2 3 3 6 2 6 3" xfId="4517" xr:uid="{00000000-0005-0000-0000-0000AC110000}"/>
    <cellStyle name="Standard 6 2 3 3 6 2 6 3 2" xfId="16478" xr:uid="{58B4B2F2-4ECF-4B1A-BDCC-562A21449E48}"/>
    <cellStyle name="Standard 6 2 3 3 6 2 6 4" xfId="16475" xr:uid="{3442AB43-09B4-4A1D-8340-AF322386B8B8}"/>
    <cellStyle name="Standard 6 2 3 3 6 2 7" xfId="4518" xr:uid="{00000000-0005-0000-0000-0000AD110000}"/>
    <cellStyle name="Standard 6 2 3 3 6 2 7 2" xfId="4519" xr:uid="{00000000-0005-0000-0000-0000AE110000}"/>
    <cellStyle name="Standard 6 2 3 3 6 2 7 2 2" xfId="4520" xr:uid="{00000000-0005-0000-0000-0000AF110000}"/>
    <cellStyle name="Standard 6 2 3 3 6 2 7 2 2 2" xfId="16481" xr:uid="{2A158E63-7D4F-4518-B2DA-B4619974ED4D}"/>
    <cellStyle name="Standard 6 2 3 3 6 2 7 2 3" xfId="16480" xr:uid="{BA890B47-25C2-4D46-8B27-010BC0407D14}"/>
    <cellStyle name="Standard 6 2 3 3 6 2 7 3" xfId="4521" xr:uid="{00000000-0005-0000-0000-0000B0110000}"/>
    <cellStyle name="Standard 6 2 3 3 6 2 7 3 2" xfId="16482" xr:uid="{5FB9AC1B-A22A-4CB1-8C03-85CDA895DE20}"/>
    <cellStyle name="Standard 6 2 3 3 6 2 7 4" xfId="16479" xr:uid="{DC37FC46-AF8F-4B97-9B40-4DBD31C6F5EE}"/>
    <cellStyle name="Standard 6 2 3 3 6 2 8" xfId="4522" xr:uid="{00000000-0005-0000-0000-0000B1110000}"/>
    <cellStyle name="Standard 6 2 3 3 6 2 8 2" xfId="4523" xr:uid="{00000000-0005-0000-0000-0000B2110000}"/>
    <cellStyle name="Standard 6 2 3 3 6 2 8 2 2" xfId="16484" xr:uid="{95417AAE-DA80-4495-AF33-E3FC9F30180C}"/>
    <cellStyle name="Standard 6 2 3 3 6 2 8 3" xfId="16483" xr:uid="{F35DE7C0-44D0-4E11-B420-40102B43E4A2}"/>
    <cellStyle name="Standard 6 2 3 3 6 2 9" xfId="4524" xr:uid="{00000000-0005-0000-0000-0000B3110000}"/>
    <cellStyle name="Standard 6 2 3 3 6 2 9 2" xfId="16485" xr:uid="{DD6502F2-2CBE-420E-B0CF-49686402755E}"/>
    <cellStyle name="Standard 6 2 3 3 6 3" xfId="4525" xr:uid="{00000000-0005-0000-0000-0000B4110000}"/>
    <cellStyle name="Standard 6 2 3 3 6 3 2" xfId="4526" xr:uid="{00000000-0005-0000-0000-0000B5110000}"/>
    <cellStyle name="Standard 6 2 3 3 6 3 2 2" xfId="4527" xr:uid="{00000000-0005-0000-0000-0000B6110000}"/>
    <cellStyle name="Standard 6 2 3 3 6 3 2 2 2" xfId="16488" xr:uid="{B6A8AFD4-2DA1-42F6-A2BD-681BF8677C3B}"/>
    <cellStyle name="Standard 6 2 3 3 6 3 2 3" xfId="16487" xr:uid="{EDD6017D-1B80-4B0F-B186-9548ED06A698}"/>
    <cellStyle name="Standard 6 2 3 3 6 3 3" xfId="4528" xr:uid="{00000000-0005-0000-0000-0000B7110000}"/>
    <cellStyle name="Standard 6 2 3 3 6 3 3 2" xfId="16489" xr:uid="{BEA536FB-4CFB-4B22-AB6C-B773506483EB}"/>
    <cellStyle name="Standard 6 2 3 3 6 3 4" xfId="16486" xr:uid="{CEBC0525-A000-4950-AC65-FA1E2055F6CE}"/>
    <cellStyle name="Standard 6 2 3 3 6 4" xfId="4529" xr:uid="{00000000-0005-0000-0000-0000B8110000}"/>
    <cellStyle name="Standard 6 2 3 3 6 4 2" xfId="4530" xr:uid="{00000000-0005-0000-0000-0000B9110000}"/>
    <cellStyle name="Standard 6 2 3 3 6 4 2 2" xfId="4531" xr:uid="{00000000-0005-0000-0000-0000BA110000}"/>
    <cellStyle name="Standard 6 2 3 3 6 4 2 2 2" xfId="16492" xr:uid="{CCE74DE9-FE9F-4C2A-8CD6-FC5A845A34B9}"/>
    <cellStyle name="Standard 6 2 3 3 6 4 2 3" xfId="16491" xr:uid="{D575931E-159E-4F18-8293-35AB4FB2F8DD}"/>
    <cellStyle name="Standard 6 2 3 3 6 4 3" xfId="4532" xr:uid="{00000000-0005-0000-0000-0000BB110000}"/>
    <cellStyle name="Standard 6 2 3 3 6 4 3 2" xfId="16493" xr:uid="{1395D75B-3BAF-4F5B-A9EA-310A9F09CAFD}"/>
    <cellStyle name="Standard 6 2 3 3 6 4 4" xfId="16490" xr:uid="{592E4833-5D24-495E-8293-51B65E9258C5}"/>
    <cellStyle name="Standard 6 2 3 3 6 5" xfId="4533" xr:uid="{00000000-0005-0000-0000-0000BC110000}"/>
    <cellStyle name="Standard 6 2 3 3 6 5 2" xfId="4534" xr:uid="{00000000-0005-0000-0000-0000BD110000}"/>
    <cellStyle name="Standard 6 2 3 3 6 5 2 2" xfId="4535" xr:uid="{00000000-0005-0000-0000-0000BE110000}"/>
    <cellStyle name="Standard 6 2 3 3 6 5 2 2 2" xfId="16496" xr:uid="{FB28BBCE-FD2A-4112-9159-ABE84EF42DBB}"/>
    <cellStyle name="Standard 6 2 3 3 6 5 2 3" xfId="16495" xr:uid="{22F81AE8-8206-457B-ADA4-0C9F5F07A266}"/>
    <cellStyle name="Standard 6 2 3 3 6 5 3" xfId="4536" xr:uid="{00000000-0005-0000-0000-0000BF110000}"/>
    <cellStyle name="Standard 6 2 3 3 6 5 3 2" xfId="16497" xr:uid="{B119F098-0387-43BB-AF45-623CA20A301F}"/>
    <cellStyle name="Standard 6 2 3 3 6 5 4" xfId="16494" xr:uid="{31846A06-C99D-480B-9D1C-C6FECBAE72C3}"/>
    <cellStyle name="Standard 6 2 3 3 6 6" xfId="4537" xr:uid="{00000000-0005-0000-0000-0000C0110000}"/>
    <cellStyle name="Standard 6 2 3 3 6 6 2" xfId="4538" xr:uid="{00000000-0005-0000-0000-0000C1110000}"/>
    <cellStyle name="Standard 6 2 3 3 6 6 2 2" xfId="4539" xr:uid="{00000000-0005-0000-0000-0000C2110000}"/>
    <cellStyle name="Standard 6 2 3 3 6 6 2 2 2" xfId="16500" xr:uid="{5872D15B-7BCA-40A2-84A8-CE2431D70699}"/>
    <cellStyle name="Standard 6 2 3 3 6 6 2 3" xfId="16499" xr:uid="{38623009-68D9-4D10-BE74-084F9FBAD318}"/>
    <cellStyle name="Standard 6 2 3 3 6 6 3" xfId="4540" xr:uid="{00000000-0005-0000-0000-0000C3110000}"/>
    <cellStyle name="Standard 6 2 3 3 6 6 3 2" xfId="16501" xr:uid="{EDA30561-49C8-4F69-B61E-94A9421FFE49}"/>
    <cellStyle name="Standard 6 2 3 3 6 6 4" xfId="16498" xr:uid="{F365D8C9-FF71-4D9F-BF25-5482D6BEBFDF}"/>
    <cellStyle name="Standard 6 2 3 3 6 7" xfId="4541" xr:uid="{00000000-0005-0000-0000-0000C4110000}"/>
    <cellStyle name="Standard 6 2 3 3 6 7 2" xfId="4542" xr:uid="{00000000-0005-0000-0000-0000C5110000}"/>
    <cellStyle name="Standard 6 2 3 3 6 7 2 2" xfId="4543" xr:uid="{00000000-0005-0000-0000-0000C6110000}"/>
    <cellStyle name="Standard 6 2 3 3 6 7 2 2 2" xfId="16504" xr:uid="{9451AE62-BFCB-44BC-9CC1-4D5912CB1A7C}"/>
    <cellStyle name="Standard 6 2 3 3 6 7 2 3" xfId="16503" xr:uid="{3290FCC4-903D-4119-8548-3180F81B984D}"/>
    <cellStyle name="Standard 6 2 3 3 6 7 3" xfId="4544" xr:uid="{00000000-0005-0000-0000-0000C7110000}"/>
    <cellStyle name="Standard 6 2 3 3 6 7 3 2" xfId="16505" xr:uid="{B4EAB5A8-6A8A-4A13-BAE7-B7AA078F8809}"/>
    <cellStyle name="Standard 6 2 3 3 6 7 4" xfId="16502" xr:uid="{361DC27A-E69E-4162-92A2-D7446B320FCB}"/>
    <cellStyle name="Standard 6 2 3 3 6 8" xfId="4545" xr:uid="{00000000-0005-0000-0000-0000C8110000}"/>
    <cellStyle name="Standard 6 2 3 3 6 8 2" xfId="4546" xr:uid="{00000000-0005-0000-0000-0000C9110000}"/>
    <cellStyle name="Standard 6 2 3 3 6 8 2 2" xfId="4547" xr:uid="{00000000-0005-0000-0000-0000CA110000}"/>
    <cellStyle name="Standard 6 2 3 3 6 8 2 2 2" xfId="16508" xr:uid="{40730CC7-237A-4375-A9B7-C29CBF95D3CE}"/>
    <cellStyle name="Standard 6 2 3 3 6 8 2 3" xfId="16507" xr:uid="{7D990A12-6387-47E4-B47A-3260A809F690}"/>
    <cellStyle name="Standard 6 2 3 3 6 8 3" xfId="4548" xr:uid="{00000000-0005-0000-0000-0000CB110000}"/>
    <cellStyle name="Standard 6 2 3 3 6 8 3 2" xfId="16509" xr:uid="{6865F73B-235E-47C3-9258-3373D7CFC368}"/>
    <cellStyle name="Standard 6 2 3 3 6 8 4" xfId="16506" xr:uid="{08005539-7E02-49F1-B520-BB9FB35C4EF2}"/>
    <cellStyle name="Standard 6 2 3 3 6 9" xfId="4549" xr:uid="{00000000-0005-0000-0000-0000CC110000}"/>
    <cellStyle name="Standard 6 2 3 3 6 9 2" xfId="4550" xr:uid="{00000000-0005-0000-0000-0000CD110000}"/>
    <cellStyle name="Standard 6 2 3 3 6 9 2 2" xfId="16511" xr:uid="{BF44FE25-45EE-4E4D-8DF5-373C9CA61F5F}"/>
    <cellStyle name="Standard 6 2 3 3 6 9 3" xfId="16510" xr:uid="{D438544A-8C11-43DF-A037-CF15E587F137}"/>
    <cellStyle name="Standard 6 2 3 3 7" xfId="4551" xr:uid="{00000000-0005-0000-0000-0000CE110000}"/>
    <cellStyle name="Standard 6 2 3 3 7 10" xfId="4552" xr:uid="{00000000-0005-0000-0000-0000CF110000}"/>
    <cellStyle name="Standard 6 2 3 3 7 10 2" xfId="16513" xr:uid="{94B0158C-22AC-4009-84F3-389CAF6E87A0}"/>
    <cellStyle name="Standard 6 2 3 3 7 11" xfId="16512" xr:uid="{F3C2439A-6165-4583-AE46-07730CCE1B49}"/>
    <cellStyle name="Standard 6 2 3 3 7 2" xfId="4553" xr:uid="{00000000-0005-0000-0000-0000D0110000}"/>
    <cellStyle name="Standard 6 2 3 3 7 2 10" xfId="16514" xr:uid="{679F570A-9F4D-487F-8288-D961C6F7D5E0}"/>
    <cellStyle name="Standard 6 2 3 3 7 2 2" xfId="4554" xr:uid="{00000000-0005-0000-0000-0000D1110000}"/>
    <cellStyle name="Standard 6 2 3 3 7 2 2 2" xfId="4555" xr:uid="{00000000-0005-0000-0000-0000D2110000}"/>
    <cellStyle name="Standard 6 2 3 3 7 2 2 2 2" xfId="4556" xr:uid="{00000000-0005-0000-0000-0000D3110000}"/>
    <cellStyle name="Standard 6 2 3 3 7 2 2 2 2 2" xfId="16517" xr:uid="{B7C1B483-0CA2-49C6-8F01-40211A869823}"/>
    <cellStyle name="Standard 6 2 3 3 7 2 2 2 3" xfId="16516" xr:uid="{AE62C1AB-8A7B-45AD-916A-4C84CF011AC0}"/>
    <cellStyle name="Standard 6 2 3 3 7 2 2 3" xfId="4557" xr:uid="{00000000-0005-0000-0000-0000D4110000}"/>
    <cellStyle name="Standard 6 2 3 3 7 2 2 3 2" xfId="16518" xr:uid="{EE419A11-FE26-4775-8935-2B0E09181A65}"/>
    <cellStyle name="Standard 6 2 3 3 7 2 2 4" xfId="16515" xr:uid="{E8FDC94D-5579-498E-AD8B-3531943461B6}"/>
    <cellStyle name="Standard 6 2 3 3 7 2 3" xfId="4558" xr:uid="{00000000-0005-0000-0000-0000D5110000}"/>
    <cellStyle name="Standard 6 2 3 3 7 2 3 2" xfId="4559" xr:uid="{00000000-0005-0000-0000-0000D6110000}"/>
    <cellStyle name="Standard 6 2 3 3 7 2 3 2 2" xfId="4560" xr:uid="{00000000-0005-0000-0000-0000D7110000}"/>
    <cellStyle name="Standard 6 2 3 3 7 2 3 2 2 2" xfId="16521" xr:uid="{39CABC56-5034-461F-ADEF-ED5BD59F9869}"/>
    <cellStyle name="Standard 6 2 3 3 7 2 3 2 3" xfId="16520" xr:uid="{D26C73CB-B27D-4ADB-9F9B-1CC50DE1BFF4}"/>
    <cellStyle name="Standard 6 2 3 3 7 2 3 3" xfId="4561" xr:uid="{00000000-0005-0000-0000-0000D8110000}"/>
    <cellStyle name="Standard 6 2 3 3 7 2 3 3 2" xfId="16522" xr:uid="{B6CEB5FA-E4F8-4A7E-AA8F-40DBF79EE57D}"/>
    <cellStyle name="Standard 6 2 3 3 7 2 3 4" xfId="16519" xr:uid="{957BCC33-DDDA-4D76-B4EC-89468E21DB30}"/>
    <cellStyle name="Standard 6 2 3 3 7 2 4" xfId="4562" xr:uid="{00000000-0005-0000-0000-0000D9110000}"/>
    <cellStyle name="Standard 6 2 3 3 7 2 4 2" xfId="4563" xr:uid="{00000000-0005-0000-0000-0000DA110000}"/>
    <cellStyle name="Standard 6 2 3 3 7 2 4 2 2" xfId="4564" xr:uid="{00000000-0005-0000-0000-0000DB110000}"/>
    <cellStyle name="Standard 6 2 3 3 7 2 4 2 2 2" xfId="16525" xr:uid="{D823FA2E-AA45-4E06-8DEE-AA64417FE96C}"/>
    <cellStyle name="Standard 6 2 3 3 7 2 4 2 3" xfId="16524" xr:uid="{6D992CFD-5588-45E6-A683-BECDE2D6162E}"/>
    <cellStyle name="Standard 6 2 3 3 7 2 4 3" xfId="4565" xr:uid="{00000000-0005-0000-0000-0000DC110000}"/>
    <cellStyle name="Standard 6 2 3 3 7 2 4 3 2" xfId="16526" xr:uid="{FC9E6D86-B237-4D70-AD0C-2A561F36CC65}"/>
    <cellStyle name="Standard 6 2 3 3 7 2 4 4" xfId="16523" xr:uid="{069340CE-AB51-415D-B1A6-F0B2C1B876AA}"/>
    <cellStyle name="Standard 6 2 3 3 7 2 5" xfId="4566" xr:uid="{00000000-0005-0000-0000-0000DD110000}"/>
    <cellStyle name="Standard 6 2 3 3 7 2 5 2" xfId="4567" xr:uid="{00000000-0005-0000-0000-0000DE110000}"/>
    <cellStyle name="Standard 6 2 3 3 7 2 5 2 2" xfId="4568" xr:uid="{00000000-0005-0000-0000-0000DF110000}"/>
    <cellStyle name="Standard 6 2 3 3 7 2 5 2 2 2" xfId="16529" xr:uid="{BF51890C-418B-47FE-9FFD-22ED86710805}"/>
    <cellStyle name="Standard 6 2 3 3 7 2 5 2 3" xfId="16528" xr:uid="{C5532870-9D64-46B2-BC7A-BCF744254256}"/>
    <cellStyle name="Standard 6 2 3 3 7 2 5 3" xfId="4569" xr:uid="{00000000-0005-0000-0000-0000E0110000}"/>
    <cellStyle name="Standard 6 2 3 3 7 2 5 3 2" xfId="16530" xr:uid="{20AF387B-838E-47F1-BA2B-9B3022FC8877}"/>
    <cellStyle name="Standard 6 2 3 3 7 2 5 4" xfId="16527" xr:uid="{84ECB2CC-747B-49F1-80E9-E72E09C241C3}"/>
    <cellStyle name="Standard 6 2 3 3 7 2 6" xfId="4570" xr:uid="{00000000-0005-0000-0000-0000E1110000}"/>
    <cellStyle name="Standard 6 2 3 3 7 2 6 2" xfId="4571" xr:uid="{00000000-0005-0000-0000-0000E2110000}"/>
    <cellStyle name="Standard 6 2 3 3 7 2 6 2 2" xfId="4572" xr:uid="{00000000-0005-0000-0000-0000E3110000}"/>
    <cellStyle name="Standard 6 2 3 3 7 2 6 2 2 2" xfId="16533" xr:uid="{83D9523E-F1B6-4981-9AC1-6DEA36B8E3C5}"/>
    <cellStyle name="Standard 6 2 3 3 7 2 6 2 3" xfId="16532" xr:uid="{E65CDDBD-7CE8-4081-9073-E123E01249ED}"/>
    <cellStyle name="Standard 6 2 3 3 7 2 6 3" xfId="4573" xr:uid="{00000000-0005-0000-0000-0000E4110000}"/>
    <cellStyle name="Standard 6 2 3 3 7 2 6 3 2" xfId="16534" xr:uid="{A373BDDC-A336-47A1-A088-EE83BBFD5CAB}"/>
    <cellStyle name="Standard 6 2 3 3 7 2 6 4" xfId="16531" xr:uid="{BB0AAF56-7989-4399-9292-5D63D6347F4E}"/>
    <cellStyle name="Standard 6 2 3 3 7 2 7" xfId="4574" xr:uid="{00000000-0005-0000-0000-0000E5110000}"/>
    <cellStyle name="Standard 6 2 3 3 7 2 7 2" xfId="4575" xr:uid="{00000000-0005-0000-0000-0000E6110000}"/>
    <cellStyle name="Standard 6 2 3 3 7 2 7 2 2" xfId="4576" xr:uid="{00000000-0005-0000-0000-0000E7110000}"/>
    <cellStyle name="Standard 6 2 3 3 7 2 7 2 2 2" xfId="16537" xr:uid="{CF891F93-ADA8-4AF8-8784-1A29F8592F4D}"/>
    <cellStyle name="Standard 6 2 3 3 7 2 7 2 3" xfId="16536" xr:uid="{2883D178-5AAB-4BF8-A836-0132462AD758}"/>
    <cellStyle name="Standard 6 2 3 3 7 2 7 3" xfId="4577" xr:uid="{00000000-0005-0000-0000-0000E8110000}"/>
    <cellStyle name="Standard 6 2 3 3 7 2 7 3 2" xfId="16538" xr:uid="{39B875BD-E138-4B43-9488-8175C311FF0C}"/>
    <cellStyle name="Standard 6 2 3 3 7 2 7 4" xfId="16535" xr:uid="{06726997-3D75-48F6-B888-8162C19C5ED3}"/>
    <cellStyle name="Standard 6 2 3 3 7 2 8" xfId="4578" xr:uid="{00000000-0005-0000-0000-0000E9110000}"/>
    <cellStyle name="Standard 6 2 3 3 7 2 8 2" xfId="4579" xr:uid="{00000000-0005-0000-0000-0000EA110000}"/>
    <cellStyle name="Standard 6 2 3 3 7 2 8 2 2" xfId="16540" xr:uid="{9732BBE6-589A-42C3-A5E1-3215584D4216}"/>
    <cellStyle name="Standard 6 2 3 3 7 2 8 3" xfId="16539" xr:uid="{844FCB47-4FE5-47A9-8595-A657C50C7970}"/>
    <cellStyle name="Standard 6 2 3 3 7 2 9" xfId="4580" xr:uid="{00000000-0005-0000-0000-0000EB110000}"/>
    <cellStyle name="Standard 6 2 3 3 7 2 9 2" xfId="16541" xr:uid="{FB0E7A3D-F738-4B70-A546-635E1462B4B2}"/>
    <cellStyle name="Standard 6 2 3 3 7 3" xfId="4581" xr:uid="{00000000-0005-0000-0000-0000EC110000}"/>
    <cellStyle name="Standard 6 2 3 3 7 3 2" xfId="4582" xr:uid="{00000000-0005-0000-0000-0000ED110000}"/>
    <cellStyle name="Standard 6 2 3 3 7 3 2 2" xfId="4583" xr:uid="{00000000-0005-0000-0000-0000EE110000}"/>
    <cellStyle name="Standard 6 2 3 3 7 3 2 2 2" xfId="16544" xr:uid="{ED1F2029-0F3D-44E6-86AA-2107ACFEF440}"/>
    <cellStyle name="Standard 6 2 3 3 7 3 2 3" xfId="16543" xr:uid="{D0E70E86-F491-4BA0-ABC7-3030CDCD2421}"/>
    <cellStyle name="Standard 6 2 3 3 7 3 3" xfId="4584" xr:uid="{00000000-0005-0000-0000-0000EF110000}"/>
    <cellStyle name="Standard 6 2 3 3 7 3 3 2" xfId="16545" xr:uid="{AB32347D-C3E2-465E-B494-FDF718FDF8BC}"/>
    <cellStyle name="Standard 6 2 3 3 7 3 4" xfId="16542" xr:uid="{01E9412A-F3F5-42EF-B833-C4E559C31F46}"/>
    <cellStyle name="Standard 6 2 3 3 7 4" xfId="4585" xr:uid="{00000000-0005-0000-0000-0000F0110000}"/>
    <cellStyle name="Standard 6 2 3 3 7 4 2" xfId="4586" xr:uid="{00000000-0005-0000-0000-0000F1110000}"/>
    <cellStyle name="Standard 6 2 3 3 7 4 2 2" xfId="4587" xr:uid="{00000000-0005-0000-0000-0000F2110000}"/>
    <cellStyle name="Standard 6 2 3 3 7 4 2 2 2" xfId="16548" xr:uid="{50933EB7-1151-486E-99B8-71C1E2EC328A}"/>
    <cellStyle name="Standard 6 2 3 3 7 4 2 3" xfId="16547" xr:uid="{6D6FBF4B-6247-41B9-BB25-CD545664F9CF}"/>
    <cellStyle name="Standard 6 2 3 3 7 4 3" xfId="4588" xr:uid="{00000000-0005-0000-0000-0000F3110000}"/>
    <cellStyle name="Standard 6 2 3 3 7 4 3 2" xfId="16549" xr:uid="{EEC73D36-C03C-4BE1-ADB7-FCDD758732A8}"/>
    <cellStyle name="Standard 6 2 3 3 7 4 4" xfId="16546" xr:uid="{F3F75540-0117-4FA1-9A75-1D358E4F2C74}"/>
    <cellStyle name="Standard 6 2 3 3 7 5" xfId="4589" xr:uid="{00000000-0005-0000-0000-0000F4110000}"/>
    <cellStyle name="Standard 6 2 3 3 7 5 2" xfId="4590" xr:uid="{00000000-0005-0000-0000-0000F5110000}"/>
    <cellStyle name="Standard 6 2 3 3 7 5 2 2" xfId="4591" xr:uid="{00000000-0005-0000-0000-0000F6110000}"/>
    <cellStyle name="Standard 6 2 3 3 7 5 2 2 2" xfId="16552" xr:uid="{7721DA11-A5F0-4D10-BF95-827ADF772837}"/>
    <cellStyle name="Standard 6 2 3 3 7 5 2 3" xfId="16551" xr:uid="{38D022E1-BDC2-452A-8231-4D8B46D0E06D}"/>
    <cellStyle name="Standard 6 2 3 3 7 5 3" xfId="4592" xr:uid="{00000000-0005-0000-0000-0000F7110000}"/>
    <cellStyle name="Standard 6 2 3 3 7 5 3 2" xfId="16553" xr:uid="{B1B9B29C-BD5E-4447-A820-9399BFDF857F}"/>
    <cellStyle name="Standard 6 2 3 3 7 5 4" xfId="16550" xr:uid="{6DE5A0E9-303D-457D-BAA4-D272CC24282A}"/>
    <cellStyle name="Standard 6 2 3 3 7 6" xfId="4593" xr:uid="{00000000-0005-0000-0000-0000F8110000}"/>
    <cellStyle name="Standard 6 2 3 3 7 6 2" xfId="4594" xr:uid="{00000000-0005-0000-0000-0000F9110000}"/>
    <cellStyle name="Standard 6 2 3 3 7 6 2 2" xfId="4595" xr:uid="{00000000-0005-0000-0000-0000FA110000}"/>
    <cellStyle name="Standard 6 2 3 3 7 6 2 2 2" xfId="16556" xr:uid="{A1D144EF-954F-4FF3-9FF1-60BEC7E37404}"/>
    <cellStyle name="Standard 6 2 3 3 7 6 2 3" xfId="16555" xr:uid="{810B278F-8139-41C8-84F1-2862639CBEEA}"/>
    <cellStyle name="Standard 6 2 3 3 7 6 3" xfId="4596" xr:uid="{00000000-0005-0000-0000-0000FB110000}"/>
    <cellStyle name="Standard 6 2 3 3 7 6 3 2" xfId="16557" xr:uid="{5331FB71-8BB0-4736-8804-B5726788937F}"/>
    <cellStyle name="Standard 6 2 3 3 7 6 4" xfId="16554" xr:uid="{6C8A2152-F8BB-4486-A7E6-EAB4552B02CE}"/>
    <cellStyle name="Standard 6 2 3 3 7 7" xfId="4597" xr:uid="{00000000-0005-0000-0000-0000FC110000}"/>
    <cellStyle name="Standard 6 2 3 3 7 7 2" xfId="4598" xr:uid="{00000000-0005-0000-0000-0000FD110000}"/>
    <cellStyle name="Standard 6 2 3 3 7 7 2 2" xfId="4599" xr:uid="{00000000-0005-0000-0000-0000FE110000}"/>
    <cellStyle name="Standard 6 2 3 3 7 7 2 2 2" xfId="16560" xr:uid="{1DE7625F-F455-476D-BA1D-E634137F3490}"/>
    <cellStyle name="Standard 6 2 3 3 7 7 2 3" xfId="16559" xr:uid="{595C5171-C2C8-4370-8B71-266E3C92C10A}"/>
    <cellStyle name="Standard 6 2 3 3 7 7 3" xfId="4600" xr:uid="{00000000-0005-0000-0000-0000FF110000}"/>
    <cellStyle name="Standard 6 2 3 3 7 7 3 2" xfId="16561" xr:uid="{8763F946-0A85-4E28-A80A-3DB59CD37740}"/>
    <cellStyle name="Standard 6 2 3 3 7 7 4" xfId="16558" xr:uid="{40984F8E-2F55-4BB3-A906-1BC1E90525AE}"/>
    <cellStyle name="Standard 6 2 3 3 7 8" xfId="4601" xr:uid="{00000000-0005-0000-0000-000000120000}"/>
    <cellStyle name="Standard 6 2 3 3 7 8 2" xfId="4602" xr:uid="{00000000-0005-0000-0000-000001120000}"/>
    <cellStyle name="Standard 6 2 3 3 7 8 2 2" xfId="4603" xr:uid="{00000000-0005-0000-0000-000002120000}"/>
    <cellStyle name="Standard 6 2 3 3 7 8 2 2 2" xfId="16564" xr:uid="{E5531FCC-C2B4-4966-8F59-C61355F3B6E2}"/>
    <cellStyle name="Standard 6 2 3 3 7 8 2 3" xfId="16563" xr:uid="{842ABB52-B644-4377-AABA-E909C3C95FD0}"/>
    <cellStyle name="Standard 6 2 3 3 7 8 3" xfId="4604" xr:uid="{00000000-0005-0000-0000-000003120000}"/>
    <cellStyle name="Standard 6 2 3 3 7 8 3 2" xfId="16565" xr:uid="{533F14FF-26C3-4923-B8DF-34E3E7B9E4E5}"/>
    <cellStyle name="Standard 6 2 3 3 7 8 4" xfId="16562" xr:uid="{E25FA33C-A119-4A77-AD36-5496834BC52E}"/>
    <cellStyle name="Standard 6 2 3 3 7 9" xfId="4605" xr:uid="{00000000-0005-0000-0000-000004120000}"/>
    <cellStyle name="Standard 6 2 3 3 7 9 2" xfId="4606" xr:uid="{00000000-0005-0000-0000-000005120000}"/>
    <cellStyle name="Standard 6 2 3 3 7 9 2 2" xfId="16567" xr:uid="{1F28214C-27D5-42C9-BEB3-BE8D05521E5F}"/>
    <cellStyle name="Standard 6 2 3 3 7 9 3" xfId="16566" xr:uid="{9DB82D9D-9E4F-4BC4-B379-AB448032C3D9}"/>
    <cellStyle name="Standard 6 2 3 3 8" xfId="4607" xr:uid="{00000000-0005-0000-0000-000006120000}"/>
    <cellStyle name="Standard 6 2 3 3 8 10" xfId="16568" xr:uid="{82CA832F-92EE-42EA-8839-87E7EE692C0D}"/>
    <cellStyle name="Standard 6 2 3 3 8 2" xfId="4608" xr:uid="{00000000-0005-0000-0000-000007120000}"/>
    <cellStyle name="Standard 6 2 3 3 8 2 2" xfId="4609" xr:uid="{00000000-0005-0000-0000-000008120000}"/>
    <cellStyle name="Standard 6 2 3 3 8 2 2 2" xfId="4610" xr:uid="{00000000-0005-0000-0000-000009120000}"/>
    <cellStyle name="Standard 6 2 3 3 8 2 2 2 2" xfId="16571" xr:uid="{3FDB47F3-B08D-4A9D-8CE2-937FB336A32F}"/>
    <cellStyle name="Standard 6 2 3 3 8 2 2 3" xfId="16570" xr:uid="{0C77DC9C-44AC-4183-9133-5C59B633E33D}"/>
    <cellStyle name="Standard 6 2 3 3 8 2 3" xfId="4611" xr:uid="{00000000-0005-0000-0000-00000A120000}"/>
    <cellStyle name="Standard 6 2 3 3 8 2 3 2" xfId="16572" xr:uid="{362F0772-AFBC-40FD-99F8-2B51E835E431}"/>
    <cellStyle name="Standard 6 2 3 3 8 2 4" xfId="16569" xr:uid="{B78D2C83-D873-4310-B498-67B8ACA91954}"/>
    <cellStyle name="Standard 6 2 3 3 8 3" xfId="4612" xr:uid="{00000000-0005-0000-0000-00000B120000}"/>
    <cellStyle name="Standard 6 2 3 3 8 3 2" xfId="4613" xr:uid="{00000000-0005-0000-0000-00000C120000}"/>
    <cellStyle name="Standard 6 2 3 3 8 3 2 2" xfId="4614" xr:uid="{00000000-0005-0000-0000-00000D120000}"/>
    <cellStyle name="Standard 6 2 3 3 8 3 2 2 2" xfId="16575" xr:uid="{830D2107-89F4-4D5B-877C-8EEA221E01BD}"/>
    <cellStyle name="Standard 6 2 3 3 8 3 2 3" xfId="16574" xr:uid="{98453EAC-F78D-49E0-845A-A1E61112002C}"/>
    <cellStyle name="Standard 6 2 3 3 8 3 3" xfId="4615" xr:uid="{00000000-0005-0000-0000-00000E120000}"/>
    <cellStyle name="Standard 6 2 3 3 8 3 3 2" xfId="16576" xr:uid="{6C31D840-B953-4F5D-91C5-A73B972ADF13}"/>
    <cellStyle name="Standard 6 2 3 3 8 3 4" xfId="16573" xr:uid="{247C9121-A723-4715-A803-0F70CD8353DA}"/>
    <cellStyle name="Standard 6 2 3 3 8 4" xfId="4616" xr:uid="{00000000-0005-0000-0000-00000F120000}"/>
    <cellStyle name="Standard 6 2 3 3 8 4 2" xfId="4617" xr:uid="{00000000-0005-0000-0000-000010120000}"/>
    <cellStyle name="Standard 6 2 3 3 8 4 2 2" xfId="4618" xr:uid="{00000000-0005-0000-0000-000011120000}"/>
    <cellStyle name="Standard 6 2 3 3 8 4 2 2 2" xfId="16579" xr:uid="{D4473FC3-AD3D-43E0-BBEC-3A732F4388B6}"/>
    <cellStyle name="Standard 6 2 3 3 8 4 2 3" xfId="16578" xr:uid="{F220A1F7-A8DB-4533-8F50-54264A9082E1}"/>
    <cellStyle name="Standard 6 2 3 3 8 4 3" xfId="4619" xr:uid="{00000000-0005-0000-0000-000012120000}"/>
    <cellStyle name="Standard 6 2 3 3 8 4 3 2" xfId="16580" xr:uid="{C4873A23-1AA9-41EE-92DE-A0515523C056}"/>
    <cellStyle name="Standard 6 2 3 3 8 4 4" xfId="16577" xr:uid="{EBAD9C91-764E-4A80-BDB3-34A741EB4FA2}"/>
    <cellStyle name="Standard 6 2 3 3 8 5" xfId="4620" xr:uid="{00000000-0005-0000-0000-000013120000}"/>
    <cellStyle name="Standard 6 2 3 3 8 5 2" xfId="4621" xr:uid="{00000000-0005-0000-0000-000014120000}"/>
    <cellStyle name="Standard 6 2 3 3 8 5 2 2" xfId="4622" xr:uid="{00000000-0005-0000-0000-000015120000}"/>
    <cellStyle name="Standard 6 2 3 3 8 5 2 2 2" xfId="16583" xr:uid="{9FB66D95-8267-4C68-9451-6859E68043D2}"/>
    <cellStyle name="Standard 6 2 3 3 8 5 2 3" xfId="16582" xr:uid="{F1A4D3A8-92A8-42AD-BC44-B81532135490}"/>
    <cellStyle name="Standard 6 2 3 3 8 5 3" xfId="4623" xr:uid="{00000000-0005-0000-0000-000016120000}"/>
    <cellStyle name="Standard 6 2 3 3 8 5 3 2" xfId="16584" xr:uid="{C82A41A8-60A5-42AF-8034-1753EFF063F8}"/>
    <cellStyle name="Standard 6 2 3 3 8 5 4" xfId="16581" xr:uid="{6F25AF27-E4DE-4EF7-A1CC-1190BE6E2D69}"/>
    <cellStyle name="Standard 6 2 3 3 8 6" xfId="4624" xr:uid="{00000000-0005-0000-0000-000017120000}"/>
    <cellStyle name="Standard 6 2 3 3 8 6 2" xfId="4625" xr:uid="{00000000-0005-0000-0000-000018120000}"/>
    <cellStyle name="Standard 6 2 3 3 8 6 2 2" xfId="4626" xr:uid="{00000000-0005-0000-0000-000019120000}"/>
    <cellStyle name="Standard 6 2 3 3 8 6 2 2 2" xfId="16587" xr:uid="{9E683F17-8753-4A21-A302-551D0D4EEE9A}"/>
    <cellStyle name="Standard 6 2 3 3 8 6 2 3" xfId="16586" xr:uid="{DEB8A8FD-C3A7-4D23-8AA2-AECC3E0EDC91}"/>
    <cellStyle name="Standard 6 2 3 3 8 6 3" xfId="4627" xr:uid="{00000000-0005-0000-0000-00001A120000}"/>
    <cellStyle name="Standard 6 2 3 3 8 6 3 2" xfId="16588" xr:uid="{833BE06F-B2D8-430E-8340-4BDD7A971CB1}"/>
    <cellStyle name="Standard 6 2 3 3 8 6 4" xfId="16585" xr:uid="{C52FBAEF-3736-4222-8EEB-76C23CA5C46E}"/>
    <cellStyle name="Standard 6 2 3 3 8 7" xfId="4628" xr:uid="{00000000-0005-0000-0000-00001B120000}"/>
    <cellStyle name="Standard 6 2 3 3 8 7 2" xfId="4629" xr:uid="{00000000-0005-0000-0000-00001C120000}"/>
    <cellStyle name="Standard 6 2 3 3 8 7 2 2" xfId="4630" xr:uid="{00000000-0005-0000-0000-00001D120000}"/>
    <cellStyle name="Standard 6 2 3 3 8 7 2 2 2" xfId="16591" xr:uid="{80FBFB36-D896-4004-8C48-FAD71FD1F9F6}"/>
    <cellStyle name="Standard 6 2 3 3 8 7 2 3" xfId="16590" xr:uid="{9F78A430-4C7A-45DF-AC84-5A8A1A1B3584}"/>
    <cellStyle name="Standard 6 2 3 3 8 7 3" xfId="4631" xr:uid="{00000000-0005-0000-0000-00001E120000}"/>
    <cellStyle name="Standard 6 2 3 3 8 7 3 2" xfId="16592" xr:uid="{A9052FED-A6A0-438E-88B2-E744982CDBAA}"/>
    <cellStyle name="Standard 6 2 3 3 8 7 4" xfId="16589" xr:uid="{F34FDA02-3AA2-4644-8241-D5913B22D748}"/>
    <cellStyle name="Standard 6 2 3 3 8 8" xfId="4632" xr:uid="{00000000-0005-0000-0000-00001F120000}"/>
    <cellStyle name="Standard 6 2 3 3 8 8 2" xfId="4633" xr:uid="{00000000-0005-0000-0000-000020120000}"/>
    <cellStyle name="Standard 6 2 3 3 8 8 2 2" xfId="16594" xr:uid="{2AB6BA34-4584-438E-8367-B1204687DB74}"/>
    <cellStyle name="Standard 6 2 3 3 8 8 3" xfId="16593" xr:uid="{3B670A0E-674C-45C5-B79F-B8ED957CF344}"/>
    <cellStyle name="Standard 6 2 3 3 8 9" xfId="4634" xr:uid="{00000000-0005-0000-0000-000021120000}"/>
    <cellStyle name="Standard 6 2 3 3 8 9 2" xfId="16595" xr:uid="{4B3AE809-0B26-44C6-A4FC-82A49479E3AF}"/>
    <cellStyle name="Standard 6 2 3 3 9" xfId="4635" xr:uid="{00000000-0005-0000-0000-000022120000}"/>
    <cellStyle name="Standard 6 2 3 3 9 2" xfId="4636" xr:uid="{00000000-0005-0000-0000-000023120000}"/>
    <cellStyle name="Standard 6 2 3 3 9 2 2" xfId="4637" xr:uid="{00000000-0005-0000-0000-000024120000}"/>
    <cellStyle name="Standard 6 2 3 3 9 2 2 2" xfId="4638" xr:uid="{00000000-0005-0000-0000-000025120000}"/>
    <cellStyle name="Standard 6 2 3 3 9 2 2 2 2" xfId="16599" xr:uid="{D7A4E6E7-92F2-46B8-8955-ABF396078E3A}"/>
    <cellStyle name="Standard 6 2 3 3 9 2 2 3" xfId="16598" xr:uid="{254BB589-D8A4-4B65-85D3-FED9F9AD0E97}"/>
    <cellStyle name="Standard 6 2 3 3 9 2 3" xfId="4639" xr:uid="{00000000-0005-0000-0000-000026120000}"/>
    <cellStyle name="Standard 6 2 3 3 9 2 3 2" xfId="16600" xr:uid="{7AF209A4-CE5E-405C-94DD-1C281FA29762}"/>
    <cellStyle name="Standard 6 2 3 3 9 2 4" xfId="16597" xr:uid="{11A8A1E4-0A33-4524-A61B-48D250CBB66E}"/>
    <cellStyle name="Standard 6 2 3 3 9 3" xfId="4640" xr:uid="{00000000-0005-0000-0000-000027120000}"/>
    <cellStyle name="Standard 6 2 3 3 9 3 2" xfId="4641" xr:uid="{00000000-0005-0000-0000-000028120000}"/>
    <cellStyle name="Standard 6 2 3 3 9 3 2 2" xfId="4642" xr:uid="{00000000-0005-0000-0000-000029120000}"/>
    <cellStyle name="Standard 6 2 3 3 9 3 2 2 2" xfId="16603" xr:uid="{4A3D0CB1-16AA-4901-BCB4-8EEF42B5AD1D}"/>
    <cellStyle name="Standard 6 2 3 3 9 3 2 3" xfId="16602" xr:uid="{F3303039-089C-4CD7-84B8-295699ACFEF7}"/>
    <cellStyle name="Standard 6 2 3 3 9 3 3" xfId="4643" xr:uid="{00000000-0005-0000-0000-00002A120000}"/>
    <cellStyle name="Standard 6 2 3 3 9 3 3 2" xfId="16604" xr:uid="{006AFCA0-1D0D-4D60-9C0B-43BE72571B05}"/>
    <cellStyle name="Standard 6 2 3 3 9 3 4" xfId="16601" xr:uid="{2243F387-E6DB-4F4F-8EA7-20B8CA0D6CCB}"/>
    <cellStyle name="Standard 6 2 3 3 9 4" xfId="4644" xr:uid="{00000000-0005-0000-0000-00002B120000}"/>
    <cellStyle name="Standard 6 2 3 3 9 4 2" xfId="4645" xr:uid="{00000000-0005-0000-0000-00002C120000}"/>
    <cellStyle name="Standard 6 2 3 3 9 4 2 2" xfId="4646" xr:uid="{00000000-0005-0000-0000-00002D120000}"/>
    <cellStyle name="Standard 6 2 3 3 9 4 2 2 2" xfId="16607" xr:uid="{CFF5188D-0394-4A8D-8851-25569D24D7CF}"/>
    <cellStyle name="Standard 6 2 3 3 9 4 2 3" xfId="16606" xr:uid="{D24F5894-32DD-42F9-86E4-C199AB6D8EAF}"/>
    <cellStyle name="Standard 6 2 3 3 9 4 3" xfId="4647" xr:uid="{00000000-0005-0000-0000-00002E120000}"/>
    <cellStyle name="Standard 6 2 3 3 9 4 3 2" xfId="16608" xr:uid="{535015DC-483E-4F3E-8CBB-01A5DEC12252}"/>
    <cellStyle name="Standard 6 2 3 3 9 4 4" xfId="16605" xr:uid="{90C9F4E5-AF84-42B3-BB5B-B8FD8CC753B7}"/>
    <cellStyle name="Standard 6 2 3 3 9 5" xfId="4648" xr:uid="{00000000-0005-0000-0000-00002F120000}"/>
    <cellStyle name="Standard 6 2 3 3 9 5 2" xfId="4649" xr:uid="{00000000-0005-0000-0000-000030120000}"/>
    <cellStyle name="Standard 6 2 3 3 9 5 2 2" xfId="4650" xr:uid="{00000000-0005-0000-0000-000031120000}"/>
    <cellStyle name="Standard 6 2 3 3 9 5 2 2 2" xfId="16611" xr:uid="{5909EB47-15FA-4F85-B15F-E19D63A02BA6}"/>
    <cellStyle name="Standard 6 2 3 3 9 5 2 3" xfId="16610" xr:uid="{8F67ED90-A76D-4ED4-9F5D-A82E67BDB07A}"/>
    <cellStyle name="Standard 6 2 3 3 9 5 3" xfId="4651" xr:uid="{00000000-0005-0000-0000-000032120000}"/>
    <cellStyle name="Standard 6 2 3 3 9 5 3 2" xfId="16612" xr:uid="{5E54C99E-0B5C-4712-96A2-663E45F90A4E}"/>
    <cellStyle name="Standard 6 2 3 3 9 5 4" xfId="16609" xr:uid="{040AB692-A4C3-42E5-9C51-198EAA89A4A1}"/>
    <cellStyle name="Standard 6 2 3 3 9 6" xfId="4652" xr:uid="{00000000-0005-0000-0000-000033120000}"/>
    <cellStyle name="Standard 6 2 3 3 9 6 2" xfId="4653" xr:uid="{00000000-0005-0000-0000-000034120000}"/>
    <cellStyle name="Standard 6 2 3 3 9 6 2 2" xfId="4654" xr:uid="{00000000-0005-0000-0000-000035120000}"/>
    <cellStyle name="Standard 6 2 3 3 9 6 2 2 2" xfId="16615" xr:uid="{F6C3FD94-8692-4570-B801-78FB5363A615}"/>
    <cellStyle name="Standard 6 2 3 3 9 6 2 3" xfId="16614" xr:uid="{58CD953E-978C-49A8-953F-7E7806555A81}"/>
    <cellStyle name="Standard 6 2 3 3 9 6 3" xfId="4655" xr:uid="{00000000-0005-0000-0000-000036120000}"/>
    <cellStyle name="Standard 6 2 3 3 9 6 3 2" xfId="16616" xr:uid="{5F986038-1FBA-4B75-BC33-364553035909}"/>
    <cellStyle name="Standard 6 2 3 3 9 6 4" xfId="16613" xr:uid="{C0C20F49-39D7-44FC-8DDF-F7C98B414AB1}"/>
    <cellStyle name="Standard 6 2 3 3 9 7" xfId="4656" xr:uid="{00000000-0005-0000-0000-000037120000}"/>
    <cellStyle name="Standard 6 2 3 3 9 7 2" xfId="4657" xr:uid="{00000000-0005-0000-0000-000038120000}"/>
    <cellStyle name="Standard 6 2 3 3 9 7 2 2" xfId="16618" xr:uid="{A5FF972C-0F05-44BF-AEBD-5938C3F57A29}"/>
    <cellStyle name="Standard 6 2 3 3 9 7 3" xfId="16617" xr:uid="{5B373AF6-586D-41C0-A173-9F8CA78080CA}"/>
    <cellStyle name="Standard 6 2 3 3 9 8" xfId="4658" xr:uid="{00000000-0005-0000-0000-000039120000}"/>
    <cellStyle name="Standard 6 2 3 3 9 8 2" xfId="16619" xr:uid="{950BDE0D-2A0C-47A5-9F35-9050FEDB2DCC}"/>
    <cellStyle name="Standard 6 2 3 3 9 9" xfId="16596" xr:uid="{E3243548-5A10-4273-9B6E-1E2AE1953D4C}"/>
    <cellStyle name="Standard 6 2 3 4" xfId="4659" xr:uid="{00000000-0005-0000-0000-00003A120000}"/>
    <cellStyle name="Standard 6 2 3 4 10" xfId="4660" xr:uid="{00000000-0005-0000-0000-00003B120000}"/>
    <cellStyle name="Standard 6 2 3 4 10 2" xfId="4661" xr:uid="{00000000-0005-0000-0000-00003C120000}"/>
    <cellStyle name="Standard 6 2 3 4 10 2 2" xfId="16622" xr:uid="{284E6ABB-5416-43AE-9796-58B2D4177C8C}"/>
    <cellStyle name="Standard 6 2 3 4 10 3" xfId="16621" xr:uid="{DECECEAE-7EA7-4710-8064-32471299C86E}"/>
    <cellStyle name="Standard 6 2 3 4 11" xfId="4662" xr:uid="{00000000-0005-0000-0000-00003D120000}"/>
    <cellStyle name="Standard 6 2 3 4 11 2" xfId="16623" xr:uid="{BCF1F463-5827-44FE-9807-41E60F365284}"/>
    <cellStyle name="Standard 6 2 3 4 12" xfId="16620" xr:uid="{86471723-76F6-4619-988D-E80C55CAFA74}"/>
    <cellStyle name="Standard 6 2 3 4 2" xfId="4663" xr:uid="{00000000-0005-0000-0000-00003E120000}"/>
    <cellStyle name="Standard 6 2 3 4 2 10" xfId="4664" xr:uid="{00000000-0005-0000-0000-00003F120000}"/>
    <cellStyle name="Standard 6 2 3 4 2 10 2" xfId="16625" xr:uid="{6E09CF35-68CF-4494-8300-CF03DB440B97}"/>
    <cellStyle name="Standard 6 2 3 4 2 11" xfId="16624" xr:uid="{929AF017-5360-4FFD-9038-A644924F29D7}"/>
    <cellStyle name="Standard 6 2 3 4 2 2" xfId="4665" xr:uid="{00000000-0005-0000-0000-000040120000}"/>
    <cellStyle name="Standard 6 2 3 4 2 2 10" xfId="16626" xr:uid="{73A4FEE9-77C3-459F-959A-BF263604E99D}"/>
    <cellStyle name="Standard 6 2 3 4 2 2 2" xfId="4666" xr:uid="{00000000-0005-0000-0000-000041120000}"/>
    <cellStyle name="Standard 6 2 3 4 2 2 2 2" xfId="4667" xr:uid="{00000000-0005-0000-0000-000042120000}"/>
    <cellStyle name="Standard 6 2 3 4 2 2 2 2 2" xfId="4668" xr:uid="{00000000-0005-0000-0000-000043120000}"/>
    <cellStyle name="Standard 6 2 3 4 2 2 2 2 2 2" xfId="16629" xr:uid="{D5A48B9B-9F55-47AF-98DF-9FC94F50BC4E}"/>
    <cellStyle name="Standard 6 2 3 4 2 2 2 2 3" xfId="16628" xr:uid="{30BCDD95-2144-4111-892B-3F7589B42962}"/>
    <cellStyle name="Standard 6 2 3 4 2 2 2 3" xfId="4669" xr:uid="{00000000-0005-0000-0000-000044120000}"/>
    <cellStyle name="Standard 6 2 3 4 2 2 2 3 2" xfId="16630" xr:uid="{C723E3F8-E50D-48B9-949E-432C92A14F27}"/>
    <cellStyle name="Standard 6 2 3 4 2 2 2 4" xfId="16627" xr:uid="{D3722AA4-F7E3-40B7-A4C3-3EE579FA45C0}"/>
    <cellStyle name="Standard 6 2 3 4 2 2 3" xfId="4670" xr:uid="{00000000-0005-0000-0000-000045120000}"/>
    <cellStyle name="Standard 6 2 3 4 2 2 3 2" xfId="4671" xr:uid="{00000000-0005-0000-0000-000046120000}"/>
    <cellStyle name="Standard 6 2 3 4 2 2 3 2 2" xfId="4672" xr:uid="{00000000-0005-0000-0000-000047120000}"/>
    <cellStyle name="Standard 6 2 3 4 2 2 3 2 2 2" xfId="16633" xr:uid="{DFF31DCD-5314-4042-A0C4-6235AF5AE3F6}"/>
    <cellStyle name="Standard 6 2 3 4 2 2 3 2 3" xfId="16632" xr:uid="{54B259E4-3BE8-4029-9B16-06F0F005E341}"/>
    <cellStyle name="Standard 6 2 3 4 2 2 3 3" xfId="4673" xr:uid="{00000000-0005-0000-0000-000048120000}"/>
    <cellStyle name="Standard 6 2 3 4 2 2 3 3 2" xfId="16634" xr:uid="{C23B68F3-D3B8-4F6F-BD10-A4820CECFBCF}"/>
    <cellStyle name="Standard 6 2 3 4 2 2 3 4" xfId="16631" xr:uid="{3D0483C8-C818-43F2-8E99-BBC4470DE0A9}"/>
    <cellStyle name="Standard 6 2 3 4 2 2 4" xfId="4674" xr:uid="{00000000-0005-0000-0000-000049120000}"/>
    <cellStyle name="Standard 6 2 3 4 2 2 4 2" xfId="4675" xr:uid="{00000000-0005-0000-0000-00004A120000}"/>
    <cellStyle name="Standard 6 2 3 4 2 2 4 2 2" xfId="4676" xr:uid="{00000000-0005-0000-0000-00004B120000}"/>
    <cellStyle name="Standard 6 2 3 4 2 2 4 2 2 2" xfId="16637" xr:uid="{74C54113-CBA1-4182-ABD7-F8514BC5D90D}"/>
    <cellStyle name="Standard 6 2 3 4 2 2 4 2 3" xfId="16636" xr:uid="{AE9675B3-B6E9-41AE-921F-77D518D7871D}"/>
    <cellStyle name="Standard 6 2 3 4 2 2 4 3" xfId="4677" xr:uid="{00000000-0005-0000-0000-00004C120000}"/>
    <cellStyle name="Standard 6 2 3 4 2 2 4 3 2" xfId="16638" xr:uid="{D0E03675-603B-4B29-8B48-80A23272BB73}"/>
    <cellStyle name="Standard 6 2 3 4 2 2 4 4" xfId="16635" xr:uid="{712C3702-FF5A-48D0-8843-E5CEE58310FC}"/>
    <cellStyle name="Standard 6 2 3 4 2 2 5" xfId="4678" xr:uid="{00000000-0005-0000-0000-00004D120000}"/>
    <cellStyle name="Standard 6 2 3 4 2 2 5 2" xfId="4679" xr:uid="{00000000-0005-0000-0000-00004E120000}"/>
    <cellStyle name="Standard 6 2 3 4 2 2 5 2 2" xfId="4680" xr:uid="{00000000-0005-0000-0000-00004F120000}"/>
    <cellStyle name="Standard 6 2 3 4 2 2 5 2 2 2" xfId="16641" xr:uid="{B459A675-49BB-4DB4-873C-8318A0056C7F}"/>
    <cellStyle name="Standard 6 2 3 4 2 2 5 2 3" xfId="16640" xr:uid="{206D8A59-C10B-4A1E-BF8A-516AB870EF46}"/>
    <cellStyle name="Standard 6 2 3 4 2 2 5 3" xfId="4681" xr:uid="{00000000-0005-0000-0000-000050120000}"/>
    <cellStyle name="Standard 6 2 3 4 2 2 5 3 2" xfId="16642" xr:uid="{A4FD8971-45F5-47E2-AC9B-BA61A96112C1}"/>
    <cellStyle name="Standard 6 2 3 4 2 2 5 4" xfId="16639" xr:uid="{C655FC36-7401-46B7-AE86-54C565D58B47}"/>
    <cellStyle name="Standard 6 2 3 4 2 2 6" xfId="4682" xr:uid="{00000000-0005-0000-0000-000051120000}"/>
    <cellStyle name="Standard 6 2 3 4 2 2 6 2" xfId="4683" xr:uid="{00000000-0005-0000-0000-000052120000}"/>
    <cellStyle name="Standard 6 2 3 4 2 2 6 2 2" xfId="4684" xr:uid="{00000000-0005-0000-0000-000053120000}"/>
    <cellStyle name="Standard 6 2 3 4 2 2 6 2 2 2" xfId="16645" xr:uid="{758F074E-CBEB-4A5B-8628-F9C52FDE932B}"/>
    <cellStyle name="Standard 6 2 3 4 2 2 6 2 3" xfId="16644" xr:uid="{F4C08E19-3723-44D4-B4BC-28C9E8237AB1}"/>
    <cellStyle name="Standard 6 2 3 4 2 2 6 3" xfId="4685" xr:uid="{00000000-0005-0000-0000-000054120000}"/>
    <cellStyle name="Standard 6 2 3 4 2 2 6 3 2" xfId="16646" xr:uid="{CDD031C2-0A42-4BC8-9F5C-596CDD9249FD}"/>
    <cellStyle name="Standard 6 2 3 4 2 2 6 4" xfId="16643" xr:uid="{F512E373-F460-4AA8-8C2E-8212D6D37E0C}"/>
    <cellStyle name="Standard 6 2 3 4 2 2 7" xfId="4686" xr:uid="{00000000-0005-0000-0000-000055120000}"/>
    <cellStyle name="Standard 6 2 3 4 2 2 7 2" xfId="4687" xr:uid="{00000000-0005-0000-0000-000056120000}"/>
    <cellStyle name="Standard 6 2 3 4 2 2 7 2 2" xfId="4688" xr:uid="{00000000-0005-0000-0000-000057120000}"/>
    <cellStyle name="Standard 6 2 3 4 2 2 7 2 2 2" xfId="16649" xr:uid="{316E11E3-459C-437B-95A4-E7A1CAA6C25B}"/>
    <cellStyle name="Standard 6 2 3 4 2 2 7 2 3" xfId="16648" xr:uid="{08FBAECA-E9DD-482C-9F60-26CCD8ACB702}"/>
    <cellStyle name="Standard 6 2 3 4 2 2 7 3" xfId="4689" xr:uid="{00000000-0005-0000-0000-000058120000}"/>
    <cellStyle name="Standard 6 2 3 4 2 2 7 3 2" xfId="16650" xr:uid="{A27CEA2D-EF13-48E7-A5C3-85D8DAF00C67}"/>
    <cellStyle name="Standard 6 2 3 4 2 2 7 4" xfId="16647" xr:uid="{ED572137-E880-4C87-B8F2-36F9BDC21E55}"/>
    <cellStyle name="Standard 6 2 3 4 2 2 8" xfId="4690" xr:uid="{00000000-0005-0000-0000-000059120000}"/>
    <cellStyle name="Standard 6 2 3 4 2 2 8 2" xfId="4691" xr:uid="{00000000-0005-0000-0000-00005A120000}"/>
    <cellStyle name="Standard 6 2 3 4 2 2 8 2 2" xfId="16652" xr:uid="{818DA4FB-5916-43CD-A59D-1ACC97830075}"/>
    <cellStyle name="Standard 6 2 3 4 2 2 8 3" xfId="16651" xr:uid="{668650BA-B5BC-4814-8462-483661E5FF4E}"/>
    <cellStyle name="Standard 6 2 3 4 2 2 9" xfId="4692" xr:uid="{00000000-0005-0000-0000-00005B120000}"/>
    <cellStyle name="Standard 6 2 3 4 2 2 9 2" xfId="16653" xr:uid="{0B27526F-BEC2-4526-8D76-76209C1A72ED}"/>
    <cellStyle name="Standard 6 2 3 4 2 3" xfId="4693" xr:uid="{00000000-0005-0000-0000-00005C120000}"/>
    <cellStyle name="Standard 6 2 3 4 2 3 2" xfId="4694" xr:uid="{00000000-0005-0000-0000-00005D120000}"/>
    <cellStyle name="Standard 6 2 3 4 2 3 2 2" xfId="4695" xr:uid="{00000000-0005-0000-0000-00005E120000}"/>
    <cellStyle name="Standard 6 2 3 4 2 3 2 2 2" xfId="16656" xr:uid="{FB5048C3-A57C-4CBF-B7B1-5A3B2EBEE812}"/>
    <cellStyle name="Standard 6 2 3 4 2 3 2 3" xfId="16655" xr:uid="{F746932F-658D-465A-AF2F-D9A0BC033D11}"/>
    <cellStyle name="Standard 6 2 3 4 2 3 3" xfId="4696" xr:uid="{00000000-0005-0000-0000-00005F120000}"/>
    <cellStyle name="Standard 6 2 3 4 2 3 3 2" xfId="16657" xr:uid="{E771DC5A-1F5B-4C43-96E1-EE78330B6C6A}"/>
    <cellStyle name="Standard 6 2 3 4 2 3 4" xfId="16654" xr:uid="{21CCF2AE-B41C-430C-BE08-93D094F4AB64}"/>
    <cellStyle name="Standard 6 2 3 4 2 4" xfId="4697" xr:uid="{00000000-0005-0000-0000-000060120000}"/>
    <cellStyle name="Standard 6 2 3 4 2 4 2" xfId="4698" xr:uid="{00000000-0005-0000-0000-000061120000}"/>
    <cellStyle name="Standard 6 2 3 4 2 4 2 2" xfId="4699" xr:uid="{00000000-0005-0000-0000-000062120000}"/>
    <cellStyle name="Standard 6 2 3 4 2 4 2 2 2" xfId="16660" xr:uid="{3A974F86-5E14-4166-B609-F0CACD5497D1}"/>
    <cellStyle name="Standard 6 2 3 4 2 4 2 3" xfId="16659" xr:uid="{D972F87D-CFF7-4320-89D5-A4CABB1F7D7B}"/>
    <cellStyle name="Standard 6 2 3 4 2 4 3" xfId="4700" xr:uid="{00000000-0005-0000-0000-000063120000}"/>
    <cellStyle name="Standard 6 2 3 4 2 4 3 2" xfId="16661" xr:uid="{61F93F67-7739-45AF-86C8-5A0E5053B6D5}"/>
    <cellStyle name="Standard 6 2 3 4 2 4 4" xfId="16658" xr:uid="{5A722804-622C-4C43-8B4B-8C980D63C8B3}"/>
    <cellStyle name="Standard 6 2 3 4 2 5" xfId="4701" xr:uid="{00000000-0005-0000-0000-000064120000}"/>
    <cellStyle name="Standard 6 2 3 4 2 5 2" xfId="4702" xr:uid="{00000000-0005-0000-0000-000065120000}"/>
    <cellStyle name="Standard 6 2 3 4 2 5 2 2" xfId="4703" xr:uid="{00000000-0005-0000-0000-000066120000}"/>
    <cellStyle name="Standard 6 2 3 4 2 5 2 2 2" xfId="16664" xr:uid="{2FC552CE-084A-4EB3-A74C-7EF672DA3EBA}"/>
    <cellStyle name="Standard 6 2 3 4 2 5 2 3" xfId="16663" xr:uid="{262B2209-537A-407E-8EA5-A9F4FB48215D}"/>
    <cellStyle name="Standard 6 2 3 4 2 5 3" xfId="4704" xr:uid="{00000000-0005-0000-0000-000067120000}"/>
    <cellStyle name="Standard 6 2 3 4 2 5 3 2" xfId="16665" xr:uid="{0A8B567D-676C-45B7-B5AF-CD40068FB63F}"/>
    <cellStyle name="Standard 6 2 3 4 2 5 4" xfId="16662" xr:uid="{D3E1AB00-359A-42DB-8D01-E1B0C65ABD88}"/>
    <cellStyle name="Standard 6 2 3 4 2 6" xfId="4705" xr:uid="{00000000-0005-0000-0000-000068120000}"/>
    <cellStyle name="Standard 6 2 3 4 2 6 2" xfId="4706" xr:uid="{00000000-0005-0000-0000-000069120000}"/>
    <cellStyle name="Standard 6 2 3 4 2 6 2 2" xfId="4707" xr:uid="{00000000-0005-0000-0000-00006A120000}"/>
    <cellStyle name="Standard 6 2 3 4 2 6 2 2 2" xfId="16668" xr:uid="{0A0F9384-7240-4DB9-8365-BC27C8652556}"/>
    <cellStyle name="Standard 6 2 3 4 2 6 2 3" xfId="16667" xr:uid="{AA603761-41E5-4966-B1B4-738AB7C558FE}"/>
    <cellStyle name="Standard 6 2 3 4 2 6 3" xfId="4708" xr:uid="{00000000-0005-0000-0000-00006B120000}"/>
    <cellStyle name="Standard 6 2 3 4 2 6 3 2" xfId="16669" xr:uid="{CAA84507-B62A-4B70-91B6-0B2FEF73AA09}"/>
    <cellStyle name="Standard 6 2 3 4 2 6 4" xfId="16666" xr:uid="{9A296D83-9960-4802-A566-32DB01639DFB}"/>
    <cellStyle name="Standard 6 2 3 4 2 7" xfId="4709" xr:uid="{00000000-0005-0000-0000-00006C120000}"/>
    <cellStyle name="Standard 6 2 3 4 2 7 2" xfId="4710" xr:uid="{00000000-0005-0000-0000-00006D120000}"/>
    <cellStyle name="Standard 6 2 3 4 2 7 2 2" xfId="4711" xr:uid="{00000000-0005-0000-0000-00006E120000}"/>
    <cellStyle name="Standard 6 2 3 4 2 7 2 2 2" xfId="16672" xr:uid="{81629682-1B06-4C17-A166-9214A933C88C}"/>
    <cellStyle name="Standard 6 2 3 4 2 7 2 3" xfId="16671" xr:uid="{6EEDBDEC-FA49-4525-83EE-DBDC40AD14CA}"/>
    <cellStyle name="Standard 6 2 3 4 2 7 3" xfId="4712" xr:uid="{00000000-0005-0000-0000-00006F120000}"/>
    <cellStyle name="Standard 6 2 3 4 2 7 3 2" xfId="16673" xr:uid="{67903FEB-6807-42A6-B395-7EFF188F858F}"/>
    <cellStyle name="Standard 6 2 3 4 2 7 4" xfId="16670" xr:uid="{5D27C719-0644-4974-84A7-6E4FF9532C5B}"/>
    <cellStyle name="Standard 6 2 3 4 2 8" xfId="4713" xr:uid="{00000000-0005-0000-0000-000070120000}"/>
    <cellStyle name="Standard 6 2 3 4 2 8 2" xfId="4714" xr:uid="{00000000-0005-0000-0000-000071120000}"/>
    <cellStyle name="Standard 6 2 3 4 2 8 2 2" xfId="4715" xr:uid="{00000000-0005-0000-0000-000072120000}"/>
    <cellStyle name="Standard 6 2 3 4 2 8 2 2 2" xfId="16676" xr:uid="{D136CC13-6523-42D1-866C-32C05E23E4AF}"/>
    <cellStyle name="Standard 6 2 3 4 2 8 2 3" xfId="16675" xr:uid="{3B995F3B-81A7-4BC7-BFDA-66C4A2B2DC3F}"/>
    <cellStyle name="Standard 6 2 3 4 2 8 3" xfId="4716" xr:uid="{00000000-0005-0000-0000-000073120000}"/>
    <cellStyle name="Standard 6 2 3 4 2 8 3 2" xfId="16677" xr:uid="{FDC750FC-9FCC-4900-A38B-3C26D135C21E}"/>
    <cellStyle name="Standard 6 2 3 4 2 8 4" xfId="16674" xr:uid="{AE7D9132-084A-4F66-86FA-00AC064938C1}"/>
    <cellStyle name="Standard 6 2 3 4 2 9" xfId="4717" xr:uid="{00000000-0005-0000-0000-000074120000}"/>
    <cellStyle name="Standard 6 2 3 4 2 9 2" xfId="4718" xr:uid="{00000000-0005-0000-0000-000075120000}"/>
    <cellStyle name="Standard 6 2 3 4 2 9 2 2" xfId="16679" xr:uid="{CB801BE9-2725-4846-A566-B679A53672F9}"/>
    <cellStyle name="Standard 6 2 3 4 2 9 3" xfId="16678" xr:uid="{2FD41130-DF19-4EA1-9598-06914748732B}"/>
    <cellStyle name="Standard 6 2 3 4 3" xfId="4719" xr:uid="{00000000-0005-0000-0000-000076120000}"/>
    <cellStyle name="Standard 6 2 3 4 3 10" xfId="16680" xr:uid="{9DD4D818-9365-43DF-9B44-41E8ADA971E7}"/>
    <cellStyle name="Standard 6 2 3 4 3 2" xfId="4720" xr:uid="{00000000-0005-0000-0000-000077120000}"/>
    <cellStyle name="Standard 6 2 3 4 3 2 2" xfId="4721" xr:uid="{00000000-0005-0000-0000-000078120000}"/>
    <cellStyle name="Standard 6 2 3 4 3 2 2 2" xfId="4722" xr:uid="{00000000-0005-0000-0000-000079120000}"/>
    <cellStyle name="Standard 6 2 3 4 3 2 2 2 2" xfId="16683" xr:uid="{5D55E292-E3A7-40E6-AD0A-D08FA6A48606}"/>
    <cellStyle name="Standard 6 2 3 4 3 2 2 3" xfId="16682" xr:uid="{44E3DD23-223A-48AF-BA62-625E994621FC}"/>
    <cellStyle name="Standard 6 2 3 4 3 2 3" xfId="4723" xr:uid="{00000000-0005-0000-0000-00007A120000}"/>
    <cellStyle name="Standard 6 2 3 4 3 2 3 2" xfId="16684" xr:uid="{F6C07FFF-D46B-4FEE-8A32-9F2120F248FA}"/>
    <cellStyle name="Standard 6 2 3 4 3 2 4" xfId="16681" xr:uid="{EB3C3C90-B330-4E2A-BD07-359891E44EF5}"/>
    <cellStyle name="Standard 6 2 3 4 3 3" xfId="4724" xr:uid="{00000000-0005-0000-0000-00007B120000}"/>
    <cellStyle name="Standard 6 2 3 4 3 3 2" xfId="4725" xr:uid="{00000000-0005-0000-0000-00007C120000}"/>
    <cellStyle name="Standard 6 2 3 4 3 3 2 2" xfId="4726" xr:uid="{00000000-0005-0000-0000-00007D120000}"/>
    <cellStyle name="Standard 6 2 3 4 3 3 2 2 2" xfId="16687" xr:uid="{B96D6A58-827D-442D-8CFE-18DE3C1E273B}"/>
    <cellStyle name="Standard 6 2 3 4 3 3 2 3" xfId="16686" xr:uid="{B488D634-27C2-4F27-95F4-B0EB8297FF78}"/>
    <cellStyle name="Standard 6 2 3 4 3 3 3" xfId="4727" xr:uid="{00000000-0005-0000-0000-00007E120000}"/>
    <cellStyle name="Standard 6 2 3 4 3 3 3 2" xfId="16688" xr:uid="{D0632CEE-6E36-4C3B-98FE-AE62D5E92BF1}"/>
    <cellStyle name="Standard 6 2 3 4 3 3 4" xfId="16685" xr:uid="{92977675-1C23-4689-B9B1-788356A87A82}"/>
    <cellStyle name="Standard 6 2 3 4 3 4" xfId="4728" xr:uid="{00000000-0005-0000-0000-00007F120000}"/>
    <cellStyle name="Standard 6 2 3 4 3 4 2" xfId="4729" xr:uid="{00000000-0005-0000-0000-000080120000}"/>
    <cellStyle name="Standard 6 2 3 4 3 4 2 2" xfId="4730" xr:uid="{00000000-0005-0000-0000-000081120000}"/>
    <cellStyle name="Standard 6 2 3 4 3 4 2 2 2" xfId="16691" xr:uid="{61067CA2-A83B-4A3F-870F-61EB8BA7A839}"/>
    <cellStyle name="Standard 6 2 3 4 3 4 2 3" xfId="16690" xr:uid="{A4842003-3D2F-4430-A773-91109183C53F}"/>
    <cellStyle name="Standard 6 2 3 4 3 4 3" xfId="4731" xr:uid="{00000000-0005-0000-0000-000082120000}"/>
    <cellStyle name="Standard 6 2 3 4 3 4 3 2" xfId="16692" xr:uid="{FB6C816E-CCB5-4BBC-9E52-080B0FB739B0}"/>
    <cellStyle name="Standard 6 2 3 4 3 4 4" xfId="16689" xr:uid="{C54DBB6E-D148-495E-A124-9A38E1438618}"/>
    <cellStyle name="Standard 6 2 3 4 3 5" xfId="4732" xr:uid="{00000000-0005-0000-0000-000083120000}"/>
    <cellStyle name="Standard 6 2 3 4 3 5 2" xfId="4733" xr:uid="{00000000-0005-0000-0000-000084120000}"/>
    <cellStyle name="Standard 6 2 3 4 3 5 2 2" xfId="4734" xr:uid="{00000000-0005-0000-0000-000085120000}"/>
    <cellStyle name="Standard 6 2 3 4 3 5 2 2 2" xfId="16695" xr:uid="{18212D79-D0DE-411D-BAC2-23EC3E54E38D}"/>
    <cellStyle name="Standard 6 2 3 4 3 5 2 3" xfId="16694" xr:uid="{53113A27-2D1B-44C3-8DF9-54964B9F548C}"/>
    <cellStyle name="Standard 6 2 3 4 3 5 3" xfId="4735" xr:uid="{00000000-0005-0000-0000-000086120000}"/>
    <cellStyle name="Standard 6 2 3 4 3 5 3 2" xfId="16696" xr:uid="{290E96D0-5529-4DDC-85B7-0E8137CC3D67}"/>
    <cellStyle name="Standard 6 2 3 4 3 5 4" xfId="16693" xr:uid="{4A9BFA94-D695-490D-BD57-168EF9763C9F}"/>
    <cellStyle name="Standard 6 2 3 4 3 6" xfId="4736" xr:uid="{00000000-0005-0000-0000-000087120000}"/>
    <cellStyle name="Standard 6 2 3 4 3 6 2" xfId="4737" xr:uid="{00000000-0005-0000-0000-000088120000}"/>
    <cellStyle name="Standard 6 2 3 4 3 6 2 2" xfId="4738" xr:uid="{00000000-0005-0000-0000-000089120000}"/>
    <cellStyle name="Standard 6 2 3 4 3 6 2 2 2" xfId="16699" xr:uid="{FDDA2CF0-E47E-4822-96DB-45A17CBF5843}"/>
    <cellStyle name="Standard 6 2 3 4 3 6 2 3" xfId="16698" xr:uid="{59781F28-2429-4C9C-AB2B-C19E52356830}"/>
    <cellStyle name="Standard 6 2 3 4 3 6 3" xfId="4739" xr:uid="{00000000-0005-0000-0000-00008A120000}"/>
    <cellStyle name="Standard 6 2 3 4 3 6 3 2" xfId="16700" xr:uid="{6439CAF7-E44F-42E0-9B5F-74122589D25E}"/>
    <cellStyle name="Standard 6 2 3 4 3 6 4" xfId="16697" xr:uid="{25FAE652-0D7B-4246-8FE9-07194B68F3E6}"/>
    <cellStyle name="Standard 6 2 3 4 3 7" xfId="4740" xr:uid="{00000000-0005-0000-0000-00008B120000}"/>
    <cellStyle name="Standard 6 2 3 4 3 7 2" xfId="4741" xr:uid="{00000000-0005-0000-0000-00008C120000}"/>
    <cellStyle name="Standard 6 2 3 4 3 7 2 2" xfId="4742" xr:uid="{00000000-0005-0000-0000-00008D120000}"/>
    <cellStyle name="Standard 6 2 3 4 3 7 2 2 2" xfId="16703" xr:uid="{046D8B28-5A73-4352-B09B-B23E419471A2}"/>
    <cellStyle name="Standard 6 2 3 4 3 7 2 3" xfId="16702" xr:uid="{CE82E471-B7D9-43FB-B784-0B974F40203C}"/>
    <cellStyle name="Standard 6 2 3 4 3 7 3" xfId="4743" xr:uid="{00000000-0005-0000-0000-00008E120000}"/>
    <cellStyle name="Standard 6 2 3 4 3 7 3 2" xfId="16704" xr:uid="{C0D1F8D1-021A-4705-B026-ADBAD53DBB6D}"/>
    <cellStyle name="Standard 6 2 3 4 3 7 4" xfId="16701" xr:uid="{3EBA465A-1D8A-4E65-9A03-E2D403089D5D}"/>
    <cellStyle name="Standard 6 2 3 4 3 8" xfId="4744" xr:uid="{00000000-0005-0000-0000-00008F120000}"/>
    <cellStyle name="Standard 6 2 3 4 3 8 2" xfId="4745" xr:uid="{00000000-0005-0000-0000-000090120000}"/>
    <cellStyle name="Standard 6 2 3 4 3 8 2 2" xfId="16706" xr:uid="{E370AE82-F712-4242-BF6E-3569AD03549F}"/>
    <cellStyle name="Standard 6 2 3 4 3 8 3" xfId="16705" xr:uid="{FFB22532-D044-444B-8A5D-31B021C1E63A}"/>
    <cellStyle name="Standard 6 2 3 4 3 9" xfId="4746" xr:uid="{00000000-0005-0000-0000-000091120000}"/>
    <cellStyle name="Standard 6 2 3 4 3 9 2" xfId="16707" xr:uid="{91022EAC-004B-40B4-9CAA-7FC03CF4377D}"/>
    <cellStyle name="Standard 6 2 3 4 4" xfId="4747" xr:uid="{00000000-0005-0000-0000-000092120000}"/>
    <cellStyle name="Standard 6 2 3 4 4 2" xfId="4748" xr:uid="{00000000-0005-0000-0000-000093120000}"/>
    <cellStyle name="Standard 6 2 3 4 4 2 2" xfId="4749" xr:uid="{00000000-0005-0000-0000-000094120000}"/>
    <cellStyle name="Standard 6 2 3 4 4 2 2 2" xfId="16710" xr:uid="{CDCFC2FE-059F-47B8-AE78-7D0B350C80DF}"/>
    <cellStyle name="Standard 6 2 3 4 4 2 3" xfId="16709" xr:uid="{DF145ADD-9861-4023-B98E-DF06A1751767}"/>
    <cellStyle name="Standard 6 2 3 4 4 3" xfId="4750" xr:uid="{00000000-0005-0000-0000-000095120000}"/>
    <cellStyle name="Standard 6 2 3 4 4 3 2" xfId="16711" xr:uid="{5088B5D8-0EEA-4731-BA11-40EB63723597}"/>
    <cellStyle name="Standard 6 2 3 4 4 4" xfId="16708" xr:uid="{EE792087-53CE-4954-9B33-5610A80E7F4C}"/>
    <cellStyle name="Standard 6 2 3 4 5" xfId="4751" xr:uid="{00000000-0005-0000-0000-000096120000}"/>
    <cellStyle name="Standard 6 2 3 4 5 2" xfId="4752" xr:uid="{00000000-0005-0000-0000-000097120000}"/>
    <cellStyle name="Standard 6 2 3 4 5 2 2" xfId="4753" xr:uid="{00000000-0005-0000-0000-000098120000}"/>
    <cellStyle name="Standard 6 2 3 4 5 2 2 2" xfId="16714" xr:uid="{610FB070-9F6C-4ABF-A7CA-F4F082ED1A17}"/>
    <cellStyle name="Standard 6 2 3 4 5 2 3" xfId="16713" xr:uid="{27E7E3AA-ACD6-4C20-B785-1DD0E09E4690}"/>
    <cellStyle name="Standard 6 2 3 4 5 3" xfId="4754" xr:uid="{00000000-0005-0000-0000-000099120000}"/>
    <cellStyle name="Standard 6 2 3 4 5 3 2" xfId="16715" xr:uid="{D56477BE-C842-439E-AC8A-859A6A684C50}"/>
    <cellStyle name="Standard 6 2 3 4 5 4" xfId="16712" xr:uid="{1820620F-D917-4943-A304-F76B825DE622}"/>
    <cellStyle name="Standard 6 2 3 4 6" xfId="4755" xr:uid="{00000000-0005-0000-0000-00009A120000}"/>
    <cellStyle name="Standard 6 2 3 4 6 2" xfId="4756" xr:uid="{00000000-0005-0000-0000-00009B120000}"/>
    <cellStyle name="Standard 6 2 3 4 6 2 2" xfId="4757" xr:uid="{00000000-0005-0000-0000-00009C120000}"/>
    <cellStyle name="Standard 6 2 3 4 6 2 2 2" xfId="16718" xr:uid="{5543C072-3BC6-44AA-9AA0-21A2519CA59C}"/>
    <cellStyle name="Standard 6 2 3 4 6 2 3" xfId="16717" xr:uid="{934B4021-3A9F-4EBF-9CE4-C6BE29F41211}"/>
    <cellStyle name="Standard 6 2 3 4 6 3" xfId="4758" xr:uid="{00000000-0005-0000-0000-00009D120000}"/>
    <cellStyle name="Standard 6 2 3 4 6 3 2" xfId="16719" xr:uid="{1CDD4F7F-6EAE-4AEF-8E7C-6624B866A3F4}"/>
    <cellStyle name="Standard 6 2 3 4 6 4" xfId="16716" xr:uid="{035EE5EB-B4D2-4E76-AD06-F69FDEBFA7CD}"/>
    <cellStyle name="Standard 6 2 3 4 7" xfId="4759" xr:uid="{00000000-0005-0000-0000-00009E120000}"/>
    <cellStyle name="Standard 6 2 3 4 7 2" xfId="4760" xr:uid="{00000000-0005-0000-0000-00009F120000}"/>
    <cellStyle name="Standard 6 2 3 4 7 2 2" xfId="4761" xr:uid="{00000000-0005-0000-0000-0000A0120000}"/>
    <cellStyle name="Standard 6 2 3 4 7 2 2 2" xfId="16722" xr:uid="{77A2EEED-2D50-4A61-88DE-AB17C865A3B1}"/>
    <cellStyle name="Standard 6 2 3 4 7 2 3" xfId="16721" xr:uid="{75F6D96B-6428-4509-AE6B-2AD03E5B4C6C}"/>
    <cellStyle name="Standard 6 2 3 4 7 3" xfId="4762" xr:uid="{00000000-0005-0000-0000-0000A1120000}"/>
    <cellStyle name="Standard 6 2 3 4 7 3 2" xfId="16723" xr:uid="{DCE3468E-B4A0-4646-9200-9D1FA083FDE2}"/>
    <cellStyle name="Standard 6 2 3 4 7 4" xfId="16720" xr:uid="{485628B1-BD65-4CF3-9039-68A97ED49056}"/>
    <cellStyle name="Standard 6 2 3 4 8" xfId="4763" xr:uid="{00000000-0005-0000-0000-0000A2120000}"/>
    <cellStyle name="Standard 6 2 3 4 8 2" xfId="4764" xr:uid="{00000000-0005-0000-0000-0000A3120000}"/>
    <cellStyle name="Standard 6 2 3 4 8 2 2" xfId="4765" xr:uid="{00000000-0005-0000-0000-0000A4120000}"/>
    <cellStyle name="Standard 6 2 3 4 8 2 2 2" xfId="16726" xr:uid="{E647C489-3984-460D-AF40-A6B1E558DD5E}"/>
    <cellStyle name="Standard 6 2 3 4 8 2 3" xfId="16725" xr:uid="{6DF08A86-964E-439B-99D7-262C06B54190}"/>
    <cellStyle name="Standard 6 2 3 4 8 3" xfId="4766" xr:uid="{00000000-0005-0000-0000-0000A5120000}"/>
    <cellStyle name="Standard 6 2 3 4 8 3 2" xfId="16727" xr:uid="{A2C5139A-A5BE-42D7-98BD-6CD4CA0F0F77}"/>
    <cellStyle name="Standard 6 2 3 4 8 4" xfId="16724" xr:uid="{14E22C7B-4A4C-44E4-86B4-FF418B09322A}"/>
    <cellStyle name="Standard 6 2 3 4 9" xfId="4767" xr:uid="{00000000-0005-0000-0000-0000A6120000}"/>
    <cellStyle name="Standard 6 2 3 4 9 2" xfId="4768" xr:uid="{00000000-0005-0000-0000-0000A7120000}"/>
    <cellStyle name="Standard 6 2 3 4 9 2 2" xfId="4769" xr:uid="{00000000-0005-0000-0000-0000A8120000}"/>
    <cellStyle name="Standard 6 2 3 4 9 2 2 2" xfId="16730" xr:uid="{253D176C-3F3C-4FD0-B190-32B8A2BBBF92}"/>
    <cellStyle name="Standard 6 2 3 4 9 2 3" xfId="16729" xr:uid="{FD566533-F1BB-4FA7-B30F-96BCE2F31E27}"/>
    <cellStyle name="Standard 6 2 3 4 9 3" xfId="4770" xr:uid="{00000000-0005-0000-0000-0000A9120000}"/>
    <cellStyle name="Standard 6 2 3 4 9 3 2" xfId="16731" xr:uid="{7B53AE69-FED8-496D-BFD7-D40B26CFC58D}"/>
    <cellStyle name="Standard 6 2 3 4 9 4" xfId="16728" xr:uid="{0D1C1DA6-55A8-43DC-AA63-B6B1594C0920}"/>
    <cellStyle name="Standard 6 2 3 5" xfId="4771" xr:uid="{00000000-0005-0000-0000-0000AA120000}"/>
    <cellStyle name="Standard 6 2 3 5 10" xfId="4772" xr:uid="{00000000-0005-0000-0000-0000AB120000}"/>
    <cellStyle name="Standard 6 2 3 5 10 2" xfId="16733" xr:uid="{8F6085D5-DF49-428B-BBCF-0FC63B8721FE}"/>
    <cellStyle name="Standard 6 2 3 5 11" xfId="16732" xr:uid="{F05FD797-26B9-4978-B8CE-4C2709F11E57}"/>
    <cellStyle name="Standard 6 2 3 5 2" xfId="4773" xr:uid="{00000000-0005-0000-0000-0000AC120000}"/>
    <cellStyle name="Standard 6 2 3 5 2 10" xfId="16734" xr:uid="{D2AC463D-4143-472D-BD7E-8C9B52B6371B}"/>
    <cellStyle name="Standard 6 2 3 5 2 2" xfId="4774" xr:uid="{00000000-0005-0000-0000-0000AD120000}"/>
    <cellStyle name="Standard 6 2 3 5 2 2 2" xfId="4775" xr:uid="{00000000-0005-0000-0000-0000AE120000}"/>
    <cellStyle name="Standard 6 2 3 5 2 2 2 2" xfId="4776" xr:uid="{00000000-0005-0000-0000-0000AF120000}"/>
    <cellStyle name="Standard 6 2 3 5 2 2 2 2 2" xfId="16737" xr:uid="{71C79602-E302-4A25-988B-A51D78CA833F}"/>
    <cellStyle name="Standard 6 2 3 5 2 2 2 3" xfId="16736" xr:uid="{8FA4D021-B553-472D-830C-E57466C67F53}"/>
    <cellStyle name="Standard 6 2 3 5 2 2 3" xfId="4777" xr:uid="{00000000-0005-0000-0000-0000B0120000}"/>
    <cellStyle name="Standard 6 2 3 5 2 2 3 2" xfId="16738" xr:uid="{DC1019BF-6C23-42A3-916C-E87DEB2C367F}"/>
    <cellStyle name="Standard 6 2 3 5 2 2 4" xfId="16735" xr:uid="{D10DAB1F-25EF-4525-88C1-798C97AF157F}"/>
    <cellStyle name="Standard 6 2 3 5 2 3" xfId="4778" xr:uid="{00000000-0005-0000-0000-0000B1120000}"/>
    <cellStyle name="Standard 6 2 3 5 2 3 2" xfId="4779" xr:uid="{00000000-0005-0000-0000-0000B2120000}"/>
    <cellStyle name="Standard 6 2 3 5 2 3 2 2" xfId="4780" xr:uid="{00000000-0005-0000-0000-0000B3120000}"/>
    <cellStyle name="Standard 6 2 3 5 2 3 2 2 2" xfId="16741" xr:uid="{C48E2FF8-43F2-464C-84AD-A2C3476EC309}"/>
    <cellStyle name="Standard 6 2 3 5 2 3 2 3" xfId="16740" xr:uid="{82BF0BDB-0133-45FF-84FE-25BE954AA2E8}"/>
    <cellStyle name="Standard 6 2 3 5 2 3 3" xfId="4781" xr:uid="{00000000-0005-0000-0000-0000B4120000}"/>
    <cellStyle name="Standard 6 2 3 5 2 3 3 2" xfId="16742" xr:uid="{9DB9FDE6-50B3-43C7-83C5-22ECEDB416C3}"/>
    <cellStyle name="Standard 6 2 3 5 2 3 4" xfId="16739" xr:uid="{8133230B-3E87-4A9F-9754-7ED20350C7C3}"/>
    <cellStyle name="Standard 6 2 3 5 2 4" xfId="4782" xr:uid="{00000000-0005-0000-0000-0000B5120000}"/>
    <cellStyle name="Standard 6 2 3 5 2 4 2" xfId="4783" xr:uid="{00000000-0005-0000-0000-0000B6120000}"/>
    <cellStyle name="Standard 6 2 3 5 2 4 2 2" xfId="4784" xr:uid="{00000000-0005-0000-0000-0000B7120000}"/>
    <cellStyle name="Standard 6 2 3 5 2 4 2 2 2" xfId="16745" xr:uid="{0E45D168-9F81-4745-BE91-6D0E7B5E963A}"/>
    <cellStyle name="Standard 6 2 3 5 2 4 2 3" xfId="16744" xr:uid="{1965C242-7D91-4B3C-9D84-959DCB7BBFC9}"/>
    <cellStyle name="Standard 6 2 3 5 2 4 3" xfId="4785" xr:uid="{00000000-0005-0000-0000-0000B8120000}"/>
    <cellStyle name="Standard 6 2 3 5 2 4 3 2" xfId="16746" xr:uid="{B7CB035F-02E0-46E6-BC88-12FE78C28C24}"/>
    <cellStyle name="Standard 6 2 3 5 2 4 4" xfId="16743" xr:uid="{1D5E0421-3063-4F83-87FA-06ADAC9A83F2}"/>
    <cellStyle name="Standard 6 2 3 5 2 5" xfId="4786" xr:uid="{00000000-0005-0000-0000-0000B9120000}"/>
    <cellStyle name="Standard 6 2 3 5 2 5 2" xfId="4787" xr:uid="{00000000-0005-0000-0000-0000BA120000}"/>
    <cellStyle name="Standard 6 2 3 5 2 5 2 2" xfId="4788" xr:uid="{00000000-0005-0000-0000-0000BB120000}"/>
    <cellStyle name="Standard 6 2 3 5 2 5 2 2 2" xfId="16749" xr:uid="{C719B31F-EC9B-4B70-BC0D-E8362C06CF0F}"/>
    <cellStyle name="Standard 6 2 3 5 2 5 2 3" xfId="16748" xr:uid="{3E5A7E96-26AD-4B42-AFF5-4A738F9FF8D2}"/>
    <cellStyle name="Standard 6 2 3 5 2 5 3" xfId="4789" xr:uid="{00000000-0005-0000-0000-0000BC120000}"/>
    <cellStyle name="Standard 6 2 3 5 2 5 3 2" xfId="16750" xr:uid="{775A91DE-A75B-436B-BF33-4ED9AB4DFFFC}"/>
    <cellStyle name="Standard 6 2 3 5 2 5 4" xfId="16747" xr:uid="{9C679691-B5DD-4A16-9CC4-92405C06CEB3}"/>
    <cellStyle name="Standard 6 2 3 5 2 6" xfId="4790" xr:uid="{00000000-0005-0000-0000-0000BD120000}"/>
    <cellStyle name="Standard 6 2 3 5 2 6 2" xfId="4791" xr:uid="{00000000-0005-0000-0000-0000BE120000}"/>
    <cellStyle name="Standard 6 2 3 5 2 6 2 2" xfId="4792" xr:uid="{00000000-0005-0000-0000-0000BF120000}"/>
    <cellStyle name="Standard 6 2 3 5 2 6 2 2 2" xfId="16753" xr:uid="{DB3573ED-FB34-4858-9A74-EF0BA737A09E}"/>
    <cellStyle name="Standard 6 2 3 5 2 6 2 3" xfId="16752" xr:uid="{2BE57D1E-1D54-4BD8-BDFB-B5E178955365}"/>
    <cellStyle name="Standard 6 2 3 5 2 6 3" xfId="4793" xr:uid="{00000000-0005-0000-0000-0000C0120000}"/>
    <cellStyle name="Standard 6 2 3 5 2 6 3 2" xfId="16754" xr:uid="{3D21DCF9-84DC-4817-87F7-5D4191D714F1}"/>
    <cellStyle name="Standard 6 2 3 5 2 6 4" xfId="16751" xr:uid="{C7AF5BFC-6FA8-476B-8ED5-641A67D3EF7F}"/>
    <cellStyle name="Standard 6 2 3 5 2 7" xfId="4794" xr:uid="{00000000-0005-0000-0000-0000C1120000}"/>
    <cellStyle name="Standard 6 2 3 5 2 7 2" xfId="4795" xr:uid="{00000000-0005-0000-0000-0000C2120000}"/>
    <cellStyle name="Standard 6 2 3 5 2 7 2 2" xfId="4796" xr:uid="{00000000-0005-0000-0000-0000C3120000}"/>
    <cellStyle name="Standard 6 2 3 5 2 7 2 2 2" xfId="16757" xr:uid="{A7CB1C27-D33A-433E-8EC2-135DEACD2D6A}"/>
    <cellStyle name="Standard 6 2 3 5 2 7 2 3" xfId="16756" xr:uid="{91AA541B-E421-46AE-BAB6-4CA64FD8D3F3}"/>
    <cellStyle name="Standard 6 2 3 5 2 7 3" xfId="4797" xr:uid="{00000000-0005-0000-0000-0000C4120000}"/>
    <cellStyle name="Standard 6 2 3 5 2 7 3 2" xfId="16758" xr:uid="{0BA331FF-D934-494B-BB27-0876C63F743C}"/>
    <cellStyle name="Standard 6 2 3 5 2 7 4" xfId="16755" xr:uid="{155337DB-24E8-4C5B-ACAB-F5E9206EA658}"/>
    <cellStyle name="Standard 6 2 3 5 2 8" xfId="4798" xr:uid="{00000000-0005-0000-0000-0000C5120000}"/>
    <cellStyle name="Standard 6 2 3 5 2 8 2" xfId="4799" xr:uid="{00000000-0005-0000-0000-0000C6120000}"/>
    <cellStyle name="Standard 6 2 3 5 2 8 2 2" xfId="16760" xr:uid="{B6EF8DBD-89BE-4D94-8982-BFB8F87F6699}"/>
    <cellStyle name="Standard 6 2 3 5 2 8 3" xfId="16759" xr:uid="{53D3F9E7-17DD-4135-9C77-7971ACC03784}"/>
    <cellStyle name="Standard 6 2 3 5 2 9" xfId="4800" xr:uid="{00000000-0005-0000-0000-0000C7120000}"/>
    <cellStyle name="Standard 6 2 3 5 2 9 2" xfId="16761" xr:uid="{7EA58EA7-FA93-47EE-BBC6-340269007B53}"/>
    <cellStyle name="Standard 6 2 3 5 3" xfId="4801" xr:uid="{00000000-0005-0000-0000-0000C8120000}"/>
    <cellStyle name="Standard 6 2 3 5 3 2" xfId="4802" xr:uid="{00000000-0005-0000-0000-0000C9120000}"/>
    <cellStyle name="Standard 6 2 3 5 3 2 2" xfId="4803" xr:uid="{00000000-0005-0000-0000-0000CA120000}"/>
    <cellStyle name="Standard 6 2 3 5 3 2 2 2" xfId="16764" xr:uid="{6DC9500F-CBCD-4A1F-822C-007864CBB154}"/>
    <cellStyle name="Standard 6 2 3 5 3 2 3" xfId="16763" xr:uid="{7391B44E-A300-4DCE-AC6A-3CCE498B49BF}"/>
    <cellStyle name="Standard 6 2 3 5 3 3" xfId="4804" xr:uid="{00000000-0005-0000-0000-0000CB120000}"/>
    <cellStyle name="Standard 6 2 3 5 3 3 2" xfId="16765" xr:uid="{348048B3-E578-47C9-99C0-C894D42C3945}"/>
    <cellStyle name="Standard 6 2 3 5 3 4" xfId="16762" xr:uid="{000A49D2-D2CA-4F8D-83A5-4637C6924480}"/>
    <cellStyle name="Standard 6 2 3 5 4" xfId="4805" xr:uid="{00000000-0005-0000-0000-0000CC120000}"/>
    <cellStyle name="Standard 6 2 3 5 4 2" xfId="4806" xr:uid="{00000000-0005-0000-0000-0000CD120000}"/>
    <cellStyle name="Standard 6 2 3 5 4 2 2" xfId="4807" xr:uid="{00000000-0005-0000-0000-0000CE120000}"/>
    <cellStyle name="Standard 6 2 3 5 4 2 2 2" xfId="16768" xr:uid="{ADBB60CE-BE27-447D-9E8B-2DBF7ABF25C8}"/>
    <cellStyle name="Standard 6 2 3 5 4 2 3" xfId="16767" xr:uid="{28BFFBE3-AF9C-4AB3-9B2C-9D4C9F3879D8}"/>
    <cellStyle name="Standard 6 2 3 5 4 3" xfId="4808" xr:uid="{00000000-0005-0000-0000-0000CF120000}"/>
    <cellStyle name="Standard 6 2 3 5 4 3 2" xfId="16769" xr:uid="{33261B38-53E0-45A8-AA38-34BC256FDCE8}"/>
    <cellStyle name="Standard 6 2 3 5 4 4" xfId="16766" xr:uid="{6726B958-15C3-4DC5-A93D-A734B56C2DE7}"/>
    <cellStyle name="Standard 6 2 3 5 5" xfId="4809" xr:uid="{00000000-0005-0000-0000-0000D0120000}"/>
    <cellStyle name="Standard 6 2 3 5 5 2" xfId="4810" xr:uid="{00000000-0005-0000-0000-0000D1120000}"/>
    <cellStyle name="Standard 6 2 3 5 5 2 2" xfId="4811" xr:uid="{00000000-0005-0000-0000-0000D2120000}"/>
    <cellStyle name="Standard 6 2 3 5 5 2 2 2" xfId="16772" xr:uid="{9A5091F9-D5E7-4082-AFC0-79DEBC545CBF}"/>
    <cellStyle name="Standard 6 2 3 5 5 2 3" xfId="16771" xr:uid="{FC2C4D1F-33D7-4609-A8A1-805EEF26886F}"/>
    <cellStyle name="Standard 6 2 3 5 5 3" xfId="4812" xr:uid="{00000000-0005-0000-0000-0000D3120000}"/>
    <cellStyle name="Standard 6 2 3 5 5 3 2" xfId="16773" xr:uid="{97AD19A7-773B-4FBC-AA32-F3706663C9F7}"/>
    <cellStyle name="Standard 6 2 3 5 5 4" xfId="16770" xr:uid="{C5AC7463-199A-43C2-824E-EA397348AD5E}"/>
    <cellStyle name="Standard 6 2 3 5 6" xfId="4813" xr:uid="{00000000-0005-0000-0000-0000D4120000}"/>
    <cellStyle name="Standard 6 2 3 5 6 2" xfId="4814" xr:uid="{00000000-0005-0000-0000-0000D5120000}"/>
    <cellStyle name="Standard 6 2 3 5 6 2 2" xfId="4815" xr:uid="{00000000-0005-0000-0000-0000D6120000}"/>
    <cellStyle name="Standard 6 2 3 5 6 2 2 2" xfId="16776" xr:uid="{1E1766C4-2862-49EC-9F40-A0EC82D23EB9}"/>
    <cellStyle name="Standard 6 2 3 5 6 2 3" xfId="16775" xr:uid="{C0749F3D-2136-4B89-967A-10CE388E2C6A}"/>
    <cellStyle name="Standard 6 2 3 5 6 3" xfId="4816" xr:uid="{00000000-0005-0000-0000-0000D7120000}"/>
    <cellStyle name="Standard 6 2 3 5 6 3 2" xfId="16777" xr:uid="{31A6E781-2E00-4FB8-9471-099C8750D5DA}"/>
    <cellStyle name="Standard 6 2 3 5 6 4" xfId="16774" xr:uid="{FE59319A-B08A-4282-AE7B-5358D8E939AC}"/>
    <cellStyle name="Standard 6 2 3 5 7" xfId="4817" xr:uid="{00000000-0005-0000-0000-0000D8120000}"/>
    <cellStyle name="Standard 6 2 3 5 7 2" xfId="4818" xr:uid="{00000000-0005-0000-0000-0000D9120000}"/>
    <cellStyle name="Standard 6 2 3 5 7 2 2" xfId="4819" xr:uid="{00000000-0005-0000-0000-0000DA120000}"/>
    <cellStyle name="Standard 6 2 3 5 7 2 2 2" xfId="16780" xr:uid="{9996A320-AEF4-40F2-98C6-945BEA08F1FF}"/>
    <cellStyle name="Standard 6 2 3 5 7 2 3" xfId="16779" xr:uid="{7B375FB2-59EC-4093-92BF-74372FE2F21B}"/>
    <cellStyle name="Standard 6 2 3 5 7 3" xfId="4820" xr:uid="{00000000-0005-0000-0000-0000DB120000}"/>
    <cellStyle name="Standard 6 2 3 5 7 3 2" xfId="16781" xr:uid="{3329ADDC-7471-4BFF-8E16-BB73DD5B8FAB}"/>
    <cellStyle name="Standard 6 2 3 5 7 4" xfId="16778" xr:uid="{B81C0FB7-4D07-4C80-A8D4-8B53B50541D8}"/>
    <cellStyle name="Standard 6 2 3 5 8" xfId="4821" xr:uid="{00000000-0005-0000-0000-0000DC120000}"/>
    <cellStyle name="Standard 6 2 3 5 8 2" xfId="4822" xr:uid="{00000000-0005-0000-0000-0000DD120000}"/>
    <cellStyle name="Standard 6 2 3 5 8 2 2" xfId="4823" xr:uid="{00000000-0005-0000-0000-0000DE120000}"/>
    <cellStyle name="Standard 6 2 3 5 8 2 2 2" xfId="16784" xr:uid="{0936CA83-676E-4634-89C0-A5193A3B4FA7}"/>
    <cellStyle name="Standard 6 2 3 5 8 2 3" xfId="16783" xr:uid="{07F8A37D-6998-479E-B685-890339CAAFAB}"/>
    <cellStyle name="Standard 6 2 3 5 8 3" xfId="4824" xr:uid="{00000000-0005-0000-0000-0000DF120000}"/>
    <cellStyle name="Standard 6 2 3 5 8 3 2" xfId="16785" xr:uid="{98320202-6CEE-4EBA-97B0-B431DC5C1350}"/>
    <cellStyle name="Standard 6 2 3 5 8 4" xfId="16782" xr:uid="{5CB2C46D-AAF4-415A-BD1A-8DECCF1F605C}"/>
    <cellStyle name="Standard 6 2 3 5 9" xfId="4825" xr:uid="{00000000-0005-0000-0000-0000E0120000}"/>
    <cellStyle name="Standard 6 2 3 5 9 2" xfId="4826" xr:uid="{00000000-0005-0000-0000-0000E1120000}"/>
    <cellStyle name="Standard 6 2 3 5 9 2 2" xfId="16787" xr:uid="{59E2ADF7-AE51-47CF-A929-C9D2CAC50B62}"/>
    <cellStyle name="Standard 6 2 3 5 9 3" xfId="16786" xr:uid="{4D62FF79-5F6A-4252-9C87-F8DCFFAB6E52}"/>
    <cellStyle name="Standard 6 2 3 6" xfId="4827" xr:uid="{00000000-0005-0000-0000-0000E2120000}"/>
    <cellStyle name="Standard 6 2 3 6 10" xfId="4828" xr:uid="{00000000-0005-0000-0000-0000E3120000}"/>
    <cellStyle name="Standard 6 2 3 6 10 2" xfId="16789" xr:uid="{627B1EFB-4F6F-439D-97B2-4DC72053F0DD}"/>
    <cellStyle name="Standard 6 2 3 6 11" xfId="16788" xr:uid="{7EC0B7E0-EFEB-496E-BED6-46F768ADDA3D}"/>
    <cellStyle name="Standard 6 2 3 6 2" xfId="4829" xr:uid="{00000000-0005-0000-0000-0000E4120000}"/>
    <cellStyle name="Standard 6 2 3 6 2 10" xfId="16790" xr:uid="{15C7D39D-D79F-4E8E-9ED9-EE34E7839624}"/>
    <cellStyle name="Standard 6 2 3 6 2 2" xfId="4830" xr:uid="{00000000-0005-0000-0000-0000E5120000}"/>
    <cellStyle name="Standard 6 2 3 6 2 2 2" xfId="4831" xr:uid="{00000000-0005-0000-0000-0000E6120000}"/>
    <cellStyle name="Standard 6 2 3 6 2 2 2 2" xfId="4832" xr:uid="{00000000-0005-0000-0000-0000E7120000}"/>
    <cellStyle name="Standard 6 2 3 6 2 2 2 2 2" xfId="16793" xr:uid="{E2064A68-D8EE-4438-B4B2-A09B196F392C}"/>
    <cellStyle name="Standard 6 2 3 6 2 2 2 3" xfId="16792" xr:uid="{4A296944-CD08-4488-A165-3C25C7D0C837}"/>
    <cellStyle name="Standard 6 2 3 6 2 2 3" xfId="4833" xr:uid="{00000000-0005-0000-0000-0000E8120000}"/>
    <cellStyle name="Standard 6 2 3 6 2 2 3 2" xfId="16794" xr:uid="{2291B3D7-C4A2-4843-942E-39FD13766834}"/>
    <cellStyle name="Standard 6 2 3 6 2 2 4" xfId="16791" xr:uid="{BFBC61D8-AF43-4D40-847A-AD66CD38919E}"/>
    <cellStyle name="Standard 6 2 3 6 2 3" xfId="4834" xr:uid="{00000000-0005-0000-0000-0000E9120000}"/>
    <cellStyle name="Standard 6 2 3 6 2 3 2" xfId="4835" xr:uid="{00000000-0005-0000-0000-0000EA120000}"/>
    <cellStyle name="Standard 6 2 3 6 2 3 2 2" xfId="4836" xr:uid="{00000000-0005-0000-0000-0000EB120000}"/>
    <cellStyle name="Standard 6 2 3 6 2 3 2 2 2" xfId="16797" xr:uid="{6DAC87A0-52E6-405C-9664-9F86EA52E5F0}"/>
    <cellStyle name="Standard 6 2 3 6 2 3 2 3" xfId="16796" xr:uid="{9FA1C796-7A6A-4162-B34B-11E610B38D0F}"/>
    <cellStyle name="Standard 6 2 3 6 2 3 3" xfId="4837" xr:uid="{00000000-0005-0000-0000-0000EC120000}"/>
    <cellStyle name="Standard 6 2 3 6 2 3 3 2" xfId="16798" xr:uid="{D3560A8B-BE16-497A-BEE0-0E054833425F}"/>
    <cellStyle name="Standard 6 2 3 6 2 3 4" xfId="16795" xr:uid="{A057B102-FF34-4467-AB1D-FA163B6AD68B}"/>
    <cellStyle name="Standard 6 2 3 6 2 4" xfId="4838" xr:uid="{00000000-0005-0000-0000-0000ED120000}"/>
    <cellStyle name="Standard 6 2 3 6 2 4 2" xfId="4839" xr:uid="{00000000-0005-0000-0000-0000EE120000}"/>
    <cellStyle name="Standard 6 2 3 6 2 4 2 2" xfId="4840" xr:uid="{00000000-0005-0000-0000-0000EF120000}"/>
    <cellStyle name="Standard 6 2 3 6 2 4 2 2 2" xfId="16801" xr:uid="{11DD5B9D-A1DC-4E3B-9430-607C6E462944}"/>
    <cellStyle name="Standard 6 2 3 6 2 4 2 3" xfId="16800" xr:uid="{12A39A48-3BE9-4363-A8CB-460535807D97}"/>
    <cellStyle name="Standard 6 2 3 6 2 4 3" xfId="4841" xr:uid="{00000000-0005-0000-0000-0000F0120000}"/>
    <cellStyle name="Standard 6 2 3 6 2 4 3 2" xfId="16802" xr:uid="{D7075C09-2E5D-4A2D-93A6-498FA79F6216}"/>
    <cellStyle name="Standard 6 2 3 6 2 4 4" xfId="16799" xr:uid="{91BE6650-424A-4A5F-818E-254ADAC0FA9E}"/>
    <cellStyle name="Standard 6 2 3 6 2 5" xfId="4842" xr:uid="{00000000-0005-0000-0000-0000F1120000}"/>
    <cellStyle name="Standard 6 2 3 6 2 5 2" xfId="4843" xr:uid="{00000000-0005-0000-0000-0000F2120000}"/>
    <cellStyle name="Standard 6 2 3 6 2 5 2 2" xfId="4844" xr:uid="{00000000-0005-0000-0000-0000F3120000}"/>
    <cellStyle name="Standard 6 2 3 6 2 5 2 2 2" xfId="16805" xr:uid="{FEDAD1F1-3C34-48CA-86D3-D181C85C8FF1}"/>
    <cellStyle name="Standard 6 2 3 6 2 5 2 3" xfId="16804" xr:uid="{E2395D0A-D27D-4E04-8568-7BEC7CB43AB2}"/>
    <cellStyle name="Standard 6 2 3 6 2 5 3" xfId="4845" xr:uid="{00000000-0005-0000-0000-0000F4120000}"/>
    <cellStyle name="Standard 6 2 3 6 2 5 3 2" xfId="16806" xr:uid="{890F97E9-2B56-405E-9732-41095C255321}"/>
    <cellStyle name="Standard 6 2 3 6 2 5 4" xfId="16803" xr:uid="{0C5EB58A-8723-4BDB-8C0F-6EA30743A18E}"/>
    <cellStyle name="Standard 6 2 3 6 2 6" xfId="4846" xr:uid="{00000000-0005-0000-0000-0000F5120000}"/>
    <cellStyle name="Standard 6 2 3 6 2 6 2" xfId="4847" xr:uid="{00000000-0005-0000-0000-0000F6120000}"/>
    <cellStyle name="Standard 6 2 3 6 2 6 2 2" xfId="4848" xr:uid="{00000000-0005-0000-0000-0000F7120000}"/>
    <cellStyle name="Standard 6 2 3 6 2 6 2 2 2" xfId="16809" xr:uid="{70C22158-ADF1-4E5D-86DB-F05236B9C6D2}"/>
    <cellStyle name="Standard 6 2 3 6 2 6 2 3" xfId="16808" xr:uid="{3095D08B-1388-483D-9350-225A3FFEE73C}"/>
    <cellStyle name="Standard 6 2 3 6 2 6 3" xfId="4849" xr:uid="{00000000-0005-0000-0000-0000F8120000}"/>
    <cellStyle name="Standard 6 2 3 6 2 6 3 2" xfId="16810" xr:uid="{7709A267-998E-4C2D-BF44-4A331D9DACA8}"/>
    <cellStyle name="Standard 6 2 3 6 2 6 4" xfId="16807" xr:uid="{6B94E661-E4C6-4BD9-B76A-59D0B5E80E42}"/>
    <cellStyle name="Standard 6 2 3 6 2 7" xfId="4850" xr:uid="{00000000-0005-0000-0000-0000F9120000}"/>
    <cellStyle name="Standard 6 2 3 6 2 7 2" xfId="4851" xr:uid="{00000000-0005-0000-0000-0000FA120000}"/>
    <cellStyle name="Standard 6 2 3 6 2 7 2 2" xfId="4852" xr:uid="{00000000-0005-0000-0000-0000FB120000}"/>
    <cellStyle name="Standard 6 2 3 6 2 7 2 2 2" xfId="16813" xr:uid="{1EA43323-D952-4A77-9488-07B2BBBEC085}"/>
    <cellStyle name="Standard 6 2 3 6 2 7 2 3" xfId="16812" xr:uid="{CF5613DF-12B3-426F-984B-7875273F14C7}"/>
    <cellStyle name="Standard 6 2 3 6 2 7 3" xfId="4853" xr:uid="{00000000-0005-0000-0000-0000FC120000}"/>
    <cellStyle name="Standard 6 2 3 6 2 7 3 2" xfId="16814" xr:uid="{0293B709-5A46-4D35-87A4-AB7487E71776}"/>
    <cellStyle name="Standard 6 2 3 6 2 7 4" xfId="16811" xr:uid="{7B669BB3-B0A4-47E6-B79A-83D5C0BDBE2A}"/>
    <cellStyle name="Standard 6 2 3 6 2 8" xfId="4854" xr:uid="{00000000-0005-0000-0000-0000FD120000}"/>
    <cellStyle name="Standard 6 2 3 6 2 8 2" xfId="4855" xr:uid="{00000000-0005-0000-0000-0000FE120000}"/>
    <cellStyle name="Standard 6 2 3 6 2 8 2 2" xfId="16816" xr:uid="{54765FC2-F215-4659-BE8C-B6EC3BFF9E42}"/>
    <cellStyle name="Standard 6 2 3 6 2 8 3" xfId="16815" xr:uid="{D43C3F28-CCDC-481D-A2D3-DC05888049A4}"/>
    <cellStyle name="Standard 6 2 3 6 2 9" xfId="4856" xr:uid="{00000000-0005-0000-0000-0000FF120000}"/>
    <cellStyle name="Standard 6 2 3 6 2 9 2" xfId="16817" xr:uid="{9DB3600D-BE51-4710-B7D6-F2FC10363C0A}"/>
    <cellStyle name="Standard 6 2 3 6 3" xfId="4857" xr:uid="{00000000-0005-0000-0000-000000130000}"/>
    <cellStyle name="Standard 6 2 3 6 3 2" xfId="4858" xr:uid="{00000000-0005-0000-0000-000001130000}"/>
    <cellStyle name="Standard 6 2 3 6 3 2 2" xfId="4859" xr:uid="{00000000-0005-0000-0000-000002130000}"/>
    <cellStyle name="Standard 6 2 3 6 3 2 2 2" xfId="16820" xr:uid="{475CE4B3-8717-47C2-905E-1F8C71BAA10F}"/>
    <cellStyle name="Standard 6 2 3 6 3 2 3" xfId="16819" xr:uid="{73B26892-BABF-45AE-B00E-DEE657226BE9}"/>
    <cellStyle name="Standard 6 2 3 6 3 3" xfId="4860" xr:uid="{00000000-0005-0000-0000-000003130000}"/>
    <cellStyle name="Standard 6 2 3 6 3 3 2" xfId="16821" xr:uid="{D5112682-6A5C-4273-AEB1-C88C5E5A8854}"/>
    <cellStyle name="Standard 6 2 3 6 3 4" xfId="16818" xr:uid="{87E798D1-43E2-49C8-8BA1-9E43FB570793}"/>
    <cellStyle name="Standard 6 2 3 6 4" xfId="4861" xr:uid="{00000000-0005-0000-0000-000004130000}"/>
    <cellStyle name="Standard 6 2 3 6 4 2" xfId="4862" xr:uid="{00000000-0005-0000-0000-000005130000}"/>
    <cellStyle name="Standard 6 2 3 6 4 2 2" xfId="4863" xr:uid="{00000000-0005-0000-0000-000006130000}"/>
    <cellStyle name="Standard 6 2 3 6 4 2 2 2" xfId="16824" xr:uid="{682C21BD-B129-45D8-A8C3-EDC5ABC4A74F}"/>
    <cellStyle name="Standard 6 2 3 6 4 2 3" xfId="16823" xr:uid="{7CC1137D-D474-4366-9809-489C1515A986}"/>
    <cellStyle name="Standard 6 2 3 6 4 3" xfId="4864" xr:uid="{00000000-0005-0000-0000-000007130000}"/>
    <cellStyle name="Standard 6 2 3 6 4 3 2" xfId="16825" xr:uid="{A69824EA-534F-496F-AE7C-193AC202251B}"/>
    <cellStyle name="Standard 6 2 3 6 4 4" xfId="16822" xr:uid="{F9159622-F76C-454A-8D12-34915D814503}"/>
    <cellStyle name="Standard 6 2 3 6 5" xfId="4865" xr:uid="{00000000-0005-0000-0000-000008130000}"/>
    <cellStyle name="Standard 6 2 3 6 5 2" xfId="4866" xr:uid="{00000000-0005-0000-0000-000009130000}"/>
    <cellStyle name="Standard 6 2 3 6 5 2 2" xfId="4867" xr:uid="{00000000-0005-0000-0000-00000A130000}"/>
    <cellStyle name="Standard 6 2 3 6 5 2 2 2" xfId="16828" xr:uid="{304B462D-D741-4627-8C90-B8BCCFF11FAC}"/>
    <cellStyle name="Standard 6 2 3 6 5 2 3" xfId="16827" xr:uid="{305B3732-EE78-4784-9E6F-8E8265540F67}"/>
    <cellStyle name="Standard 6 2 3 6 5 3" xfId="4868" xr:uid="{00000000-0005-0000-0000-00000B130000}"/>
    <cellStyle name="Standard 6 2 3 6 5 3 2" xfId="16829" xr:uid="{2A4D77CD-9131-41FD-8EFC-2287891524DA}"/>
    <cellStyle name="Standard 6 2 3 6 5 4" xfId="16826" xr:uid="{3B56D79C-AAB8-44CF-8E31-BC685E2B110F}"/>
    <cellStyle name="Standard 6 2 3 6 6" xfId="4869" xr:uid="{00000000-0005-0000-0000-00000C130000}"/>
    <cellStyle name="Standard 6 2 3 6 6 2" xfId="4870" xr:uid="{00000000-0005-0000-0000-00000D130000}"/>
    <cellStyle name="Standard 6 2 3 6 6 2 2" xfId="4871" xr:uid="{00000000-0005-0000-0000-00000E130000}"/>
    <cellStyle name="Standard 6 2 3 6 6 2 2 2" xfId="16832" xr:uid="{4D323F88-8441-45EA-9D8A-B45260C90AFC}"/>
    <cellStyle name="Standard 6 2 3 6 6 2 3" xfId="16831" xr:uid="{6CB51853-3224-4F0D-946D-03BF75DA1774}"/>
    <cellStyle name="Standard 6 2 3 6 6 3" xfId="4872" xr:uid="{00000000-0005-0000-0000-00000F130000}"/>
    <cellStyle name="Standard 6 2 3 6 6 3 2" xfId="16833" xr:uid="{EAF7E354-F465-403C-B766-31D9F590FE77}"/>
    <cellStyle name="Standard 6 2 3 6 6 4" xfId="16830" xr:uid="{8736D523-EAA3-4CB6-BFD8-E7C6E6E18EE4}"/>
    <cellStyle name="Standard 6 2 3 6 7" xfId="4873" xr:uid="{00000000-0005-0000-0000-000010130000}"/>
    <cellStyle name="Standard 6 2 3 6 7 2" xfId="4874" xr:uid="{00000000-0005-0000-0000-000011130000}"/>
    <cellStyle name="Standard 6 2 3 6 7 2 2" xfId="4875" xr:uid="{00000000-0005-0000-0000-000012130000}"/>
    <cellStyle name="Standard 6 2 3 6 7 2 2 2" xfId="16836" xr:uid="{8C61F2D5-F38B-4AEB-898B-602A2C22416B}"/>
    <cellStyle name="Standard 6 2 3 6 7 2 3" xfId="16835" xr:uid="{0EA58C1D-AA1D-4DCD-BC9C-5DC93C3B702F}"/>
    <cellStyle name="Standard 6 2 3 6 7 3" xfId="4876" xr:uid="{00000000-0005-0000-0000-000013130000}"/>
    <cellStyle name="Standard 6 2 3 6 7 3 2" xfId="16837" xr:uid="{7AD51F50-E559-46E6-81A0-2832198FF22E}"/>
    <cellStyle name="Standard 6 2 3 6 7 4" xfId="16834" xr:uid="{90E9BA2D-7973-4057-8757-E0139EAE28FF}"/>
    <cellStyle name="Standard 6 2 3 6 8" xfId="4877" xr:uid="{00000000-0005-0000-0000-000014130000}"/>
    <cellStyle name="Standard 6 2 3 6 8 2" xfId="4878" xr:uid="{00000000-0005-0000-0000-000015130000}"/>
    <cellStyle name="Standard 6 2 3 6 8 2 2" xfId="4879" xr:uid="{00000000-0005-0000-0000-000016130000}"/>
    <cellStyle name="Standard 6 2 3 6 8 2 2 2" xfId="16840" xr:uid="{2DD175C1-7B87-446B-9E1C-04E5848D3382}"/>
    <cellStyle name="Standard 6 2 3 6 8 2 3" xfId="16839" xr:uid="{E97BDEB9-0D03-43EC-AA8B-5CC940E0A46D}"/>
    <cellStyle name="Standard 6 2 3 6 8 3" xfId="4880" xr:uid="{00000000-0005-0000-0000-000017130000}"/>
    <cellStyle name="Standard 6 2 3 6 8 3 2" xfId="16841" xr:uid="{0C0C9BF6-BE9F-4557-A83A-30B63A74B3FF}"/>
    <cellStyle name="Standard 6 2 3 6 8 4" xfId="16838" xr:uid="{34EEC4DE-D47C-4FEE-BF0E-7D270412DC8D}"/>
    <cellStyle name="Standard 6 2 3 6 9" xfId="4881" xr:uid="{00000000-0005-0000-0000-000018130000}"/>
    <cellStyle name="Standard 6 2 3 6 9 2" xfId="4882" xr:uid="{00000000-0005-0000-0000-000019130000}"/>
    <cellStyle name="Standard 6 2 3 6 9 2 2" xfId="16843" xr:uid="{AE065B17-F247-40B8-949F-9FFA60CA3C0E}"/>
    <cellStyle name="Standard 6 2 3 6 9 3" xfId="16842" xr:uid="{CBB3AEE0-4EC1-41B2-BC7D-58BA0303EA82}"/>
    <cellStyle name="Standard 6 2 3 7" xfId="4883" xr:uid="{00000000-0005-0000-0000-00001A130000}"/>
    <cellStyle name="Standard 6 2 3 7 10" xfId="4884" xr:uid="{00000000-0005-0000-0000-00001B130000}"/>
    <cellStyle name="Standard 6 2 3 7 10 2" xfId="16845" xr:uid="{2C73D4E8-8264-436B-AD7F-2F02F12EF3E4}"/>
    <cellStyle name="Standard 6 2 3 7 11" xfId="16844" xr:uid="{2700D5F3-D675-41BC-B27F-0E9E3ECECC01}"/>
    <cellStyle name="Standard 6 2 3 7 2" xfId="4885" xr:uid="{00000000-0005-0000-0000-00001C130000}"/>
    <cellStyle name="Standard 6 2 3 7 2 10" xfId="16846" xr:uid="{288001D8-4A4B-4CD3-84AC-47E751EDECFF}"/>
    <cellStyle name="Standard 6 2 3 7 2 2" xfId="4886" xr:uid="{00000000-0005-0000-0000-00001D130000}"/>
    <cellStyle name="Standard 6 2 3 7 2 2 2" xfId="4887" xr:uid="{00000000-0005-0000-0000-00001E130000}"/>
    <cellStyle name="Standard 6 2 3 7 2 2 2 2" xfId="4888" xr:uid="{00000000-0005-0000-0000-00001F130000}"/>
    <cellStyle name="Standard 6 2 3 7 2 2 2 2 2" xfId="16849" xr:uid="{8871465B-A2C6-49C6-8AAC-56FC3A98A4CA}"/>
    <cellStyle name="Standard 6 2 3 7 2 2 2 3" xfId="16848" xr:uid="{D2297063-353C-43CF-9E3A-98636FD994E2}"/>
    <cellStyle name="Standard 6 2 3 7 2 2 3" xfId="4889" xr:uid="{00000000-0005-0000-0000-000020130000}"/>
    <cellStyle name="Standard 6 2 3 7 2 2 3 2" xfId="16850" xr:uid="{D37B9EB6-B276-4A35-947C-20DABFDE9639}"/>
    <cellStyle name="Standard 6 2 3 7 2 2 4" xfId="16847" xr:uid="{035E5BBA-9B76-48E6-9DA9-5CB944B67467}"/>
    <cellStyle name="Standard 6 2 3 7 2 3" xfId="4890" xr:uid="{00000000-0005-0000-0000-000021130000}"/>
    <cellStyle name="Standard 6 2 3 7 2 3 2" xfId="4891" xr:uid="{00000000-0005-0000-0000-000022130000}"/>
    <cellStyle name="Standard 6 2 3 7 2 3 2 2" xfId="4892" xr:uid="{00000000-0005-0000-0000-000023130000}"/>
    <cellStyle name="Standard 6 2 3 7 2 3 2 2 2" xfId="16853" xr:uid="{6DBA7038-0B27-443C-B4F6-665BCD15A926}"/>
    <cellStyle name="Standard 6 2 3 7 2 3 2 3" xfId="16852" xr:uid="{C9DD41D3-FDD9-449A-87A1-BF702A79AB5D}"/>
    <cellStyle name="Standard 6 2 3 7 2 3 3" xfId="4893" xr:uid="{00000000-0005-0000-0000-000024130000}"/>
    <cellStyle name="Standard 6 2 3 7 2 3 3 2" xfId="16854" xr:uid="{93068331-BBEF-4FE6-96D5-F557F8B4FEC0}"/>
    <cellStyle name="Standard 6 2 3 7 2 3 4" xfId="16851" xr:uid="{6A05F226-323C-4622-B149-4473EBBA8B8B}"/>
    <cellStyle name="Standard 6 2 3 7 2 4" xfId="4894" xr:uid="{00000000-0005-0000-0000-000025130000}"/>
    <cellStyle name="Standard 6 2 3 7 2 4 2" xfId="4895" xr:uid="{00000000-0005-0000-0000-000026130000}"/>
    <cellStyle name="Standard 6 2 3 7 2 4 2 2" xfId="4896" xr:uid="{00000000-0005-0000-0000-000027130000}"/>
    <cellStyle name="Standard 6 2 3 7 2 4 2 2 2" xfId="16857" xr:uid="{F2477B9B-8F3E-4501-8039-A3D7AA9750E3}"/>
    <cellStyle name="Standard 6 2 3 7 2 4 2 3" xfId="16856" xr:uid="{4941586A-DBF5-423B-8A16-9A60D7465F6D}"/>
    <cellStyle name="Standard 6 2 3 7 2 4 3" xfId="4897" xr:uid="{00000000-0005-0000-0000-000028130000}"/>
    <cellStyle name="Standard 6 2 3 7 2 4 3 2" xfId="16858" xr:uid="{92052C2B-584F-4A85-A405-7BA647E03F2C}"/>
    <cellStyle name="Standard 6 2 3 7 2 4 4" xfId="16855" xr:uid="{3F1D13C0-E230-4678-9FB0-04E398BD157A}"/>
    <cellStyle name="Standard 6 2 3 7 2 5" xfId="4898" xr:uid="{00000000-0005-0000-0000-000029130000}"/>
    <cellStyle name="Standard 6 2 3 7 2 5 2" xfId="4899" xr:uid="{00000000-0005-0000-0000-00002A130000}"/>
    <cellStyle name="Standard 6 2 3 7 2 5 2 2" xfId="4900" xr:uid="{00000000-0005-0000-0000-00002B130000}"/>
    <cellStyle name="Standard 6 2 3 7 2 5 2 2 2" xfId="16861" xr:uid="{3648D129-DD1B-4696-8490-3F97C02B3544}"/>
    <cellStyle name="Standard 6 2 3 7 2 5 2 3" xfId="16860" xr:uid="{5FE49166-9D2A-4C87-93A8-5C0B425CD3CB}"/>
    <cellStyle name="Standard 6 2 3 7 2 5 3" xfId="4901" xr:uid="{00000000-0005-0000-0000-00002C130000}"/>
    <cellStyle name="Standard 6 2 3 7 2 5 3 2" xfId="16862" xr:uid="{B4FD115C-0292-4162-A8B7-F28EBD375793}"/>
    <cellStyle name="Standard 6 2 3 7 2 5 4" xfId="16859" xr:uid="{7014D59C-2493-42F6-8CDF-299F386735C8}"/>
    <cellStyle name="Standard 6 2 3 7 2 6" xfId="4902" xr:uid="{00000000-0005-0000-0000-00002D130000}"/>
    <cellStyle name="Standard 6 2 3 7 2 6 2" xfId="4903" xr:uid="{00000000-0005-0000-0000-00002E130000}"/>
    <cellStyle name="Standard 6 2 3 7 2 6 2 2" xfId="4904" xr:uid="{00000000-0005-0000-0000-00002F130000}"/>
    <cellStyle name="Standard 6 2 3 7 2 6 2 2 2" xfId="16865" xr:uid="{09C7F687-D571-4625-8463-0EC85142F551}"/>
    <cellStyle name="Standard 6 2 3 7 2 6 2 3" xfId="16864" xr:uid="{B006A1D2-803C-4DCD-AB83-A670397D304C}"/>
    <cellStyle name="Standard 6 2 3 7 2 6 3" xfId="4905" xr:uid="{00000000-0005-0000-0000-000030130000}"/>
    <cellStyle name="Standard 6 2 3 7 2 6 3 2" xfId="16866" xr:uid="{E9936FE3-7475-47B9-95D7-690410854C6A}"/>
    <cellStyle name="Standard 6 2 3 7 2 6 4" xfId="16863" xr:uid="{2F0F2F15-3F9D-428F-A6C1-2A7F9B5CD30F}"/>
    <cellStyle name="Standard 6 2 3 7 2 7" xfId="4906" xr:uid="{00000000-0005-0000-0000-000031130000}"/>
    <cellStyle name="Standard 6 2 3 7 2 7 2" xfId="4907" xr:uid="{00000000-0005-0000-0000-000032130000}"/>
    <cellStyle name="Standard 6 2 3 7 2 7 2 2" xfId="4908" xr:uid="{00000000-0005-0000-0000-000033130000}"/>
    <cellStyle name="Standard 6 2 3 7 2 7 2 2 2" xfId="16869" xr:uid="{F435574D-E444-4958-8FFD-116366E4BED3}"/>
    <cellStyle name="Standard 6 2 3 7 2 7 2 3" xfId="16868" xr:uid="{AEEBA760-C843-4BF0-BAB8-4ECA6CA1C99E}"/>
    <cellStyle name="Standard 6 2 3 7 2 7 3" xfId="4909" xr:uid="{00000000-0005-0000-0000-000034130000}"/>
    <cellStyle name="Standard 6 2 3 7 2 7 3 2" xfId="16870" xr:uid="{9C522BBF-C0ED-49FD-A31F-7114A04F829D}"/>
    <cellStyle name="Standard 6 2 3 7 2 7 4" xfId="16867" xr:uid="{009B81C5-6DF8-4880-ABC2-9161385DD294}"/>
    <cellStyle name="Standard 6 2 3 7 2 8" xfId="4910" xr:uid="{00000000-0005-0000-0000-000035130000}"/>
    <cellStyle name="Standard 6 2 3 7 2 8 2" xfId="4911" xr:uid="{00000000-0005-0000-0000-000036130000}"/>
    <cellStyle name="Standard 6 2 3 7 2 8 2 2" xfId="16872" xr:uid="{E0AFF6BD-B9B9-4AF1-B907-A8F939BF7902}"/>
    <cellStyle name="Standard 6 2 3 7 2 8 3" xfId="16871" xr:uid="{8E72EFAB-FE87-471B-A94D-D9BD5D9E1299}"/>
    <cellStyle name="Standard 6 2 3 7 2 9" xfId="4912" xr:uid="{00000000-0005-0000-0000-000037130000}"/>
    <cellStyle name="Standard 6 2 3 7 2 9 2" xfId="16873" xr:uid="{5DCD2218-F9DE-45FE-8FB4-4D9D754DE561}"/>
    <cellStyle name="Standard 6 2 3 7 3" xfId="4913" xr:uid="{00000000-0005-0000-0000-000038130000}"/>
    <cellStyle name="Standard 6 2 3 7 3 2" xfId="4914" xr:uid="{00000000-0005-0000-0000-000039130000}"/>
    <cellStyle name="Standard 6 2 3 7 3 2 2" xfId="4915" xr:uid="{00000000-0005-0000-0000-00003A130000}"/>
    <cellStyle name="Standard 6 2 3 7 3 2 2 2" xfId="16876" xr:uid="{62BD67FB-5CA3-490C-962F-BC085AF89665}"/>
    <cellStyle name="Standard 6 2 3 7 3 2 3" xfId="16875" xr:uid="{A1A6A56E-FFDF-44FE-AEC1-1A174A4F6E83}"/>
    <cellStyle name="Standard 6 2 3 7 3 3" xfId="4916" xr:uid="{00000000-0005-0000-0000-00003B130000}"/>
    <cellStyle name="Standard 6 2 3 7 3 3 2" xfId="16877" xr:uid="{E523F5CE-4386-4B1B-BB90-C663E6EC75D0}"/>
    <cellStyle name="Standard 6 2 3 7 3 4" xfId="16874" xr:uid="{39281484-3CEC-4405-BDB2-2E819F21D211}"/>
    <cellStyle name="Standard 6 2 3 7 4" xfId="4917" xr:uid="{00000000-0005-0000-0000-00003C130000}"/>
    <cellStyle name="Standard 6 2 3 7 4 2" xfId="4918" xr:uid="{00000000-0005-0000-0000-00003D130000}"/>
    <cellStyle name="Standard 6 2 3 7 4 2 2" xfId="4919" xr:uid="{00000000-0005-0000-0000-00003E130000}"/>
    <cellStyle name="Standard 6 2 3 7 4 2 2 2" xfId="16880" xr:uid="{66C37BDD-4582-48A0-A0B6-BF7FA47335A0}"/>
    <cellStyle name="Standard 6 2 3 7 4 2 3" xfId="16879" xr:uid="{E7AA924D-BE2D-4C6C-B626-6E7CF8DBD671}"/>
    <cellStyle name="Standard 6 2 3 7 4 3" xfId="4920" xr:uid="{00000000-0005-0000-0000-00003F130000}"/>
    <cellStyle name="Standard 6 2 3 7 4 3 2" xfId="16881" xr:uid="{CCCF315F-F490-4552-BDBF-8526761F3A64}"/>
    <cellStyle name="Standard 6 2 3 7 4 4" xfId="16878" xr:uid="{370F4426-89F0-470B-A39F-67C47CDC07B6}"/>
    <cellStyle name="Standard 6 2 3 7 5" xfId="4921" xr:uid="{00000000-0005-0000-0000-000040130000}"/>
    <cellStyle name="Standard 6 2 3 7 5 2" xfId="4922" xr:uid="{00000000-0005-0000-0000-000041130000}"/>
    <cellStyle name="Standard 6 2 3 7 5 2 2" xfId="4923" xr:uid="{00000000-0005-0000-0000-000042130000}"/>
    <cellStyle name="Standard 6 2 3 7 5 2 2 2" xfId="16884" xr:uid="{E88CD16E-28C1-4655-B910-56607602FD3B}"/>
    <cellStyle name="Standard 6 2 3 7 5 2 3" xfId="16883" xr:uid="{1194CD32-E15A-40A5-B457-7DAA182462DB}"/>
    <cellStyle name="Standard 6 2 3 7 5 3" xfId="4924" xr:uid="{00000000-0005-0000-0000-000043130000}"/>
    <cellStyle name="Standard 6 2 3 7 5 3 2" xfId="16885" xr:uid="{161DA144-70D7-4EA9-BDF0-C89F7C8ED6D4}"/>
    <cellStyle name="Standard 6 2 3 7 5 4" xfId="16882" xr:uid="{06CA4B5D-2A38-444F-928B-9E291911A771}"/>
    <cellStyle name="Standard 6 2 3 7 6" xfId="4925" xr:uid="{00000000-0005-0000-0000-000044130000}"/>
    <cellStyle name="Standard 6 2 3 7 6 2" xfId="4926" xr:uid="{00000000-0005-0000-0000-000045130000}"/>
    <cellStyle name="Standard 6 2 3 7 6 2 2" xfId="4927" xr:uid="{00000000-0005-0000-0000-000046130000}"/>
    <cellStyle name="Standard 6 2 3 7 6 2 2 2" xfId="16888" xr:uid="{E166DB35-C602-41C3-BC0E-90602A4F0C92}"/>
    <cellStyle name="Standard 6 2 3 7 6 2 3" xfId="16887" xr:uid="{957B6F4F-F195-41E4-9D6C-B654C214003D}"/>
    <cellStyle name="Standard 6 2 3 7 6 3" xfId="4928" xr:uid="{00000000-0005-0000-0000-000047130000}"/>
    <cellStyle name="Standard 6 2 3 7 6 3 2" xfId="16889" xr:uid="{4023FCB3-EE25-421A-9257-CB7B1105D4B9}"/>
    <cellStyle name="Standard 6 2 3 7 6 4" xfId="16886" xr:uid="{43C88384-4982-4574-9A4A-6A1EB3C064DE}"/>
    <cellStyle name="Standard 6 2 3 7 7" xfId="4929" xr:uid="{00000000-0005-0000-0000-000048130000}"/>
    <cellStyle name="Standard 6 2 3 7 7 2" xfId="4930" xr:uid="{00000000-0005-0000-0000-000049130000}"/>
    <cellStyle name="Standard 6 2 3 7 7 2 2" xfId="4931" xr:uid="{00000000-0005-0000-0000-00004A130000}"/>
    <cellStyle name="Standard 6 2 3 7 7 2 2 2" xfId="16892" xr:uid="{D8E9C6F1-5459-4674-A897-4609AA47DC3D}"/>
    <cellStyle name="Standard 6 2 3 7 7 2 3" xfId="16891" xr:uid="{8B076AA0-CE6C-4DD1-A029-61DA95D8E86F}"/>
    <cellStyle name="Standard 6 2 3 7 7 3" xfId="4932" xr:uid="{00000000-0005-0000-0000-00004B130000}"/>
    <cellStyle name="Standard 6 2 3 7 7 3 2" xfId="16893" xr:uid="{FEDC6A9E-7AB9-4EEF-965B-AAC5933A2B94}"/>
    <cellStyle name="Standard 6 2 3 7 7 4" xfId="16890" xr:uid="{2BE21F1C-2A32-4DFE-8515-3A949423D2E4}"/>
    <cellStyle name="Standard 6 2 3 7 8" xfId="4933" xr:uid="{00000000-0005-0000-0000-00004C130000}"/>
    <cellStyle name="Standard 6 2 3 7 8 2" xfId="4934" xr:uid="{00000000-0005-0000-0000-00004D130000}"/>
    <cellStyle name="Standard 6 2 3 7 8 2 2" xfId="4935" xr:uid="{00000000-0005-0000-0000-00004E130000}"/>
    <cellStyle name="Standard 6 2 3 7 8 2 2 2" xfId="16896" xr:uid="{B868B698-B259-4452-B5A5-8B425C930ED9}"/>
    <cellStyle name="Standard 6 2 3 7 8 2 3" xfId="16895" xr:uid="{356B70CB-960A-4A21-8D3D-F1F29B2F9D8D}"/>
    <cellStyle name="Standard 6 2 3 7 8 3" xfId="4936" xr:uid="{00000000-0005-0000-0000-00004F130000}"/>
    <cellStyle name="Standard 6 2 3 7 8 3 2" xfId="16897" xr:uid="{95AC3973-A8E5-4F2E-8AC2-2A8BB26648A0}"/>
    <cellStyle name="Standard 6 2 3 7 8 4" xfId="16894" xr:uid="{679C4570-A344-47AA-88EF-E52C06196C35}"/>
    <cellStyle name="Standard 6 2 3 7 9" xfId="4937" xr:uid="{00000000-0005-0000-0000-000050130000}"/>
    <cellStyle name="Standard 6 2 3 7 9 2" xfId="4938" xr:uid="{00000000-0005-0000-0000-000051130000}"/>
    <cellStyle name="Standard 6 2 3 7 9 2 2" xfId="16899" xr:uid="{F073ADCC-DA3B-480D-98A1-5C2EA51E5CE0}"/>
    <cellStyle name="Standard 6 2 3 7 9 3" xfId="16898" xr:uid="{765ED2CE-4998-46BC-B216-143DBF1E8BD9}"/>
    <cellStyle name="Standard 6 2 3 8" xfId="4939" xr:uid="{00000000-0005-0000-0000-000052130000}"/>
    <cellStyle name="Standard 6 2 3 8 10" xfId="4940" xr:uid="{00000000-0005-0000-0000-000053130000}"/>
    <cellStyle name="Standard 6 2 3 8 10 2" xfId="16901" xr:uid="{48604D1A-6489-40F6-A65F-7832781EA693}"/>
    <cellStyle name="Standard 6 2 3 8 11" xfId="16900" xr:uid="{29915015-43C4-49E3-B597-4ECF6E559557}"/>
    <cellStyle name="Standard 6 2 3 8 2" xfId="4941" xr:uid="{00000000-0005-0000-0000-000054130000}"/>
    <cellStyle name="Standard 6 2 3 8 2 10" xfId="16902" xr:uid="{5D0A5CC2-B343-49F9-A5FF-27E7AFA24D51}"/>
    <cellStyle name="Standard 6 2 3 8 2 2" xfId="4942" xr:uid="{00000000-0005-0000-0000-000055130000}"/>
    <cellStyle name="Standard 6 2 3 8 2 2 2" xfId="4943" xr:uid="{00000000-0005-0000-0000-000056130000}"/>
    <cellStyle name="Standard 6 2 3 8 2 2 2 2" xfId="4944" xr:uid="{00000000-0005-0000-0000-000057130000}"/>
    <cellStyle name="Standard 6 2 3 8 2 2 2 2 2" xfId="16905" xr:uid="{5CC3E7E6-9A49-43FD-A505-262EBBB18D5E}"/>
    <cellStyle name="Standard 6 2 3 8 2 2 2 3" xfId="16904" xr:uid="{3A4560C9-FE48-46D2-B6B0-6BB4BDC47B49}"/>
    <cellStyle name="Standard 6 2 3 8 2 2 3" xfId="4945" xr:uid="{00000000-0005-0000-0000-000058130000}"/>
    <cellStyle name="Standard 6 2 3 8 2 2 3 2" xfId="16906" xr:uid="{DCB49A0F-0302-4BD8-937F-FC9348D39A07}"/>
    <cellStyle name="Standard 6 2 3 8 2 2 4" xfId="16903" xr:uid="{E861CED5-C93F-4472-9063-53C8D697C4A0}"/>
    <cellStyle name="Standard 6 2 3 8 2 3" xfId="4946" xr:uid="{00000000-0005-0000-0000-000059130000}"/>
    <cellStyle name="Standard 6 2 3 8 2 3 2" xfId="4947" xr:uid="{00000000-0005-0000-0000-00005A130000}"/>
    <cellStyle name="Standard 6 2 3 8 2 3 2 2" xfId="4948" xr:uid="{00000000-0005-0000-0000-00005B130000}"/>
    <cellStyle name="Standard 6 2 3 8 2 3 2 2 2" xfId="16909" xr:uid="{BC0B15AD-33F7-401A-9795-CE9E14D1A08A}"/>
    <cellStyle name="Standard 6 2 3 8 2 3 2 3" xfId="16908" xr:uid="{51823B91-5EC7-43D5-8A40-46221CEE8F92}"/>
    <cellStyle name="Standard 6 2 3 8 2 3 3" xfId="4949" xr:uid="{00000000-0005-0000-0000-00005C130000}"/>
    <cellStyle name="Standard 6 2 3 8 2 3 3 2" xfId="16910" xr:uid="{CD5326A2-9DD0-4220-A801-69D39F740CF9}"/>
    <cellStyle name="Standard 6 2 3 8 2 3 4" xfId="16907" xr:uid="{9A23F0BC-BD4E-461C-928F-198B195A23F5}"/>
    <cellStyle name="Standard 6 2 3 8 2 4" xfId="4950" xr:uid="{00000000-0005-0000-0000-00005D130000}"/>
    <cellStyle name="Standard 6 2 3 8 2 4 2" xfId="4951" xr:uid="{00000000-0005-0000-0000-00005E130000}"/>
    <cellStyle name="Standard 6 2 3 8 2 4 2 2" xfId="4952" xr:uid="{00000000-0005-0000-0000-00005F130000}"/>
    <cellStyle name="Standard 6 2 3 8 2 4 2 2 2" xfId="16913" xr:uid="{5D0E2D19-D91F-4E72-B5A5-21D8D434B921}"/>
    <cellStyle name="Standard 6 2 3 8 2 4 2 3" xfId="16912" xr:uid="{27128584-3A4A-4334-9203-AA83BD981D13}"/>
    <cellStyle name="Standard 6 2 3 8 2 4 3" xfId="4953" xr:uid="{00000000-0005-0000-0000-000060130000}"/>
    <cellStyle name="Standard 6 2 3 8 2 4 3 2" xfId="16914" xr:uid="{EB7FAE07-23C6-47A9-9A33-6A91E5683008}"/>
    <cellStyle name="Standard 6 2 3 8 2 4 4" xfId="16911" xr:uid="{A874463B-98C0-4D50-ACF6-3856D261BEF2}"/>
    <cellStyle name="Standard 6 2 3 8 2 5" xfId="4954" xr:uid="{00000000-0005-0000-0000-000061130000}"/>
    <cellStyle name="Standard 6 2 3 8 2 5 2" xfId="4955" xr:uid="{00000000-0005-0000-0000-000062130000}"/>
    <cellStyle name="Standard 6 2 3 8 2 5 2 2" xfId="4956" xr:uid="{00000000-0005-0000-0000-000063130000}"/>
    <cellStyle name="Standard 6 2 3 8 2 5 2 2 2" xfId="16917" xr:uid="{1D988642-094F-4907-AFDD-E77589197F31}"/>
    <cellStyle name="Standard 6 2 3 8 2 5 2 3" xfId="16916" xr:uid="{605F9E58-E4BF-4F34-A852-B64576E01AD6}"/>
    <cellStyle name="Standard 6 2 3 8 2 5 3" xfId="4957" xr:uid="{00000000-0005-0000-0000-000064130000}"/>
    <cellStyle name="Standard 6 2 3 8 2 5 3 2" xfId="16918" xr:uid="{C6A46F87-4B8B-4A0C-824C-3E97F0791320}"/>
    <cellStyle name="Standard 6 2 3 8 2 5 4" xfId="16915" xr:uid="{ACC11FA7-78D9-473B-9D5B-C0416D3C171C}"/>
    <cellStyle name="Standard 6 2 3 8 2 6" xfId="4958" xr:uid="{00000000-0005-0000-0000-000065130000}"/>
    <cellStyle name="Standard 6 2 3 8 2 6 2" xfId="4959" xr:uid="{00000000-0005-0000-0000-000066130000}"/>
    <cellStyle name="Standard 6 2 3 8 2 6 2 2" xfId="4960" xr:uid="{00000000-0005-0000-0000-000067130000}"/>
    <cellStyle name="Standard 6 2 3 8 2 6 2 2 2" xfId="16921" xr:uid="{33925915-8146-4FCF-B186-04370A6A77AE}"/>
    <cellStyle name="Standard 6 2 3 8 2 6 2 3" xfId="16920" xr:uid="{CBFE3CD3-F95A-475D-BB82-9251E8617A1A}"/>
    <cellStyle name="Standard 6 2 3 8 2 6 3" xfId="4961" xr:uid="{00000000-0005-0000-0000-000068130000}"/>
    <cellStyle name="Standard 6 2 3 8 2 6 3 2" xfId="16922" xr:uid="{D9825804-7919-4B76-9FAA-31B6F57A0A8A}"/>
    <cellStyle name="Standard 6 2 3 8 2 6 4" xfId="16919" xr:uid="{63BD493D-20B2-4126-AE4D-E6581946C434}"/>
    <cellStyle name="Standard 6 2 3 8 2 7" xfId="4962" xr:uid="{00000000-0005-0000-0000-000069130000}"/>
    <cellStyle name="Standard 6 2 3 8 2 7 2" xfId="4963" xr:uid="{00000000-0005-0000-0000-00006A130000}"/>
    <cellStyle name="Standard 6 2 3 8 2 7 2 2" xfId="4964" xr:uid="{00000000-0005-0000-0000-00006B130000}"/>
    <cellStyle name="Standard 6 2 3 8 2 7 2 2 2" xfId="16925" xr:uid="{D0794ADC-67F2-4A7D-94C9-A9F77BBB88CC}"/>
    <cellStyle name="Standard 6 2 3 8 2 7 2 3" xfId="16924" xr:uid="{42D01916-E185-44B6-AB7A-BDFEDA8FD2C0}"/>
    <cellStyle name="Standard 6 2 3 8 2 7 3" xfId="4965" xr:uid="{00000000-0005-0000-0000-00006C130000}"/>
    <cellStyle name="Standard 6 2 3 8 2 7 3 2" xfId="16926" xr:uid="{C29DBF96-A156-4DDD-B1C7-9E558B326AE5}"/>
    <cellStyle name="Standard 6 2 3 8 2 7 4" xfId="16923" xr:uid="{CC2BB286-F99D-4D43-BDE1-2D44E20827E5}"/>
    <cellStyle name="Standard 6 2 3 8 2 8" xfId="4966" xr:uid="{00000000-0005-0000-0000-00006D130000}"/>
    <cellStyle name="Standard 6 2 3 8 2 8 2" xfId="4967" xr:uid="{00000000-0005-0000-0000-00006E130000}"/>
    <cellStyle name="Standard 6 2 3 8 2 8 2 2" xfId="16928" xr:uid="{3FBF14F7-883A-43A3-8D09-37CAA974E4E8}"/>
    <cellStyle name="Standard 6 2 3 8 2 8 3" xfId="16927" xr:uid="{132A8628-E56B-4982-A692-F25F322BDEB7}"/>
    <cellStyle name="Standard 6 2 3 8 2 9" xfId="4968" xr:uid="{00000000-0005-0000-0000-00006F130000}"/>
    <cellStyle name="Standard 6 2 3 8 2 9 2" xfId="16929" xr:uid="{5DF902CE-40BE-4D15-96DB-44863E458593}"/>
    <cellStyle name="Standard 6 2 3 8 3" xfId="4969" xr:uid="{00000000-0005-0000-0000-000070130000}"/>
    <cellStyle name="Standard 6 2 3 8 3 2" xfId="4970" xr:uid="{00000000-0005-0000-0000-000071130000}"/>
    <cellStyle name="Standard 6 2 3 8 3 2 2" xfId="4971" xr:uid="{00000000-0005-0000-0000-000072130000}"/>
    <cellStyle name="Standard 6 2 3 8 3 2 2 2" xfId="16932" xr:uid="{C1A4AB76-AFE9-4FDD-855C-BBFAC82DDDC3}"/>
    <cellStyle name="Standard 6 2 3 8 3 2 3" xfId="16931" xr:uid="{F9D0937D-544A-4E56-8460-22CD0D338687}"/>
    <cellStyle name="Standard 6 2 3 8 3 3" xfId="4972" xr:uid="{00000000-0005-0000-0000-000073130000}"/>
    <cellStyle name="Standard 6 2 3 8 3 3 2" xfId="16933" xr:uid="{039A6E74-E99E-4CE4-B15F-7296BD034D61}"/>
    <cellStyle name="Standard 6 2 3 8 3 4" xfId="16930" xr:uid="{2610184E-3557-4EEF-B265-D9A27E653007}"/>
    <cellStyle name="Standard 6 2 3 8 4" xfId="4973" xr:uid="{00000000-0005-0000-0000-000074130000}"/>
    <cellStyle name="Standard 6 2 3 8 4 2" xfId="4974" xr:uid="{00000000-0005-0000-0000-000075130000}"/>
    <cellStyle name="Standard 6 2 3 8 4 2 2" xfId="4975" xr:uid="{00000000-0005-0000-0000-000076130000}"/>
    <cellStyle name="Standard 6 2 3 8 4 2 2 2" xfId="16936" xr:uid="{71BC78F7-D317-412E-B527-1C7E6B06160C}"/>
    <cellStyle name="Standard 6 2 3 8 4 2 3" xfId="16935" xr:uid="{9B530FE9-9740-4386-A49F-C23034CA39BF}"/>
    <cellStyle name="Standard 6 2 3 8 4 3" xfId="4976" xr:uid="{00000000-0005-0000-0000-000077130000}"/>
    <cellStyle name="Standard 6 2 3 8 4 3 2" xfId="16937" xr:uid="{D886F7AB-E9C1-48EC-B52E-13E2DD5289C1}"/>
    <cellStyle name="Standard 6 2 3 8 4 4" xfId="16934" xr:uid="{DADA286B-C3D2-4E37-8587-A940243D75FC}"/>
    <cellStyle name="Standard 6 2 3 8 5" xfId="4977" xr:uid="{00000000-0005-0000-0000-000078130000}"/>
    <cellStyle name="Standard 6 2 3 8 5 2" xfId="4978" xr:uid="{00000000-0005-0000-0000-000079130000}"/>
    <cellStyle name="Standard 6 2 3 8 5 2 2" xfId="4979" xr:uid="{00000000-0005-0000-0000-00007A130000}"/>
    <cellStyle name="Standard 6 2 3 8 5 2 2 2" xfId="16940" xr:uid="{9B993E21-721E-4839-88E9-EBC8CA525AF8}"/>
    <cellStyle name="Standard 6 2 3 8 5 2 3" xfId="16939" xr:uid="{FA76984A-A3DB-4A1A-BC97-2C77D1D8B764}"/>
    <cellStyle name="Standard 6 2 3 8 5 3" xfId="4980" xr:uid="{00000000-0005-0000-0000-00007B130000}"/>
    <cellStyle name="Standard 6 2 3 8 5 3 2" xfId="16941" xr:uid="{6EA14853-8862-4DEE-A181-2A5DDBEA1F6D}"/>
    <cellStyle name="Standard 6 2 3 8 5 4" xfId="16938" xr:uid="{73C03489-661D-433D-BEDC-F50E339617BC}"/>
    <cellStyle name="Standard 6 2 3 8 6" xfId="4981" xr:uid="{00000000-0005-0000-0000-00007C130000}"/>
    <cellStyle name="Standard 6 2 3 8 6 2" xfId="4982" xr:uid="{00000000-0005-0000-0000-00007D130000}"/>
    <cellStyle name="Standard 6 2 3 8 6 2 2" xfId="4983" xr:uid="{00000000-0005-0000-0000-00007E130000}"/>
    <cellStyle name="Standard 6 2 3 8 6 2 2 2" xfId="16944" xr:uid="{9CAF5BD6-BF1E-4F77-B6D8-85E7BABCD19D}"/>
    <cellStyle name="Standard 6 2 3 8 6 2 3" xfId="16943" xr:uid="{3F6F316A-F03B-484D-816C-C309D95391EC}"/>
    <cellStyle name="Standard 6 2 3 8 6 3" xfId="4984" xr:uid="{00000000-0005-0000-0000-00007F130000}"/>
    <cellStyle name="Standard 6 2 3 8 6 3 2" xfId="16945" xr:uid="{B807320B-311C-484E-9243-3422AFC77143}"/>
    <cellStyle name="Standard 6 2 3 8 6 4" xfId="16942" xr:uid="{BC80CDC1-F098-4DD4-8AA4-51A9BC28C875}"/>
    <cellStyle name="Standard 6 2 3 8 7" xfId="4985" xr:uid="{00000000-0005-0000-0000-000080130000}"/>
    <cellStyle name="Standard 6 2 3 8 7 2" xfId="4986" xr:uid="{00000000-0005-0000-0000-000081130000}"/>
    <cellStyle name="Standard 6 2 3 8 7 2 2" xfId="4987" xr:uid="{00000000-0005-0000-0000-000082130000}"/>
    <cellStyle name="Standard 6 2 3 8 7 2 2 2" xfId="16948" xr:uid="{A6F1D934-8559-48A3-BF89-8C5A386B95EF}"/>
    <cellStyle name="Standard 6 2 3 8 7 2 3" xfId="16947" xr:uid="{8BEADAEB-CE47-4372-AC66-43D9AE24202F}"/>
    <cellStyle name="Standard 6 2 3 8 7 3" xfId="4988" xr:uid="{00000000-0005-0000-0000-000083130000}"/>
    <cellStyle name="Standard 6 2 3 8 7 3 2" xfId="16949" xr:uid="{BF5E88F7-4FBF-4DA5-ABD0-554DCB3D2819}"/>
    <cellStyle name="Standard 6 2 3 8 7 4" xfId="16946" xr:uid="{A823FA29-5E3B-4B50-AF40-79079304813A}"/>
    <cellStyle name="Standard 6 2 3 8 8" xfId="4989" xr:uid="{00000000-0005-0000-0000-000084130000}"/>
    <cellStyle name="Standard 6 2 3 8 8 2" xfId="4990" xr:uid="{00000000-0005-0000-0000-000085130000}"/>
    <cellStyle name="Standard 6 2 3 8 8 2 2" xfId="4991" xr:uid="{00000000-0005-0000-0000-000086130000}"/>
    <cellStyle name="Standard 6 2 3 8 8 2 2 2" xfId="16952" xr:uid="{4FFAE4BF-045E-431F-A3BC-62EF634E7549}"/>
    <cellStyle name="Standard 6 2 3 8 8 2 3" xfId="16951" xr:uid="{9486E619-8477-46F3-865F-7133D2207884}"/>
    <cellStyle name="Standard 6 2 3 8 8 3" xfId="4992" xr:uid="{00000000-0005-0000-0000-000087130000}"/>
    <cellStyle name="Standard 6 2 3 8 8 3 2" xfId="16953" xr:uid="{BEA0181D-20A2-4BD5-9527-26BE42BCFF72}"/>
    <cellStyle name="Standard 6 2 3 8 8 4" xfId="16950" xr:uid="{D0B073D8-3931-448B-8459-53BD20A05C76}"/>
    <cellStyle name="Standard 6 2 3 8 9" xfId="4993" xr:uid="{00000000-0005-0000-0000-000088130000}"/>
    <cellStyle name="Standard 6 2 3 8 9 2" xfId="4994" xr:uid="{00000000-0005-0000-0000-000089130000}"/>
    <cellStyle name="Standard 6 2 3 8 9 2 2" xfId="16955" xr:uid="{4E8F2479-0346-4690-A650-5BF00A82924C}"/>
    <cellStyle name="Standard 6 2 3 8 9 3" xfId="16954" xr:uid="{1A7AEB2F-9DAE-4B46-82EB-ABBC2E0E3C91}"/>
    <cellStyle name="Standard 6 2 3 9" xfId="4995" xr:uid="{00000000-0005-0000-0000-00008A130000}"/>
    <cellStyle name="Standard 6 2 3 9 10" xfId="4996" xr:uid="{00000000-0005-0000-0000-00008B130000}"/>
    <cellStyle name="Standard 6 2 3 9 10 2" xfId="16957" xr:uid="{6F6E2F76-6CC2-42F8-B775-B7E75D025B1F}"/>
    <cellStyle name="Standard 6 2 3 9 11" xfId="16956" xr:uid="{715A26A7-AAA4-420F-98DF-C00694A5744F}"/>
    <cellStyle name="Standard 6 2 3 9 2" xfId="4997" xr:uid="{00000000-0005-0000-0000-00008C130000}"/>
    <cellStyle name="Standard 6 2 3 9 2 10" xfId="16958" xr:uid="{B4D899EF-AA82-447C-B5C3-C9840E63307E}"/>
    <cellStyle name="Standard 6 2 3 9 2 2" xfId="4998" xr:uid="{00000000-0005-0000-0000-00008D130000}"/>
    <cellStyle name="Standard 6 2 3 9 2 2 2" xfId="4999" xr:uid="{00000000-0005-0000-0000-00008E130000}"/>
    <cellStyle name="Standard 6 2 3 9 2 2 2 2" xfId="5000" xr:uid="{00000000-0005-0000-0000-00008F130000}"/>
    <cellStyle name="Standard 6 2 3 9 2 2 2 2 2" xfId="16961" xr:uid="{1948D43D-9F3F-4F03-82AB-AD4119BBC179}"/>
    <cellStyle name="Standard 6 2 3 9 2 2 2 3" xfId="16960" xr:uid="{92EBD946-1942-4A67-AD72-623D662363F0}"/>
    <cellStyle name="Standard 6 2 3 9 2 2 3" xfId="5001" xr:uid="{00000000-0005-0000-0000-000090130000}"/>
    <cellStyle name="Standard 6 2 3 9 2 2 3 2" xfId="16962" xr:uid="{1A478C92-AAAF-42AD-B726-4C2140430D04}"/>
    <cellStyle name="Standard 6 2 3 9 2 2 4" xfId="16959" xr:uid="{92A4F739-0E09-4E0E-B729-5790EB4D95A5}"/>
    <cellStyle name="Standard 6 2 3 9 2 3" xfId="5002" xr:uid="{00000000-0005-0000-0000-000091130000}"/>
    <cellStyle name="Standard 6 2 3 9 2 3 2" xfId="5003" xr:uid="{00000000-0005-0000-0000-000092130000}"/>
    <cellStyle name="Standard 6 2 3 9 2 3 2 2" xfId="5004" xr:uid="{00000000-0005-0000-0000-000093130000}"/>
    <cellStyle name="Standard 6 2 3 9 2 3 2 2 2" xfId="16965" xr:uid="{8CBBEF6F-B026-48A1-A251-CA941D3DD38A}"/>
    <cellStyle name="Standard 6 2 3 9 2 3 2 3" xfId="16964" xr:uid="{01CAFE5F-C0E9-43E9-A3EB-A83703941994}"/>
    <cellStyle name="Standard 6 2 3 9 2 3 3" xfId="5005" xr:uid="{00000000-0005-0000-0000-000094130000}"/>
    <cellStyle name="Standard 6 2 3 9 2 3 3 2" xfId="16966" xr:uid="{47465A2C-24DF-4625-A8B8-B2CD380ECC23}"/>
    <cellStyle name="Standard 6 2 3 9 2 3 4" xfId="16963" xr:uid="{25420956-4BC9-4068-8D28-22F8332DC320}"/>
    <cellStyle name="Standard 6 2 3 9 2 4" xfId="5006" xr:uid="{00000000-0005-0000-0000-000095130000}"/>
    <cellStyle name="Standard 6 2 3 9 2 4 2" xfId="5007" xr:uid="{00000000-0005-0000-0000-000096130000}"/>
    <cellStyle name="Standard 6 2 3 9 2 4 2 2" xfId="5008" xr:uid="{00000000-0005-0000-0000-000097130000}"/>
    <cellStyle name="Standard 6 2 3 9 2 4 2 2 2" xfId="16969" xr:uid="{A0815CF9-02A4-4C64-83DF-A20C7BE08D6A}"/>
    <cellStyle name="Standard 6 2 3 9 2 4 2 3" xfId="16968" xr:uid="{F84672DF-184C-4028-9746-ED78C3FE4856}"/>
    <cellStyle name="Standard 6 2 3 9 2 4 3" xfId="5009" xr:uid="{00000000-0005-0000-0000-000098130000}"/>
    <cellStyle name="Standard 6 2 3 9 2 4 3 2" xfId="16970" xr:uid="{26A8414C-619A-4DA3-93CD-74FF405B6F81}"/>
    <cellStyle name="Standard 6 2 3 9 2 4 4" xfId="16967" xr:uid="{CF968A6A-749F-44B2-8F9F-89854082F392}"/>
    <cellStyle name="Standard 6 2 3 9 2 5" xfId="5010" xr:uid="{00000000-0005-0000-0000-000099130000}"/>
    <cellStyle name="Standard 6 2 3 9 2 5 2" xfId="5011" xr:uid="{00000000-0005-0000-0000-00009A130000}"/>
    <cellStyle name="Standard 6 2 3 9 2 5 2 2" xfId="5012" xr:uid="{00000000-0005-0000-0000-00009B130000}"/>
    <cellStyle name="Standard 6 2 3 9 2 5 2 2 2" xfId="16973" xr:uid="{5768FE64-B5BE-422B-A9BB-8890B48D94B0}"/>
    <cellStyle name="Standard 6 2 3 9 2 5 2 3" xfId="16972" xr:uid="{85FB5F0E-B3F1-468E-870A-DE800E213B9C}"/>
    <cellStyle name="Standard 6 2 3 9 2 5 3" xfId="5013" xr:uid="{00000000-0005-0000-0000-00009C130000}"/>
    <cellStyle name="Standard 6 2 3 9 2 5 3 2" xfId="16974" xr:uid="{FF5A7714-61A9-4736-A738-20B4488F15B7}"/>
    <cellStyle name="Standard 6 2 3 9 2 5 4" xfId="16971" xr:uid="{E7C39E12-2767-4FA5-9EDF-F08F8552216E}"/>
    <cellStyle name="Standard 6 2 3 9 2 6" xfId="5014" xr:uid="{00000000-0005-0000-0000-00009D130000}"/>
    <cellStyle name="Standard 6 2 3 9 2 6 2" xfId="5015" xr:uid="{00000000-0005-0000-0000-00009E130000}"/>
    <cellStyle name="Standard 6 2 3 9 2 6 2 2" xfId="5016" xr:uid="{00000000-0005-0000-0000-00009F130000}"/>
    <cellStyle name="Standard 6 2 3 9 2 6 2 2 2" xfId="16977" xr:uid="{14818E59-1757-4CFF-9788-5C4BEAE78BAF}"/>
    <cellStyle name="Standard 6 2 3 9 2 6 2 3" xfId="16976" xr:uid="{DDC82A82-2C8E-4681-AD5A-632213A1CBD7}"/>
    <cellStyle name="Standard 6 2 3 9 2 6 3" xfId="5017" xr:uid="{00000000-0005-0000-0000-0000A0130000}"/>
    <cellStyle name="Standard 6 2 3 9 2 6 3 2" xfId="16978" xr:uid="{A23A8269-F19A-401B-B0C3-055FA5336C0A}"/>
    <cellStyle name="Standard 6 2 3 9 2 6 4" xfId="16975" xr:uid="{5C1969FB-AB45-46BF-9A15-8E980C324F93}"/>
    <cellStyle name="Standard 6 2 3 9 2 7" xfId="5018" xr:uid="{00000000-0005-0000-0000-0000A1130000}"/>
    <cellStyle name="Standard 6 2 3 9 2 7 2" xfId="5019" xr:uid="{00000000-0005-0000-0000-0000A2130000}"/>
    <cellStyle name="Standard 6 2 3 9 2 7 2 2" xfId="5020" xr:uid="{00000000-0005-0000-0000-0000A3130000}"/>
    <cellStyle name="Standard 6 2 3 9 2 7 2 2 2" xfId="16981" xr:uid="{532F06FB-06A0-41A2-9DB8-BF05A211D649}"/>
    <cellStyle name="Standard 6 2 3 9 2 7 2 3" xfId="16980" xr:uid="{93303B56-AFC5-49C5-8A92-000D1F01BD86}"/>
    <cellStyle name="Standard 6 2 3 9 2 7 3" xfId="5021" xr:uid="{00000000-0005-0000-0000-0000A4130000}"/>
    <cellStyle name="Standard 6 2 3 9 2 7 3 2" xfId="16982" xr:uid="{BDD154C7-B9D0-40A6-A845-DF6AFF2B73A2}"/>
    <cellStyle name="Standard 6 2 3 9 2 7 4" xfId="16979" xr:uid="{CC86CED6-ED5C-41AF-82DE-DEE1703C6D23}"/>
    <cellStyle name="Standard 6 2 3 9 2 8" xfId="5022" xr:uid="{00000000-0005-0000-0000-0000A5130000}"/>
    <cellStyle name="Standard 6 2 3 9 2 8 2" xfId="5023" xr:uid="{00000000-0005-0000-0000-0000A6130000}"/>
    <cellStyle name="Standard 6 2 3 9 2 8 2 2" xfId="16984" xr:uid="{2E2084D1-2048-474A-84DD-2931B2673BB9}"/>
    <cellStyle name="Standard 6 2 3 9 2 8 3" xfId="16983" xr:uid="{4EDA403F-0EC5-46C7-8C87-EDB455D635EC}"/>
    <cellStyle name="Standard 6 2 3 9 2 9" xfId="5024" xr:uid="{00000000-0005-0000-0000-0000A7130000}"/>
    <cellStyle name="Standard 6 2 3 9 2 9 2" xfId="16985" xr:uid="{8F3EE505-15D6-4C0B-8124-31D738053DF6}"/>
    <cellStyle name="Standard 6 2 3 9 3" xfId="5025" xr:uid="{00000000-0005-0000-0000-0000A8130000}"/>
    <cellStyle name="Standard 6 2 3 9 3 2" xfId="5026" xr:uid="{00000000-0005-0000-0000-0000A9130000}"/>
    <cellStyle name="Standard 6 2 3 9 3 2 2" xfId="5027" xr:uid="{00000000-0005-0000-0000-0000AA130000}"/>
    <cellStyle name="Standard 6 2 3 9 3 2 2 2" xfId="16988" xr:uid="{E1C5777A-4C89-4C5D-88A8-3D5E9525D490}"/>
    <cellStyle name="Standard 6 2 3 9 3 2 3" xfId="16987" xr:uid="{04D98B3A-4B31-4DEB-908A-52C9BF9DDC50}"/>
    <cellStyle name="Standard 6 2 3 9 3 3" xfId="5028" xr:uid="{00000000-0005-0000-0000-0000AB130000}"/>
    <cellStyle name="Standard 6 2 3 9 3 3 2" xfId="16989" xr:uid="{4282C6CA-6D25-4DE1-AC1F-C67ACE4ED26A}"/>
    <cellStyle name="Standard 6 2 3 9 3 4" xfId="16986" xr:uid="{6919C77C-B32C-424D-95FF-6F7F772A865B}"/>
    <cellStyle name="Standard 6 2 3 9 4" xfId="5029" xr:uid="{00000000-0005-0000-0000-0000AC130000}"/>
    <cellStyle name="Standard 6 2 3 9 4 2" xfId="5030" xr:uid="{00000000-0005-0000-0000-0000AD130000}"/>
    <cellStyle name="Standard 6 2 3 9 4 2 2" xfId="5031" xr:uid="{00000000-0005-0000-0000-0000AE130000}"/>
    <cellStyle name="Standard 6 2 3 9 4 2 2 2" xfId="16992" xr:uid="{BFC035ED-1695-4BDE-91B8-FC24945C1861}"/>
    <cellStyle name="Standard 6 2 3 9 4 2 3" xfId="16991" xr:uid="{994C7D0C-15B8-4D58-93E2-18157C5EB77B}"/>
    <cellStyle name="Standard 6 2 3 9 4 3" xfId="5032" xr:uid="{00000000-0005-0000-0000-0000AF130000}"/>
    <cellStyle name="Standard 6 2 3 9 4 3 2" xfId="16993" xr:uid="{B627AA2A-EE00-4A44-96F2-90B82BD8D34B}"/>
    <cellStyle name="Standard 6 2 3 9 4 4" xfId="16990" xr:uid="{7C0FCC71-3712-4FD9-B830-D20AE85B51A5}"/>
    <cellStyle name="Standard 6 2 3 9 5" xfId="5033" xr:uid="{00000000-0005-0000-0000-0000B0130000}"/>
    <cellStyle name="Standard 6 2 3 9 5 2" xfId="5034" xr:uid="{00000000-0005-0000-0000-0000B1130000}"/>
    <cellStyle name="Standard 6 2 3 9 5 2 2" xfId="5035" xr:uid="{00000000-0005-0000-0000-0000B2130000}"/>
    <cellStyle name="Standard 6 2 3 9 5 2 2 2" xfId="16996" xr:uid="{2429CF94-52FC-4DA2-8EE8-CFBA81A0F65E}"/>
    <cellStyle name="Standard 6 2 3 9 5 2 3" xfId="16995" xr:uid="{C326FC3F-4CA3-45CF-85E3-4AF174A702DF}"/>
    <cellStyle name="Standard 6 2 3 9 5 3" xfId="5036" xr:uid="{00000000-0005-0000-0000-0000B3130000}"/>
    <cellStyle name="Standard 6 2 3 9 5 3 2" xfId="16997" xr:uid="{B9219DFD-0F6B-4AAC-BE35-2FA77F8B75E5}"/>
    <cellStyle name="Standard 6 2 3 9 5 4" xfId="16994" xr:uid="{D0E9C66F-06C1-4A6A-A04E-930A53DBB86E}"/>
    <cellStyle name="Standard 6 2 3 9 6" xfId="5037" xr:uid="{00000000-0005-0000-0000-0000B4130000}"/>
    <cellStyle name="Standard 6 2 3 9 6 2" xfId="5038" xr:uid="{00000000-0005-0000-0000-0000B5130000}"/>
    <cellStyle name="Standard 6 2 3 9 6 2 2" xfId="5039" xr:uid="{00000000-0005-0000-0000-0000B6130000}"/>
    <cellStyle name="Standard 6 2 3 9 6 2 2 2" xfId="17000" xr:uid="{B6DB8DB1-46E5-402D-9F36-B832A31FB190}"/>
    <cellStyle name="Standard 6 2 3 9 6 2 3" xfId="16999" xr:uid="{A8D5632B-B7D4-4B3F-B34F-1C4DF79BA67A}"/>
    <cellStyle name="Standard 6 2 3 9 6 3" xfId="5040" xr:uid="{00000000-0005-0000-0000-0000B7130000}"/>
    <cellStyle name="Standard 6 2 3 9 6 3 2" xfId="17001" xr:uid="{05D3B56A-F3DC-44B4-9138-C0605A4C716D}"/>
    <cellStyle name="Standard 6 2 3 9 6 4" xfId="16998" xr:uid="{45A9133B-BE7C-435F-88CD-13EF73895A47}"/>
    <cellStyle name="Standard 6 2 3 9 7" xfId="5041" xr:uid="{00000000-0005-0000-0000-0000B8130000}"/>
    <cellStyle name="Standard 6 2 3 9 7 2" xfId="5042" xr:uid="{00000000-0005-0000-0000-0000B9130000}"/>
    <cellStyle name="Standard 6 2 3 9 7 2 2" xfId="5043" xr:uid="{00000000-0005-0000-0000-0000BA130000}"/>
    <cellStyle name="Standard 6 2 3 9 7 2 2 2" xfId="17004" xr:uid="{716918DA-2E38-4AA8-91DB-6CF630BAB316}"/>
    <cellStyle name="Standard 6 2 3 9 7 2 3" xfId="17003" xr:uid="{AC8B97D4-0BE4-4D63-BDBD-602D8D1554A4}"/>
    <cellStyle name="Standard 6 2 3 9 7 3" xfId="5044" xr:uid="{00000000-0005-0000-0000-0000BB130000}"/>
    <cellStyle name="Standard 6 2 3 9 7 3 2" xfId="17005" xr:uid="{A4B90A8E-C939-4049-B2E2-C8686DED7453}"/>
    <cellStyle name="Standard 6 2 3 9 7 4" xfId="17002" xr:uid="{3E619E6A-6B97-4901-ABFB-488AE959877F}"/>
    <cellStyle name="Standard 6 2 3 9 8" xfId="5045" xr:uid="{00000000-0005-0000-0000-0000BC130000}"/>
    <cellStyle name="Standard 6 2 3 9 8 2" xfId="5046" xr:uid="{00000000-0005-0000-0000-0000BD130000}"/>
    <cellStyle name="Standard 6 2 3 9 8 2 2" xfId="5047" xr:uid="{00000000-0005-0000-0000-0000BE130000}"/>
    <cellStyle name="Standard 6 2 3 9 8 2 2 2" xfId="17008" xr:uid="{9FFEBBA1-9AA7-438A-B1A8-B8A56FD3C246}"/>
    <cellStyle name="Standard 6 2 3 9 8 2 3" xfId="17007" xr:uid="{6530555A-50A6-45A3-AC4C-CC14D005C431}"/>
    <cellStyle name="Standard 6 2 3 9 8 3" xfId="5048" xr:uid="{00000000-0005-0000-0000-0000BF130000}"/>
    <cellStyle name="Standard 6 2 3 9 8 3 2" xfId="17009" xr:uid="{4D7160E8-D652-45F3-AD13-806B9A3D789B}"/>
    <cellStyle name="Standard 6 2 3 9 8 4" xfId="17006" xr:uid="{68C8D1A8-76A3-4478-AA19-781292B5DAFD}"/>
    <cellStyle name="Standard 6 2 3 9 9" xfId="5049" xr:uid="{00000000-0005-0000-0000-0000C0130000}"/>
    <cellStyle name="Standard 6 2 3 9 9 2" xfId="5050" xr:uid="{00000000-0005-0000-0000-0000C1130000}"/>
    <cellStyle name="Standard 6 2 3 9 9 2 2" xfId="17011" xr:uid="{8866F314-1DE4-4658-BEBF-5489B55CD0E2}"/>
    <cellStyle name="Standard 6 2 3 9 9 3" xfId="17010" xr:uid="{28A9BCEA-E974-46B3-B7EB-1EBE8231C615}"/>
    <cellStyle name="Standard 6 2 4" xfId="5051" xr:uid="{00000000-0005-0000-0000-0000C2130000}"/>
    <cellStyle name="Standard 6 2 4 10" xfId="5052" xr:uid="{00000000-0005-0000-0000-0000C3130000}"/>
    <cellStyle name="Standard 6 2 4 10 2" xfId="5053" xr:uid="{00000000-0005-0000-0000-0000C4130000}"/>
    <cellStyle name="Standard 6 2 4 10 2 2" xfId="5054" xr:uid="{00000000-0005-0000-0000-0000C5130000}"/>
    <cellStyle name="Standard 6 2 4 10 2 2 2" xfId="17015" xr:uid="{D1FFE1F9-7857-4FED-8604-0AEC3F04EEB4}"/>
    <cellStyle name="Standard 6 2 4 10 2 3" xfId="17014" xr:uid="{D9C39151-B724-478D-8AC6-20DAA40F38D4}"/>
    <cellStyle name="Standard 6 2 4 10 3" xfId="5055" xr:uid="{00000000-0005-0000-0000-0000C6130000}"/>
    <cellStyle name="Standard 6 2 4 10 3 2" xfId="17016" xr:uid="{9F3362E1-4053-4CFE-B3FF-71ACEAA43769}"/>
    <cellStyle name="Standard 6 2 4 10 4" xfId="17013" xr:uid="{440553ED-8E71-4A31-9316-5A11544C6F2E}"/>
    <cellStyle name="Standard 6 2 4 11" xfId="5056" xr:uid="{00000000-0005-0000-0000-0000C7130000}"/>
    <cellStyle name="Standard 6 2 4 11 2" xfId="5057" xr:uid="{00000000-0005-0000-0000-0000C8130000}"/>
    <cellStyle name="Standard 6 2 4 11 2 2" xfId="5058" xr:uid="{00000000-0005-0000-0000-0000C9130000}"/>
    <cellStyle name="Standard 6 2 4 11 2 2 2" xfId="17019" xr:uid="{E6C0E44E-683D-46C8-911F-2C90A9D96F0F}"/>
    <cellStyle name="Standard 6 2 4 11 2 3" xfId="17018" xr:uid="{2011CA9E-0C1F-4221-B599-001FDF3D21E0}"/>
    <cellStyle name="Standard 6 2 4 11 3" xfId="5059" xr:uid="{00000000-0005-0000-0000-0000CA130000}"/>
    <cellStyle name="Standard 6 2 4 11 3 2" xfId="17020" xr:uid="{B0F409F6-C529-4579-9338-B8D8A385B55C}"/>
    <cellStyle name="Standard 6 2 4 11 4" xfId="17017" xr:uid="{2F11C9FA-A1F8-481C-9B75-8992D8E93147}"/>
    <cellStyle name="Standard 6 2 4 12" xfId="5060" xr:uid="{00000000-0005-0000-0000-0000CB130000}"/>
    <cellStyle name="Standard 6 2 4 12 2" xfId="5061" xr:uid="{00000000-0005-0000-0000-0000CC130000}"/>
    <cellStyle name="Standard 6 2 4 12 2 2" xfId="5062" xr:uid="{00000000-0005-0000-0000-0000CD130000}"/>
    <cellStyle name="Standard 6 2 4 12 2 2 2" xfId="17023" xr:uid="{98E62F59-7360-4BE6-BE10-14D172A6C72C}"/>
    <cellStyle name="Standard 6 2 4 12 2 3" xfId="17022" xr:uid="{77FFF64C-00CF-4656-B6DF-8B37EC302822}"/>
    <cellStyle name="Standard 6 2 4 12 3" xfId="5063" xr:uid="{00000000-0005-0000-0000-0000CE130000}"/>
    <cellStyle name="Standard 6 2 4 12 3 2" xfId="17024" xr:uid="{B9AFD3CC-7EAA-4FDC-BC4C-DF5D86920688}"/>
    <cellStyle name="Standard 6 2 4 12 4" xfId="17021" xr:uid="{C43BCBF9-328D-4D75-B33A-47E4BEF4866D}"/>
    <cellStyle name="Standard 6 2 4 13" xfId="5064" xr:uid="{00000000-0005-0000-0000-0000CF130000}"/>
    <cellStyle name="Standard 6 2 4 13 2" xfId="5065" xr:uid="{00000000-0005-0000-0000-0000D0130000}"/>
    <cellStyle name="Standard 6 2 4 13 2 2" xfId="5066" xr:uid="{00000000-0005-0000-0000-0000D1130000}"/>
    <cellStyle name="Standard 6 2 4 13 2 2 2" xfId="17027" xr:uid="{775E0E24-63C2-4C68-8A16-7E6E3B9148EE}"/>
    <cellStyle name="Standard 6 2 4 13 2 3" xfId="17026" xr:uid="{4FA4C794-C216-4E9D-BE9D-99AAE48B7619}"/>
    <cellStyle name="Standard 6 2 4 13 3" xfId="5067" xr:uid="{00000000-0005-0000-0000-0000D2130000}"/>
    <cellStyle name="Standard 6 2 4 13 3 2" xfId="17028" xr:uid="{1A6FD77C-4CE7-432C-B288-71CEE5070D21}"/>
    <cellStyle name="Standard 6 2 4 13 4" xfId="17025" xr:uid="{90C536B8-5BEB-4DE2-B9FA-B31F80B693E9}"/>
    <cellStyle name="Standard 6 2 4 14" xfId="5068" xr:uid="{00000000-0005-0000-0000-0000D3130000}"/>
    <cellStyle name="Standard 6 2 4 14 2" xfId="5069" xr:uid="{00000000-0005-0000-0000-0000D4130000}"/>
    <cellStyle name="Standard 6 2 4 14 2 2" xfId="5070" xr:uid="{00000000-0005-0000-0000-0000D5130000}"/>
    <cellStyle name="Standard 6 2 4 14 2 2 2" xfId="17031" xr:uid="{6A6C870B-A017-4F7A-8CE6-474D3FD70CC3}"/>
    <cellStyle name="Standard 6 2 4 14 2 3" xfId="17030" xr:uid="{AC391DE1-CB5F-415E-A4D1-1E5591C710A5}"/>
    <cellStyle name="Standard 6 2 4 14 3" xfId="5071" xr:uid="{00000000-0005-0000-0000-0000D6130000}"/>
    <cellStyle name="Standard 6 2 4 14 3 2" xfId="17032" xr:uid="{BFE214D7-EE3C-48BF-8DEB-B42381E27C01}"/>
    <cellStyle name="Standard 6 2 4 14 4" xfId="17029" xr:uid="{34653779-3731-47B9-A771-E6884236344E}"/>
    <cellStyle name="Standard 6 2 4 15" xfId="5072" xr:uid="{00000000-0005-0000-0000-0000D7130000}"/>
    <cellStyle name="Standard 6 2 4 15 2" xfId="5073" xr:uid="{00000000-0005-0000-0000-0000D8130000}"/>
    <cellStyle name="Standard 6 2 4 15 2 2" xfId="5074" xr:uid="{00000000-0005-0000-0000-0000D9130000}"/>
    <cellStyle name="Standard 6 2 4 15 2 2 2" xfId="17035" xr:uid="{797D6795-42B2-4DB8-BDDD-687CF2E7A601}"/>
    <cellStyle name="Standard 6 2 4 15 2 3" xfId="17034" xr:uid="{16B0596E-F316-42F4-A336-EBC6D2ED1BB8}"/>
    <cellStyle name="Standard 6 2 4 15 3" xfId="5075" xr:uid="{00000000-0005-0000-0000-0000DA130000}"/>
    <cellStyle name="Standard 6 2 4 15 3 2" xfId="17036" xr:uid="{961BB8DD-BAC3-4344-A9EC-4B1E4D398C03}"/>
    <cellStyle name="Standard 6 2 4 15 4" xfId="17033" xr:uid="{0A2C031A-638F-407E-B441-FA5FA2F1B346}"/>
    <cellStyle name="Standard 6 2 4 16" xfId="5076" xr:uid="{00000000-0005-0000-0000-0000DB130000}"/>
    <cellStyle name="Standard 6 2 4 16 2" xfId="5077" xr:uid="{00000000-0005-0000-0000-0000DC130000}"/>
    <cellStyle name="Standard 6 2 4 16 2 2" xfId="5078" xr:uid="{00000000-0005-0000-0000-0000DD130000}"/>
    <cellStyle name="Standard 6 2 4 16 2 2 2" xfId="17039" xr:uid="{7652757C-D8EA-47A4-BA0B-F7F8E29EC78D}"/>
    <cellStyle name="Standard 6 2 4 16 2 3" xfId="17038" xr:uid="{60556C53-2F37-4F8B-9A34-9B36CFE109ED}"/>
    <cellStyle name="Standard 6 2 4 16 3" xfId="5079" xr:uid="{00000000-0005-0000-0000-0000DE130000}"/>
    <cellStyle name="Standard 6 2 4 16 3 2" xfId="17040" xr:uid="{BF30F36D-B709-48C2-8EA7-A8A59F112030}"/>
    <cellStyle name="Standard 6 2 4 16 4" xfId="17037" xr:uid="{DF090A7C-DEE8-453A-AE68-FDDCC0045CF8}"/>
    <cellStyle name="Standard 6 2 4 17" xfId="5080" xr:uid="{00000000-0005-0000-0000-0000DF130000}"/>
    <cellStyle name="Standard 6 2 4 17 2" xfId="5081" xr:uid="{00000000-0005-0000-0000-0000E0130000}"/>
    <cellStyle name="Standard 6 2 4 17 2 2" xfId="5082" xr:uid="{00000000-0005-0000-0000-0000E1130000}"/>
    <cellStyle name="Standard 6 2 4 17 2 2 2" xfId="17043" xr:uid="{B65D059E-3956-4CD1-B801-C24F256CE42D}"/>
    <cellStyle name="Standard 6 2 4 17 2 3" xfId="17042" xr:uid="{2671EBB5-80F4-4119-89A5-7100F6187617}"/>
    <cellStyle name="Standard 6 2 4 17 3" xfId="5083" xr:uid="{00000000-0005-0000-0000-0000E2130000}"/>
    <cellStyle name="Standard 6 2 4 17 3 2" xfId="17044" xr:uid="{3FDC8CC5-2F67-4B06-9D49-F7DB65CD587B}"/>
    <cellStyle name="Standard 6 2 4 17 4" xfId="17041" xr:uid="{8E31F262-21A4-467E-A9C0-0C89FDF26402}"/>
    <cellStyle name="Standard 6 2 4 18" xfId="5084" xr:uid="{00000000-0005-0000-0000-0000E3130000}"/>
    <cellStyle name="Standard 6 2 4 18 2" xfId="5085" xr:uid="{00000000-0005-0000-0000-0000E4130000}"/>
    <cellStyle name="Standard 6 2 4 18 2 2" xfId="5086" xr:uid="{00000000-0005-0000-0000-0000E5130000}"/>
    <cellStyle name="Standard 6 2 4 18 2 2 2" xfId="17047" xr:uid="{36F575D0-BB72-4884-A69D-645CD3EA8FEE}"/>
    <cellStyle name="Standard 6 2 4 18 2 3" xfId="17046" xr:uid="{29CECD9F-1817-4C35-9352-DEBDDA171043}"/>
    <cellStyle name="Standard 6 2 4 18 3" xfId="5087" xr:uid="{00000000-0005-0000-0000-0000E6130000}"/>
    <cellStyle name="Standard 6 2 4 18 3 2" xfId="17048" xr:uid="{64076DBB-F4FC-4E55-94E4-92A2F6CEE846}"/>
    <cellStyle name="Standard 6 2 4 18 4" xfId="17045" xr:uid="{C2DDDC52-5061-4263-865C-5A4BF08DB5A1}"/>
    <cellStyle name="Standard 6 2 4 19" xfId="5088" xr:uid="{00000000-0005-0000-0000-0000E7130000}"/>
    <cellStyle name="Standard 6 2 4 19 2" xfId="5089" xr:uid="{00000000-0005-0000-0000-0000E8130000}"/>
    <cellStyle name="Standard 6 2 4 19 2 2" xfId="5090" xr:uid="{00000000-0005-0000-0000-0000E9130000}"/>
    <cellStyle name="Standard 6 2 4 19 2 2 2" xfId="17051" xr:uid="{FFEABB65-7CEF-4D88-AEC3-D491B226CFA4}"/>
    <cellStyle name="Standard 6 2 4 19 2 3" xfId="17050" xr:uid="{C2440C2F-A39C-4394-B5AC-B27DD757E47C}"/>
    <cellStyle name="Standard 6 2 4 19 3" xfId="5091" xr:uid="{00000000-0005-0000-0000-0000EA130000}"/>
    <cellStyle name="Standard 6 2 4 19 3 2" xfId="17052" xr:uid="{4748152E-7D66-43C4-93D6-1A7430D99CF2}"/>
    <cellStyle name="Standard 6 2 4 19 4" xfId="17049" xr:uid="{57876DFD-BF63-4672-8DEF-73470A8E7D6C}"/>
    <cellStyle name="Standard 6 2 4 2" xfId="5092" xr:uid="{00000000-0005-0000-0000-0000EB130000}"/>
    <cellStyle name="Standard 6 2 4 2 10" xfId="5093" xr:uid="{00000000-0005-0000-0000-0000EC130000}"/>
    <cellStyle name="Standard 6 2 4 2 10 2" xfId="5094" xr:uid="{00000000-0005-0000-0000-0000ED130000}"/>
    <cellStyle name="Standard 6 2 4 2 10 2 2" xfId="17055" xr:uid="{32ACBE95-79D0-4FAE-A29D-CBE63580FC6E}"/>
    <cellStyle name="Standard 6 2 4 2 10 3" xfId="17054" xr:uid="{3F98E7C4-B70C-455C-B7D3-2AA599C50309}"/>
    <cellStyle name="Standard 6 2 4 2 11" xfId="5095" xr:uid="{00000000-0005-0000-0000-0000EE130000}"/>
    <cellStyle name="Standard 6 2 4 2 11 2" xfId="17056" xr:uid="{77FE912C-4497-4935-B187-56FAFCB7483E}"/>
    <cellStyle name="Standard 6 2 4 2 12" xfId="17053" xr:uid="{0525CECD-DCF9-4E41-B32E-850EA7A003CC}"/>
    <cellStyle name="Standard 6 2 4 2 2" xfId="5096" xr:uid="{00000000-0005-0000-0000-0000EF130000}"/>
    <cellStyle name="Standard 6 2 4 2 2 10" xfId="5097" xr:uid="{00000000-0005-0000-0000-0000F0130000}"/>
    <cellStyle name="Standard 6 2 4 2 2 10 2" xfId="17058" xr:uid="{C56C5392-7194-4274-BA1E-003E01E24E20}"/>
    <cellStyle name="Standard 6 2 4 2 2 11" xfId="17057" xr:uid="{E952D4F8-A4D9-4153-B42F-E8BDF7C8536B}"/>
    <cellStyle name="Standard 6 2 4 2 2 2" xfId="5098" xr:uid="{00000000-0005-0000-0000-0000F1130000}"/>
    <cellStyle name="Standard 6 2 4 2 2 2 10" xfId="17059" xr:uid="{E4F1F841-647B-4C85-B98D-45EA01C55759}"/>
    <cellStyle name="Standard 6 2 4 2 2 2 2" xfId="5099" xr:uid="{00000000-0005-0000-0000-0000F2130000}"/>
    <cellStyle name="Standard 6 2 4 2 2 2 2 2" xfId="5100" xr:uid="{00000000-0005-0000-0000-0000F3130000}"/>
    <cellStyle name="Standard 6 2 4 2 2 2 2 2 2" xfId="5101" xr:uid="{00000000-0005-0000-0000-0000F4130000}"/>
    <cellStyle name="Standard 6 2 4 2 2 2 2 2 2 2" xfId="17062" xr:uid="{866228FF-09CD-45ED-A132-7526D972C63C}"/>
    <cellStyle name="Standard 6 2 4 2 2 2 2 2 3" xfId="17061" xr:uid="{326572AD-0D22-4A37-9E4F-B152B40C88BB}"/>
    <cellStyle name="Standard 6 2 4 2 2 2 2 3" xfId="5102" xr:uid="{00000000-0005-0000-0000-0000F5130000}"/>
    <cellStyle name="Standard 6 2 4 2 2 2 2 3 2" xfId="17063" xr:uid="{7E797D4A-10E4-44B0-8C69-7DC14E5C8BE4}"/>
    <cellStyle name="Standard 6 2 4 2 2 2 2 4" xfId="17060" xr:uid="{69A50F37-CFC7-468C-9D66-DF194FB57ACC}"/>
    <cellStyle name="Standard 6 2 4 2 2 2 3" xfId="5103" xr:uid="{00000000-0005-0000-0000-0000F6130000}"/>
    <cellStyle name="Standard 6 2 4 2 2 2 3 2" xfId="5104" xr:uid="{00000000-0005-0000-0000-0000F7130000}"/>
    <cellStyle name="Standard 6 2 4 2 2 2 3 2 2" xfId="5105" xr:uid="{00000000-0005-0000-0000-0000F8130000}"/>
    <cellStyle name="Standard 6 2 4 2 2 2 3 2 2 2" xfId="17066" xr:uid="{62B0104E-6A87-4CCA-9217-33E54D1CCB16}"/>
    <cellStyle name="Standard 6 2 4 2 2 2 3 2 3" xfId="17065" xr:uid="{88B89A43-69AC-4AEE-AB70-D57920F164AA}"/>
    <cellStyle name="Standard 6 2 4 2 2 2 3 3" xfId="5106" xr:uid="{00000000-0005-0000-0000-0000F9130000}"/>
    <cellStyle name="Standard 6 2 4 2 2 2 3 3 2" xfId="17067" xr:uid="{D1434D1E-0447-4A2E-ADA0-A5B2870A3B67}"/>
    <cellStyle name="Standard 6 2 4 2 2 2 3 4" xfId="17064" xr:uid="{B553B690-725B-4A58-8651-76E2F50A5370}"/>
    <cellStyle name="Standard 6 2 4 2 2 2 4" xfId="5107" xr:uid="{00000000-0005-0000-0000-0000FA130000}"/>
    <cellStyle name="Standard 6 2 4 2 2 2 4 2" xfId="5108" xr:uid="{00000000-0005-0000-0000-0000FB130000}"/>
    <cellStyle name="Standard 6 2 4 2 2 2 4 2 2" xfId="5109" xr:uid="{00000000-0005-0000-0000-0000FC130000}"/>
    <cellStyle name="Standard 6 2 4 2 2 2 4 2 2 2" xfId="17070" xr:uid="{A192DC40-FF00-4F5E-9069-F3D84AB74A0F}"/>
    <cellStyle name="Standard 6 2 4 2 2 2 4 2 3" xfId="17069" xr:uid="{94F7004E-8269-458C-BC32-48A26F976706}"/>
    <cellStyle name="Standard 6 2 4 2 2 2 4 3" xfId="5110" xr:uid="{00000000-0005-0000-0000-0000FD130000}"/>
    <cellStyle name="Standard 6 2 4 2 2 2 4 3 2" xfId="17071" xr:uid="{4C291A88-F1F4-4510-842A-C0D0790843CD}"/>
    <cellStyle name="Standard 6 2 4 2 2 2 4 4" xfId="17068" xr:uid="{2DCED7A7-ED6A-4F71-8228-E9AE863892C8}"/>
    <cellStyle name="Standard 6 2 4 2 2 2 5" xfId="5111" xr:uid="{00000000-0005-0000-0000-0000FE130000}"/>
    <cellStyle name="Standard 6 2 4 2 2 2 5 2" xfId="5112" xr:uid="{00000000-0005-0000-0000-0000FF130000}"/>
    <cellStyle name="Standard 6 2 4 2 2 2 5 2 2" xfId="5113" xr:uid="{00000000-0005-0000-0000-000000140000}"/>
    <cellStyle name="Standard 6 2 4 2 2 2 5 2 2 2" xfId="17074" xr:uid="{1739A98A-9185-45FE-9FCD-D722716E7312}"/>
    <cellStyle name="Standard 6 2 4 2 2 2 5 2 3" xfId="17073" xr:uid="{3591310B-0E52-45DB-A461-1E10EEA5C91D}"/>
    <cellStyle name="Standard 6 2 4 2 2 2 5 3" xfId="5114" xr:uid="{00000000-0005-0000-0000-000001140000}"/>
    <cellStyle name="Standard 6 2 4 2 2 2 5 3 2" xfId="17075" xr:uid="{9E4F2606-356E-479B-9A79-9F0A0FEAC2B6}"/>
    <cellStyle name="Standard 6 2 4 2 2 2 5 4" xfId="17072" xr:uid="{08F24B33-6788-45AC-B708-FFC68C5456CB}"/>
    <cellStyle name="Standard 6 2 4 2 2 2 6" xfId="5115" xr:uid="{00000000-0005-0000-0000-000002140000}"/>
    <cellStyle name="Standard 6 2 4 2 2 2 6 2" xfId="5116" xr:uid="{00000000-0005-0000-0000-000003140000}"/>
    <cellStyle name="Standard 6 2 4 2 2 2 6 2 2" xfId="5117" xr:uid="{00000000-0005-0000-0000-000004140000}"/>
    <cellStyle name="Standard 6 2 4 2 2 2 6 2 2 2" xfId="17078" xr:uid="{7948D409-EA51-4275-B866-409272DD7C0E}"/>
    <cellStyle name="Standard 6 2 4 2 2 2 6 2 3" xfId="17077" xr:uid="{D61D6C82-0CB8-476E-BD9F-C66D1AD4EE84}"/>
    <cellStyle name="Standard 6 2 4 2 2 2 6 3" xfId="5118" xr:uid="{00000000-0005-0000-0000-000005140000}"/>
    <cellStyle name="Standard 6 2 4 2 2 2 6 3 2" xfId="17079" xr:uid="{A20E4B60-B216-4AED-BA50-29376C4FA1B8}"/>
    <cellStyle name="Standard 6 2 4 2 2 2 6 4" xfId="17076" xr:uid="{E6D25C36-0E10-4AAD-8BA8-AF8DD23B5B8B}"/>
    <cellStyle name="Standard 6 2 4 2 2 2 7" xfId="5119" xr:uid="{00000000-0005-0000-0000-000006140000}"/>
    <cellStyle name="Standard 6 2 4 2 2 2 7 2" xfId="5120" xr:uid="{00000000-0005-0000-0000-000007140000}"/>
    <cellStyle name="Standard 6 2 4 2 2 2 7 2 2" xfId="5121" xr:uid="{00000000-0005-0000-0000-000008140000}"/>
    <cellStyle name="Standard 6 2 4 2 2 2 7 2 2 2" xfId="17082" xr:uid="{7857F1C9-41DB-4263-A442-E68C6CB94ACD}"/>
    <cellStyle name="Standard 6 2 4 2 2 2 7 2 3" xfId="17081" xr:uid="{512CD78B-D424-4DDA-9414-C5240FF6BA7A}"/>
    <cellStyle name="Standard 6 2 4 2 2 2 7 3" xfId="5122" xr:uid="{00000000-0005-0000-0000-000009140000}"/>
    <cellStyle name="Standard 6 2 4 2 2 2 7 3 2" xfId="17083" xr:uid="{DB69AEF5-01CA-400D-9311-3A89E39022B4}"/>
    <cellStyle name="Standard 6 2 4 2 2 2 7 4" xfId="17080" xr:uid="{12F308AE-F9A7-4705-9FAE-4AD1DC18484B}"/>
    <cellStyle name="Standard 6 2 4 2 2 2 8" xfId="5123" xr:uid="{00000000-0005-0000-0000-00000A140000}"/>
    <cellStyle name="Standard 6 2 4 2 2 2 8 2" xfId="5124" xr:uid="{00000000-0005-0000-0000-00000B140000}"/>
    <cellStyle name="Standard 6 2 4 2 2 2 8 2 2" xfId="17085" xr:uid="{CDEE9CA8-3C9B-462C-A3BC-1AD3BF251145}"/>
    <cellStyle name="Standard 6 2 4 2 2 2 8 3" xfId="17084" xr:uid="{66EAE6F5-3ABC-471F-8B1D-B4B2601CD020}"/>
    <cellStyle name="Standard 6 2 4 2 2 2 9" xfId="5125" xr:uid="{00000000-0005-0000-0000-00000C140000}"/>
    <cellStyle name="Standard 6 2 4 2 2 2 9 2" xfId="17086" xr:uid="{66F6AEF4-BB60-4C6D-ADCE-D97A41638249}"/>
    <cellStyle name="Standard 6 2 4 2 2 3" xfId="5126" xr:uid="{00000000-0005-0000-0000-00000D140000}"/>
    <cellStyle name="Standard 6 2 4 2 2 3 2" xfId="5127" xr:uid="{00000000-0005-0000-0000-00000E140000}"/>
    <cellStyle name="Standard 6 2 4 2 2 3 2 2" xfId="5128" xr:uid="{00000000-0005-0000-0000-00000F140000}"/>
    <cellStyle name="Standard 6 2 4 2 2 3 2 2 2" xfId="17089" xr:uid="{624190AF-DCEC-4242-9D06-4BA3C88FD865}"/>
    <cellStyle name="Standard 6 2 4 2 2 3 2 3" xfId="17088" xr:uid="{272AD2C5-1F3C-49DB-896E-C1A4E7EF55D2}"/>
    <cellStyle name="Standard 6 2 4 2 2 3 3" xfId="5129" xr:uid="{00000000-0005-0000-0000-000010140000}"/>
    <cellStyle name="Standard 6 2 4 2 2 3 3 2" xfId="17090" xr:uid="{B516854D-2D46-4197-99AC-056B878F5516}"/>
    <cellStyle name="Standard 6 2 4 2 2 3 4" xfId="17087" xr:uid="{BC5F5D1B-B866-4591-907F-2D2AD499616E}"/>
    <cellStyle name="Standard 6 2 4 2 2 4" xfId="5130" xr:uid="{00000000-0005-0000-0000-000011140000}"/>
    <cellStyle name="Standard 6 2 4 2 2 4 2" xfId="5131" xr:uid="{00000000-0005-0000-0000-000012140000}"/>
    <cellStyle name="Standard 6 2 4 2 2 4 2 2" xfId="5132" xr:uid="{00000000-0005-0000-0000-000013140000}"/>
    <cellStyle name="Standard 6 2 4 2 2 4 2 2 2" xfId="17093" xr:uid="{83A4BCFC-3A43-46A3-A6AC-14BC5FED3412}"/>
    <cellStyle name="Standard 6 2 4 2 2 4 2 3" xfId="17092" xr:uid="{FE6AD9DE-33D0-468F-B46A-8A3C3F73231B}"/>
    <cellStyle name="Standard 6 2 4 2 2 4 3" xfId="5133" xr:uid="{00000000-0005-0000-0000-000014140000}"/>
    <cellStyle name="Standard 6 2 4 2 2 4 3 2" xfId="17094" xr:uid="{A59BE52A-808B-4D18-9D6E-889CDCBEDEDB}"/>
    <cellStyle name="Standard 6 2 4 2 2 4 4" xfId="17091" xr:uid="{04E9CEF2-76DF-4171-A8C7-8F87A1578797}"/>
    <cellStyle name="Standard 6 2 4 2 2 5" xfId="5134" xr:uid="{00000000-0005-0000-0000-000015140000}"/>
    <cellStyle name="Standard 6 2 4 2 2 5 2" xfId="5135" xr:uid="{00000000-0005-0000-0000-000016140000}"/>
    <cellStyle name="Standard 6 2 4 2 2 5 2 2" xfId="5136" xr:uid="{00000000-0005-0000-0000-000017140000}"/>
    <cellStyle name="Standard 6 2 4 2 2 5 2 2 2" xfId="17097" xr:uid="{48C68840-91B5-4573-BFCC-D745FCC44FDE}"/>
    <cellStyle name="Standard 6 2 4 2 2 5 2 3" xfId="17096" xr:uid="{9D26C783-830D-4554-837C-839C08DEC90B}"/>
    <cellStyle name="Standard 6 2 4 2 2 5 3" xfId="5137" xr:uid="{00000000-0005-0000-0000-000018140000}"/>
    <cellStyle name="Standard 6 2 4 2 2 5 3 2" xfId="17098" xr:uid="{CAE0953A-3A8C-41BE-804E-F7649DD56124}"/>
    <cellStyle name="Standard 6 2 4 2 2 5 4" xfId="17095" xr:uid="{09FF0B45-7950-49B9-9E1D-D69FF77C3991}"/>
    <cellStyle name="Standard 6 2 4 2 2 6" xfId="5138" xr:uid="{00000000-0005-0000-0000-000019140000}"/>
    <cellStyle name="Standard 6 2 4 2 2 6 2" xfId="5139" xr:uid="{00000000-0005-0000-0000-00001A140000}"/>
    <cellStyle name="Standard 6 2 4 2 2 6 2 2" xfId="5140" xr:uid="{00000000-0005-0000-0000-00001B140000}"/>
    <cellStyle name="Standard 6 2 4 2 2 6 2 2 2" xfId="17101" xr:uid="{8318F6F2-918A-4572-922B-1125EB5C2600}"/>
    <cellStyle name="Standard 6 2 4 2 2 6 2 3" xfId="17100" xr:uid="{0EBE985A-7199-436A-94EC-7EA339054DDE}"/>
    <cellStyle name="Standard 6 2 4 2 2 6 3" xfId="5141" xr:uid="{00000000-0005-0000-0000-00001C140000}"/>
    <cellStyle name="Standard 6 2 4 2 2 6 3 2" xfId="17102" xr:uid="{D1798FE4-55AD-4078-8AC7-512A89E9762B}"/>
    <cellStyle name="Standard 6 2 4 2 2 6 4" xfId="17099" xr:uid="{C10293EA-59D5-4A6E-A0F6-CA133CE2CCF6}"/>
    <cellStyle name="Standard 6 2 4 2 2 7" xfId="5142" xr:uid="{00000000-0005-0000-0000-00001D140000}"/>
    <cellStyle name="Standard 6 2 4 2 2 7 2" xfId="5143" xr:uid="{00000000-0005-0000-0000-00001E140000}"/>
    <cellStyle name="Standard 6 2 4 2 2 7 2 2" xfId="5144" xr:uid="{00000000-0005-0000-0000-00001F140000}"/>
    <cellStyle name="Standard 6 2 4 2 2 7 2 2 2" xfId="17105" xr:uid="{42457410-E2F6-472A-87D6-BEC273B28E57}"/>
    <cellStyle name="Standard 6 2 4 2 2 7 2 3" xfId="17104" xr:uid="{73F95CD6-D106-402F-ACE9-6AADD390ABD8}"/>
    <cellStyle name="Standard 6 2 4 2 2 7 3" xfId="5145" xr:uid="{00000000-0005-0000-0000-000020140000}"/>
    <cellStyle name="Standard 6 2 4 2 2 7 3 2" xfId="17106" xr:uid="{3AF3BB44-0FC9-4F6A-89B2-A467AB6B816C}"/>
    <cellStyle name="Standard 6 2 4 2 2 7 4" xfId="17103" xr:uid="{FB3B2FED-5BBC-4EE0-8156-E1398AF863E0}"/>
    <cellStyle name="Standard 6 2 4 2 2 8" xfId="5146" xr:uid="{00000000-0005-0000-0000-000021140000}"/>
    <cellStyle name="Standard 6 2 4 2 2 8 2" xfId="5147" xr:uid="{00000000-0005-0000-0000-000022140000}"/>
    <cellStyle name="Standard 6 2 4 2 2 8 2 2" xfId="5148" xr:uid="{00000000-0005-0000-0000-000023140000}"/>
    <cellStyle name="Standard 6 2 4 2 2 8 2 2 2" xfId="17109" xr:uid="{6C63E961-D0E3-469E-B1EC-412F17256E47}"/>
    <cellStyle name="Standard 6 2 4 2 2 8 2 3" xfId="17108" xr:uid="{E8F04559-7DF1-422A-A8D5-7912CF5686F0}"/>
    <cellStyle name="Standard 6 2 4 2 2 8 3" xfId="5149" xr:uid="{00000000-0005-0000-0000-000024140000}"/>
    <cellStyle name="Standard 6 2 4 2 2 8 3 2" xfId="17110" xr:uid="{6D810E59-FF56-4AF4-86C5-83C8DB777B4B}"/>
    <cellStyle name="Standard 6 2 4 2 2 8 4" xfId="17107" xr:uid="{3A9E42B3-80CC-4AFE-8FE1-BFF3597F75BA}"/>
    <cellStyle name="Standard 6 2 4 2 2 9" xfId="5150" xr:uid="{00000000-0005-0000-0000-000025140000}"/>
    <cellStyle name="Standard 6 2 4 2 2 9 2" xfId="5151" xr:uid="{00000000-0005-0000-0000-000026140000}"/>
    <cellStyle name="Standard 6 2 4 2 2 9 2 2" xfId="17112" xr:uid="{9877B909-498A-4AED-ABF7-ADE3027DE1F5}"/>
    <cellStyle name="Standard 6 2 4 2 2 9 3" xfId="17111" xr:uid="{B5C90C3C-9092-4BD8-B6E5-F6361AAD2E56}"/>
    <cellStyle name="Standard 6 2 4 2 3" xfId="5152" xr:uid="{00000000-0005-0000-0000-000027140000}"/>
    <cellStyle name="Standard 6 2 4 2 3 10" xfId="17113" xr:uid="{C47FD3C5-CC03-41D0-8590-2883177AC33E}"/>
    <cellStyle name="Standard 6 2 4 2 3 2" xfId="5153" xr:uid="{00000000-0005-0000-0000-000028140000}"/>
    <cellStyle name="Standard 6 2 4 2 3 2 2" xfId="5154" xr:uid="{00000000-0005-0000-0000-000029140000}"/>
    <cellStyle name="Standard 6 2 4 2 3 2 2 2" xfId="5155" xr:uid="{00000000-0005-0000-0000-00002A140000}"/>
    <cellStyle name="Standard 6 2 4 2 3 2 2 2 2" xfId="17116" xr:uid="{0E1CE16A-A16B-4E4F-A355-EDE2AF122631}"/>
    <cellStyle name="Standard 6 2 4 2 3 2 2 3" xfId="17115" xr:uid="{4267292D-7C0E-42B1-911B-2E9EFB8661FC}"/>
    <cellStyle name="Standard 6 2 4 2 3 2 3" xfId="5156" xr:uid="{00000000-0005-0000-0000-00002B140000}"/>
    <cellStyle name="Standard 6 2 4 2 3 2 3 2" xfId="17117" xr:uid="{C1D7DC3C-2F8A-4374-A541-62B5F80682FB}"/>
    <cellStyle name="Standard 6 2 4 2 3 2 4" xfId="17114" xr:uid="{017C378D-DFF0-43C5-A9C8-56B42B07DD4F}"/>
    <cellStyle name="Standard 6 2 4 2 3 3" xfId="5157" xr:uid="{00000000-0005-0000-0000-00002C140000}"/>
    <cellStyle name="Standard 6 2 4 2 3 3 2" xfId="5158" xr:uid="{00000000-0005-0000-0000-00002D140000}"/>
    <cellStyle name="Standard 6 2 4 2 3 3 2 2" xfId="5159" xr:uid="{00000000-0005-0000-0000-00002E140000}"/>
    <cellStyle name="Standard 6 2 4 2 3 3 2 2 2" xfId="17120" xr:uid="{F8561240-9F64-4AB1-BE4D-BFC8B254CF4C}"/>
    <cellStyle name="Standard 6 2 4 2 3 3 2 3" xfId="17119" xr:uid="{328E73C6-9771-4F26-A74C-21D9A70ACE1C}"/>
    <cellStyle name="Standard 6 2 4 2 3 3 3" xfId="5160" xr:uid="{00000000-0005-0000-0000-00002F140000}"/>
    <cellStyle name="Standard 6 2 4 2 3 3 3 2" xfId="17121" xr:uid="{6E599E53-344C-45E9-8688-54D7ADC82AE1}"/>
    <cellStyle name="Standard 6 2 4 2 3 3 4" xfId="17118" xr:uid="{2DA86E74-8CBF-43EC-846B-E3414BB46390}"/>
    <cellStyle name="Standard 6 2 4 2 3 4" xfId="5161" xr:uid="{00000000-0005-0000-0000-000030140000}"/>
    <cellStyle name="Standard 6 2 4 2 3 4 2" xfId="5162" xr:uid="{00000000-0005-0000-0000-000031140000}"/>
    <cellStyle name="Standard 6 2 4 2 3 4 2 2" xfId="5163" xr:uid="{00000000-0005-0000-0000-000032140000}"/>
    <cellStyle name="Standard 6 2 4 2 3 4 2 2 2" xfId="17124" xr:uid="{826B834D-045B-467D-8FAE-5181E7DE552C}"/>
    <cellStyle name="Standard 6 2 4 2 3 4 2 3" xfId="17123" xr:uid="{0D046745-5E58-437B-8B8C-0DEEFFA27B4F}"/>
    <cellStyle name="Standard 6 2 4 2 3 4 3" xfId="5164" xr:uid="{00000000-0005-0000-0000-000033140000}"/>
    <cellStyle name="Standard 6 2 4 2 3 4 3 2" xfId="17125" xr:uid="{A97F6390-4C50-4975-849E-F2176AE4EA25}"/>
    <cellStyle name="Standard 6 2 4 2 3 4 4" xfId="17122" xr:uid="{C9C5B7D3-7C56-4993-A2C4-4E70D62C0326}"/>
    <cellStyle name="Standard 6 2 4 2 3 5" xfId="5165" xr:uid="{00000000-0005-0000-0000-000034140000}"/>
    <cellStyle name="Standard 6 2 4 2 3 5 2" xfId="5166" xr:uid="{00000000-0005-0000-0000-000035140000}"/>
    <cellStyle name="Standard 6 2 4 2 3 5 2 2" xfId="5167" xr:uid="{00000000-0005-0000-0000-000036140000}"/>
    <cellStyle name="Standard 6 2 4 2 3 5 2 2 2" xfId="17128" xr:uid="{9D87E96E-CE40-4505-883B-1E696C77ACAA}"/>
    <cellStyle name="Standard 6 2 4 2 3 5 2 3" xfId="17127" xr:uid="{DDEF1E3A-087F-4705-9678-33B99DEC4DE0}"/>
    <cellStyle name="Standard 6 2 4 2 3 5 3" xfId="5168" xr:uid="{00000000-0005-0000-0000-000037140000}"/>
    <cellStyle name="Standard 6 2 4 2 3 5 3 2" xfId="17129" xr:uid="{B65ADD16-1142-4653-8660-CFBE57ADB9C0}"/>
    <cellStyle name="Standard 6 2 4 2 3 5 4" xfId="17126" xr:uid="{AEBAF191-D8C0-445D-8631-012856EFCE49}"/>
    <cellStyle name="Standard 6 2 4 2 3 6" xfId="5169" xr:uid="{00000000-0005-0000-0000-000038140000}"/>
    <cellStyle name="Standard 6 2 4 2 3 6 2" xfId="5170" xr:uid="{00000000-0005-0000-0000-000039140000}"/>
    <cellStyle name="Standard 6 2 4 2 3 6 2 2" xfId="5171" xr:uid="{00000000-0005-0000-0000-00003A140000}"/>
    <cellStyle name="Standard 6 2 4 2 3 6 2 2 2" xfId="17132" xr:uid="{1B4C9838-4F48-4F08-87AC-54392515F254}"/>
    <cellStyle name="Standard 6 2 4 2 3 6 2 3" xfId="17131" xr:uid="{F8798B4E-E565-4990-8926-F96804762A0C}"/>
    <cellStyle name="Standard 6 2 4 2 3 6 3" xfId="5172" xr:uid="{00000000-0005-0000-0000-00003B140000}"/>
    <cellStyle name="Standard 6 2 4 2 3 6 3 2" xfId="17133" xr:uid="{56D3E0BE-5E2E-4226-B46C-D4A953BB4384}"/>
    <cellStyle name="Standard 6 2 4 2 3 6 4" xfId="17130" xr:uid="{9ACB8BFA-25AC-42D9-B166-DFDBEF815223}"/>
    <cellStyle name="Standard 6 2 4 2 3 7" xfId="5173" xr:uid="{00000000-0005-0000-0000-00003C140000}"/>
    <cellStyle name="Standard 6 2 4 2 3 7 2" xfId="5174" xr:uid="{00000000-0005-0000-0000-00003D140000}"/>
    <cellStyle name="Standard 6 2 4 2 3 7 2 2" xfId="5175" xr:uid="{00000000-0005-0000-0000-00003E140000}"/>
    <cellStyle name="Standard 6 2 4 2 3 7 2 2 2" xfId="17136" xr:uid="{400D5B97-AF57-4E33-A5AD-0ACE5E64BBDA}"/>
    <cellStyle name="Standard 6 2 4 2 3 7 2 3" xfId="17135" xr:uid="{213D8472-78C0-4FE9-B863-0E2A90381C21}"/>
    <cellStyle name="Standard 6 2 4 2 3 7 3" xfId="5176" xr:uid="{00000000-0005-0000-0000-00003F140000}"/>
    <cellStyle name="Standard 6 2 4 2 3 7 3 2" xfId="17137" xr:uid="{52475EDE-39E0-4631-B294-93BE47C0CD5F}"/>
    <cellStyle name="Standard 6 2 4 2 3 7 4" xfId="17134" xr:uid="{B24D7529-B7C6-48DD-847C-8AA130E2D4B7}"/>
    <cellStyle name="Standard 6 2 4 2 3 8" xfId="5177" xr:uid="{00000000-0005-0000-0000-000040140000}"/>
    <cellStyle name="Standard 6 2 4 2 3 8 2" xfId="5178" xr:uid="{00000000-0005-0000-0000-000041140000}"/>
    <cellStyle name="Standard 6 2 4 2 3 8 2 2" xfId="17139" xr:uid="{677C9A01-7D07-446D-82B0-23CC96E67ED2}"/>
    <cellStyle name="Standard 6 2 4 2 3 8 3" xfId="17138" xr:uid="{73FBFDEE-A833-45EC-95BB-3EC39A682503}"/>
    <cellStyle name="Standard 6 2 4 2 3 9" xfId="5179" xr:uid="{00000000-0005-0000-0000-000042140000}"/>
    <cellStyle name="Standard 6 2 4 2 3 9 2" xfId="17140" xr:uid="{9BF8C722-85FE-4D8F-A1EA-6584EC765478}"/>
    <cellStyle name="Standard 6 2 4 2 4" xfId="5180" xr:uid="{00000000-0005-0000-0000-000043140000}"/>
    <cellStyle name="Standard 6 2 4 2 4 2" xfId="5181" xr:uid="{00000000-0005-0000-0000-000044140000}"/>
    <cellStyle name="Standard 6 2 4 2 4 2 2" xfId="5182" xr:uid="{00000000-0005-0000-0000-000045140000}"/>
    <cellStyle name="Standard 6 2 4 2 4 2 2 2" xfId="17143" xr:uid="{FAC65ADB-61CD-4CA5-B1FF-5F2EF3775420}"/>
    <cellStyle name="Standard 6 2 4 2 4 2 3" xfId="17142" xr:uid="{90DBB809-4485-4E10-BACF-0E5D4AD7292C}"/>
    <cellStyle name="Standard 6 2 4 2 4 3" xfId="5183" xr:uid="{00000000-0005-0000-0000-000046140000}"/>
    <cellStyle name="Standard 6 2 4 2 4 3 2" xfId="17144" xr:uid="{3639BB76-2FF1-4D4C-8C7E-80242E7C0A66}"/>
    <cellStyle name="Standard 6 2 4 2 4 4" xfId="17141" xr:uid="{C542F71C-2B2D-4E3C-A200-BFB9776DCED3}"/>
    <cellStyle name="Standard 6 2 4 2 5" xfId="5184" xr:uid="{00000000-0005-0000-0000-000047140000}"/>
    <cellStyle name="Standard 6 2 4 2 5 2" xfId="5185" xr:uid="{00000000-0005-0000-0000-000048140000}"/>
    <cellStyle name="Standard 6 2 4 2 5 2 2" xfId="5186" xr:uid="{00000000-0005-0000-0000-000049140000}"/>
    <cellStyle name="Standard 6 2 4 2 5 2 2 2" xfId="17147" xr:uid="{B0407B13-EEDD-4B05-A67F-4861D5E63A3F}"/>
    <cellStyle name="Standard 6 2 4 2 5 2 3" xfId="17146" xr:uid="{F0EE2605-C616-4236-8F6E-C592916BF21F}"/>
    <cellStyle name="Standard 6 2 4 2 5 3" xfId="5187" xr:uid="{00000000-0005-0000-0000-00004A140000}"/>
    <cellStyle name="Standard 6 2 4 2 5 3 2" xfId="17148" xr:uid="{C225FD4D-D6A8-4D6F-B9A2-AB7B9801B05F}"/>
    <cellStyle name="Standard 6 2 4 2 5 4" xfId="17145" xr:uid="{567E0540-5664-44FF-A27B-A9B0F4B47291}"/>
    <cellStyle name="Standard 6 2 4 2 6" xfId="5188" xr:uid="{00000000-0005-0000-0000-00004B140000}"/>
    <cellStyle name="Standard 6 2 4 2 6 2" xfId="5189" xr:uid="{00000000-0005-0000-0000-00004C140000}"/>
    <cellStyle name="Standard 6 2 4 2 6 2 2" xfId="5190" xr:uid="{00000000-0005-0000-0000-00004D140000}"/>
    <cellStyle name="Standard 6 2 4 2 6 2 2 2" xfId="17151" xr:uid="{BD1F2384-2E45-4695-9E76-557E4F69DB19}"/>
    <cellStyle name="Standard 6 2 4 2 6 2 3" xfId="17150" xr:uid="{B7623DF6-F0A8-462C-98CD-7F3CB6ED6AB5}"/>
    <cellStyle name="Standard 6 2 4 2 6 3" xfId="5191" xr:uid="{00000000-0005-0000-0000-00004E140000}"/>
    <cellStyle name="Standard 6 2 4 2 6 3 2" xfId="17152" xr:uid="{372AC92D-8E0B-46B7-B079-0A0E70918B91}"/>
    <cellStyle name="Standard 6 2 4 2 6 4" xfId="17149" xr:uid="{F564C7D9-E434-4E5B-83AE-45A79DA511DC}"/>
    <cellStyle name="Standard 6 2 4 2 7" xfId="5192" xr:uid="{00000000-0005-0000-0000-00004F140000}"/>
    <cellStyle name="Standard 6 2 4 2 7 2" xfId="5193" xr:uid="{00000000-0005-0000-0000-000050140000}"/>
    <cellStyle name="Standard 6 2 4 2 7 2 2" xfId="5194" xr:uid="{00000000-0005-0000-0000-000051140000}"/>
    <cellStyle name="Standard 6 2 4 2 7 2 2 2" xfId="17155" xr:uid="{4FC15688-34DD-441E-98B0-11DE64C329EA}"/>
    <cellStyle name="Standard 6 2 4 2 7 2 3" xfId="17154" xr:uid="{8704D57A-1E1B-44CA-BE3E-5337BC5F2DE1}"/>
    <cellStyle name="Standard 6 2 4 2 7 3" xfId="5195" xr:uid="{00000000-0005-0000-0000-000052140000}"/>
    <cellStyle name="Standard 6 2 4 2 7 3 2" xfId="17156" xr:uid="{D00E51F1-B7EC-42D1-99EE-9FB98AAEEBAE}"/>
    <cellStyle name="Standard 6 2 4 2 7 4" xfId="17153" xr:uid="{E257A011-D673-4C52-9138-F86B9AB66CBB}"/>
    <cellStyle name="Standard 6 2 4 2 8" xfId="5196" xr:uid="{00000000-0005-0000-0000-000053140000}"/>
    <cellStyle name="Standard 6 2 4 2 8 2" xfId="5197" xr:uid="{00000000-0005-0000-0000-000054140000}"/>
    <cellStyle name="Standard 6 2 4 2 8 2 2" xfId="5198" xr:uid="{00000000-0005-0000-0000-000055140000}"/>
    <cellStyle name="Standard 6 2 4 2 8 2 2 2" xfId="17159" xr:uid="{975E9061-BEE4-45E6-97F7-DEAC4D1775D4}"/>
    <cellStyle name="Standard 6 2 4 2 8 2 3" xfId="17158" xr:uid="{7033C7DC-D1FF-47B2-BDC1-B5F04F504B55}"/>
    <cellStyle name="Standard 6 2 4 2 8 3" xfId="5199" xr:uid="{00000000-0005-0000-0000-000056140000}"/>
    <cellStyle name="Standard 6 2 4 2 8 3 2" xfId="17160" xr:uid="{94BD4558-1051-4240-8F9E-CD98D77260EB}"/>
    <cellStyle name="Standard 6 2 4 2 8 4" xfId="17157" xr:uid="{76D04003-5086-46C4-94F5-30EDE65CDBF1}"/>
    <cellStyle name="Standard 6 2 4 2 9" xfId="5200" xr:uid="{00000000-0005-0000-0000-000057140000}"/>
    <cellStyle name="Standard 6 2 4 2 9 2" xfId="5201" xr:uid="{00000000-0005-0000-0000-000058140000}"/>
    <cellStyle name="Standard 6 2 4 2 9 2 2" xfId="5202" xr:uid="{00000000-0005-0000-0000-000059140000}"/>
    <cellStyle name="Standard 6 2 4 2 9 2 2 2" xfId="17163" xr:uid="{E23262F9-06B4-4948-99D8-A7397BD57E38}"/>
    <cellStyle name="Standard 6 2 4 2 9 2 3" xfId="17162" xr:uid="{5F2D03FF-97B3-4375-9B1C-4E6A04288E99}"/>
    <cellStyle name="Standard 6 2 4 2 9 3" xfId="5203" xr:uid="{00000000-0005-0000-0000-00005A140000}"/>
    <cellStyle name="Standard 6 2 4 2 9 3 2" xfId="17164" xr:uid="{6C44F5D2-CD3A-4A67-A60E-3C022F640F08}"/>
    <cellStyle name="Standard 6 2 4 2 9 4" xfId="17161" xr:uid="{89D5774A-A61A-4AC0-96EA-E4029A54ED1D}"/>
    <cellStyle name="Standard 6 2 4 20" xfId="5204" xr:uid="{00000000-0005-0000-0000-00005B140000}"/>
    <cellStyle name="Standard 6 2 4 20 2" xfId="5205" xr:uid="{00000000-0005-0000-0000-00005C140000}"/>
    <cellStyle name="Standard 6 2 4 20 2 2" xfId="17166" xr:uid="{3EFB2583-8BDF-44E7-B619-DF6EB5954087}"/>
    <cellStyle name="Standard 6 2 4 20 3" xfId="17165" xr:uid="{FB6F3BA6-4AAE-42AE-B33B-E8E63B080248}"/>
    <cellStyle name="Standard 6 2 4 21" xfId="5206" xr:uid="{00000000-0005-0000-0000-00005D140000}"/>
    <cellStyle name="Standard 6 2 4 21 2" xfId="17167" xr:uid="{947FC555-BF45-453D-90EE-ECF543B6BED7}"/>
    <cellStyle name="Standard 6 2 4 22" xfId="5207" xr:uid="{00000000-0005-0000-0000-00005E140000}"/>
    <cellStyle name="Standard 6 2 4 22 2" xfId="17168" xr:uid="{585D6A23-C5CA-4620-BFE0-7F37CF7A3E51}"/>
    <cellStyle name="Standard 6 2 4 23" xfId="17012" xr:uid="{9A289309-6C8B-41A0-8BCE-13CDA78994FD}"/>
    <cellStyle name="Standard 6 2 4 3" xfId="5208" xr:uid="{00000000-0005-0000-0000-00005F140000}"/>
    <cellStyle name="Standard 6 2 4 3 10" xfId="5209" xr:uid="{00000000-0005-0000-0000-000060140000}"/>
    <cellStyle name="Standard 6 2 4 3 10 2" xfId="17170" xr:uid="{14055933-779D-41E4-AC40-DFE972952B89}"/>
    <cellStyle name="Standard 6 2 4 3 11" xfId="17169" xr:uid="{D046B45E-6A22-400C-89BE-9BE91AAE5DEF}"/>
    <cellStyle name="Standard 6 2 4 3 2" xfId="5210" xr:uid="{00000000-0005-0000-0000-000061140000}"/>
    <cellStyle name="Standard 6 2 4 3 2 10" xfId="17171" xr:uid="{231BB4AC-13C7-4082-BE5E-AAAD818DCAD2}"/>
    <cellStyle name="Standard 6 2 4 3 2 2" xfId="5211" xr:uid="{00000000-0005-0000-0000-000062140000}"/>
    <cellStyle name="Standard 6 2 4 3 2 2 2" xfId="5212" xr:uid="{00000000-0005-0000-0000-000063140000}"/>
    <cellStyle name="Standard 6 2 4 3 2 2 2 2" xfId="5213" xr:uid="{00000000-0005-0000-0000-000064140000}"/>
    <cellStyle name="Standard 6 2 4 3 2 2 2 2 2" xfId="17174" xr:uid="{E810A8D5-5888-4023-817A-F3F8448D0020}"/>
    <cellStyle name="Standard 6 2 4 3 2 2 2 3" xfId="17173" xr:uid="{62844A40-AD26-4727-B5D2-37820E23FE23}"/>
    <cellStyle name="Standard 6 2 4 3 2 2 3" xfId="5214" xr:uid="{00000000-0005-0000-0000-000065140000}"/>
    <cellStyle name="Standard 6 2 4 3 2 2 3 2" xfId="17175" xr:uid="{D05701FA-8E0F-4E95-A11B-0C5ADDDD0899}"/>
    <cellStyle name="Standard 6 2 4 3 2 2 4" xfId="17172" xr:uid="{AF73C1BD-CB3B-4C1B-A792-4B4B1C9F2309}"/>
    <cellStyle name="Standard 6 2 4 3 2 3" xfId="5215" xr:uid="{00000000-0005-0000-0000-000066140000}"/>
    <cellStyle name="Standard 6 2 4 3 2 3 2" xfId="5216" xr:uid="{00000000-0005-0000-0000-000067140000}"/>
    <cellStyle name="Standard 6 2 4 3 2 3 2 2" xfId="5217" xr:uid="{00000000-0005-0000-0000-000068140000}"/>
    <cellStyle name="Standard 6 2 4 3 2 3 2 2 2" xfId="17178" xr:uid="{2C93E501-E1FF-40CF-804D-6CA861740D24}"/>
    <cellStyle name="Standard 6 2 4 3 2 3 2 3" xfId="17177" xr:uid="{7CD0AA17-78DB-494C-8E53-A2D1FC55C8E7}"/>
    <cellStyle name="Standard 6 2 4 3 2 3 3" xfId="5218" xr:uid="{00000000-0005-0000-0000-000069140000}"/>
    <cellStyle name="Standard 6 2 4 3 2 3 3 2" xfId="17179" xr:uid="{A27D0DAD-B847-4537-AA6F-FD3688A6B9F3}"/>
    <cellStyle name="Standard 6 2 4 3 2 3 4" xfId="17176" xr:uid="{6DA03E5F-4468-4706-80E7-EDEBF65D3590}"/>
    <cellStyle name="Standard 6 2 4 3 2 4" xfId="5219" xr:uid="{00000000-0005-0000-0000-00006A140000}"/>
    <cellStyle name="Standard 6 2 4 3 2 4 2" xfId="5220" xr:uid="{00000000-0005-0000-0000-00006B140000}"/>
    <cellStyle name="Standard 6 2 4 3 2 4 2 2" xfId="5221" xr:uid="{00000000-0005-0000-0000-00006C140000}"/>
    <cellStyle name="Standard 6 2 4 3 2 4 2 2 2" xfId="17182" xr:uid="{6922E592-B398-412A-9F37-2D2299A5223C}"/>
    <cellStyle name="Standard 6 2 4 3 2 4 2 3" xfId="17181" xr:uid="{5A8ED5DF-21D9-4181-A05C-37E44E74C052}"/>
    <cellStyle name="Standard 6 2 4 3 2 4 3" xfId="5222" xr:uid="{00000000-0005-0000-0000-00006D140000}"/>
    <cellStyle name="Standard 6 2 4 3 2 4 3 2" xfId="17183" xr:uid="{8EB6A895-C2B8-4063-8D32-AEEC30288237}"/>
    <cellStyle name="Standard 6 2 4 3 2 4 4" xfId="17180" xr:uid="{51E6B91C-DACA-47F9-B04F-CD067966CBD5}"/>
    <cellStyle name="Standard 6 2 4 3 2 5" xfId="5223" xr:uid="{00000000-0005-0000-0000-00006E140000}"/>
    <cellStyle name="Standard 6 2 4 3 2 5 2" xfId="5224" xr:uid="{00000000-0005-0000-0000-00006F140000}"/>
    <cellStyle name="Standard 6 2 4 3 2 5 2 2" xfId="5225" xr:uid="{00000000-0005-0000-0000-000070140000}"/>
    <cellStyle name="Standard 6 2 4 3 2 5 2 2 2" xfId="17186" xr:uid="{16999AAA-2ECA-4169-ACDA-28B03BB31A0A}"/>
    <cellStyle name="Standard 6 2 4 3 2 5 2 3" xfId="17185" xr:uid="{33221FB3-AE51-428D-BFAF-BA24534DC265}"/>
    <cellStyle name="Standard 6 2 4 3 2 5 3" xfId="5226" xr:uid="{00000000-0005-0000-0000-000071140000}"/>
    <cellStyle name="Standard 6 2 4 3 2 5 3 2" xfId="17187" xr:uid="{0EEB90F7-C6C1-4913-B451-1102F8469EC2}"/>
    <cellStyle name="Standard 6 2 4 3 2 5 4" xfId="17184" xr:uid="{085941FA-5E0D-4CA1-A5CF-5CF30602B2A0}"/>
    <cellStyle name="Standard 6 2 4 3 2 6" xfId="5227" xr:uid="{00000000-0005-0000-0000-000072140000}"/>
    <cellStyle name="Standard 6 2 4 3 2 6 2" xfId="5228" xr:uid="{00000000-0005-0000-0000-000073140000}"/>
    <cellStyle name="Standard 6 2 4 3 2 6 2 2" xfId="5229" xr:uid="{00000000-0005-0000-0000-000074140000}"/>
    <cellStyle name="Standard 6 2 4 3 2 6 2 2 2" xfId="17190" xr:uid="{B1FC5E76-F8C8-45E8-BBAC-5FF731B78848}"/>
    <cellStyle name="Standard 6 2 4 3 2 6 2 3" xfId="17189" xr:uid="{1D142DD8-51C4-4E42-B750-34337F24F70F}"/>
    <cellStyle name="Standard 6 2 4 3 2 6 3" xfId="5230" xr:uid="{00000000-0005-0000-0000-000075140000}"/>
    <cellStyle name="Standard 6 2 4 3 2 6 3 2" xfId="17191" xr:uid="{48C052BC-5429-4184-91C9-72F29BDF81B7}"/>
    <cellStyle name="Standard 6 2 4 3 2 6 4" xfId="17188" xr:uid="{49EA8A5E-BBDE-45C0-8F17-5CF569210DE2}"/>
    <cellStyle name="Standard 6 2 4 3 2 7" xfId="5231" xr:uid="{00000000-0005-0000-0000-000076140000}"/>
    <cellStyle name="Standard 6 2 4 3 2 7 2" xfId="5232" xr:uid="{00000000-0005-0000-0000-000077140000}"/>
    <cellStyle name="Standard 6 2 4 3 2 7 2 2" xfId="5233" xr:uid="{00000000-0005-0000-0000-000078140000}"/>
    <cellStyle name="Standard 6 2 4 3 2 7 2 2 2" xfId="17194" xr:uid="{3C1FB2FE-5811-4BFF-8D30-82587152E86B}"/>
    <cellStyle name="Standard 6 2 4 3 2 7 2 3" xfId="17193" xr:uid="{B557E009-FB03-4EAE-B5E0-2707D5814533}"/>
    <cellStyle name="Standard 6 2 4 3 2 7 3" xfId="5234" xr:uid="{00000000-0005-0000-0000-000079140000}"/>
    <cellStyle name="Standard 6 2 4 3 2 7 3 2" xfId="17195" xr:uid="{ABA6BF02-CA93-4C97-AE7C-B1292780C2C2}"/>
    <cellStyle name="Standard 6 2 4 3 2 7 4" xfId="17192" xr:uid="{EB0DC280-7AA3-4F06-B569-8A295793B5E4}"/>
    <cellStyle name="Standard 6 2 4 3 2 8" xfId="5235" xr:uid="{00000000-0005-0000-0000-00007A140000}"/>
    <cellStyle name="Standard 6 2 4 3 2 8 2" xfId="5236" xr:uid="{00000000-0005-0000-0000-00007B140000}"/>
    <cellStyle name="Standard 6 2 4 3 2 8 2 2" xfId="17197" xr:uid="{96C2E250-F23F-4A44-984C-D2C37E2C47F7}"/>
    <cellStyle name="Standard 6 2 4 3 2 8 3" xfId="17196" xr:uid="{99CBCE67-AD15-40DD-B2E0-02E5C3D45D7B}"/>
    <cellStyle name="Standard 6 2 4 3 2 9" xfId="5237" xr:uid="{00000000-0005-0000-0000-00007C140000}"/>
    <cellStyle name="Standard 6 2 4 3 2 9 2" xfId="17198" xr:uid="{997D9FA4-4D4C-4A91-B12A-66F3F6596217}"/>
    <cellStyle name="Standard 6 2 4 3 3" xfId="5238" xr:uid="{00000000-0005-0000-0000-00007D140000}"/>
    <cellStyle name="Standard 6 2 4 3 3 2" xfId="5239" xr:uid="{00000000-0005-0000-0000-00007E140000}"/>
    <cellStyle name="Standard 6 2 4 3 3 2 2" xfId="5240" xr:uid="{00000000-0005-0000-0000-00007F140000}"/>
    <cellStyle name="Standard 6 2 4 3 3 2 2 2" xfId="17201" xr:uid="{47D8A9F8-D4A2-4BDC-852B-49E363A2513E}"/>
    <cellStyle name="Standard 6 2 4 3 3 2 3" xfId="17200" xr:uid="{04EDA19E-2107-4898-A03D-E958C8201AB0}"/>
    <cellStyle name="Standard 6 2 4 3 3 3" xfId="5241" xr:uid="{00000000-0005-0000-0000-000080140000}"/>
    <cellStyle name="Standard 6 2 4 3 3 3 2" xfId="17202" xr:uid="{33538276-5C8B-42EF-83F5-2E5CAB8FF7C1}"/>
    <cellStyle name="Standard 6 2 4 3 3 4" xfId="17199" xr:uid="{46B796E9-8C71-47B9-A16A-87399AF6D4B1}"/>
    <cellStyle name="Standard 6 2 4 3 4" xfId="5242" xr:uid="{00000000-0005-0000-0000-000081140000}"/>
    <cellStyle name="Standard 6 2 4 3 4 2" xfId="5243" xr:uid="{00000000-0005-0000-0000-000082140000}"/>
    <cellStyle name="Standard 6 2 4 3 4 2 2" xfId="5244" xr:uid="{00000000-0005-0000-0000-000083140000}"/>
    <cellStyle name="Standard 6 2 4 3 4 2 2 2" xfId="17205" xr:uid="{44EDA8A5-CE62-4DFE-BF0D-B235A0AACA7D}"/>
    <cellStyle name="Standard 6 2 4 3 4 2 3" xfId="17204" xr:uid="{092818DF-5E8B-470B-9B65-93DC964FC8AB}"/>
    <cellStyle name="Standard 6 2 4 3 4 3" xfId="5245" xr:uid="{00000000-0005-0000-0000-000084140000}"/>
    <cellStyle name="Standard 6 2 4 3 4 3 2" xfId="17206" xr:uid="{96919D20-29C1-4F55-AFB8-742BF9B3F9A5}"/>
    <cellStyle name="Standard 6 2 4 3 4 4" xfId="17203" xr:uid="{534CBC99-E501-47DF-8B9C-CA62C818ED37}"/>
    <cellStyle name="Standard 6 2 4 3 5" xfId="5246" xr:uid="{00000000-0005-0000-0000-000085140000}"/>
    <cellStyle name="Standard 6 2 4 3 5 2" xfId="5247" xr:uid="{00000000-0005-0000-0000-000086140000}"/>
    <cellStyle name="Standard 6 2 4 3 5 2 2" xfId="5248" xr:uid="{00000000-0005-0000-0000-000087140000}"/>
    <cellStyle name="Standard 6 2 4 3 5 2 2 2" xfId="17209" xr:uid="{47507E56-C17A-41F9-BB23-27CB245DD90B}"/>
    <cellStyle name="Standard 6 2 4 3 5 2 3" xfId="17208" xr:uid="{3A6A5246-E953-405F-9900-99EC9BAF9F18}"/>
    <cellStyle name="Standard 6 2 4 3 5 3" xfId="5249" xr:uid="{00000000-0005-0000-0000-000088140000}"/>
    <cellStyle name="Standard 6 2 4 3 5 3 2" xfId="17210" xr:uid="{AB738E1D-0B04-4E89-A945-5F08052C7A39}"/>
    <cellStyle name="Standard 6 2 4 3 5 4" xfId="17207" xr:uid="{68324292-20CE-49D5-AA67-090991600239}"/>
    <cellStyle name="Standard 6 2 4 3 6" xfId="5250" xr:uid="{00000000-0005-0000-0000-000089140000}"/>
    <cellStyle name="Standard 6 2 4 3 6 2" xfId="5251" xr:uid="{00000000-0005-0000-0000-00008A140000}"/>
    <cellStyle name="Standard 6 2 4 3 6 2 2" xfId="5252" xr:uid="{00000000-0005-0000-0000-00008B140000}"/>
    <cellStyle name="Standard 6 2 4 3 6 2 2 2" xfId="17213" xr:uid="{B08F1F87-16F7-45F2-8532-543BB6AE0730}"/>
    <cellStyle name="Standard 6 2 4 3 6 2 3" xfId="17212" xr:uid="{157835E2-DD67-4214-B7B1-1610D212221B}"/>
    <cellStyle name="Standard 6 2 4 3 6 3" xfId="5253" xr:uid="{00000000-0005-0000-0000-00008C140000}"/>
    <cellStyle name="Standard 6 2 4 3 6 3 2" xfId="17214" xr:uid="{BBA44CC7-64B5-4E4C-BA4A-384944F1B0A5}"/>
    <cellStyle name="Standard 6 2 4 3 6 4" xfId="17211" xr:uid="{1C81E668-B841-404C-8D59-F6F9AEE1D5D5}"/>
    <cellStyle name="Standard 6 2 4 3 7" xfId="5254" xr:uid="{00000000-0005-0000-0000-00008D140000}"/>
    <cellStyle name="Standard 6 2 4 3 7 2" xfId="5255" xr:uid="{00000000-0005-0000-0000-00008E140000}"/>
    <cellStyle name="Standard 6 2 4 3 7 2 2" xfId="5256" xr:uid="{00000000-0005-0000-0000-00008F140000}"/>
    <cellStyle name="Standard 6 2 4 3 7 2 2 2" xfId="17217" xr:uid="{82E8AAA6-008E-438B-A368-A375B7F7120C}"/>
    <cellStyle name="Standard 6 2 4 3 7 2 3" xfId="17216" xr:uid="{9948FF30-8C6F-4DC0-B366-DEDC1D04AA9F}"/>
    <cellStyle name="Standard 6 2 4 3 7 3" xfId="5257" xr:uid="{00000000-0005-0000-0000-000090140000}"/>
    <cellStyle name="Standard 6 2 4 3 7 3 2" xfId="17218" xr:uid="{C03569F7-ED3E-40C3-BC03-A77364D2224A}"/>
    <cellStyle name="Standard 6 2 4 3 7 4" xfId="17215" xr:uid="{27893F0D-F1FD-4AA8-BB41-95C124A23CE4}"/>
    <cellStyle name="Standard 6 2 4 3 8" xfId="5258" xr:uid="{00000000-0005-0000-0000-000091140000}"/>
    <cellStyle name="Standard 6 2 4 3 8 2" xfId="5259" xr:uid="{00000000-0005-0000-0000-000092140000}"/>
    <cellStyle name="Standard 6 2 4 3 8 2 2" xfId="5260" xr:uid="{00000000-0005-0000-0000-000093140000}"/>
    <cellStyle name="Standard 6 2 4 3 8 2 2 2" xfId="17221" xr:uid="{2DFF3D16-3234-4CF5-9E50-72F2E680B7BA}"/>
    <cellStyle name="Standard 6 2 4 3 8 2 3" xfId="17220" xr:uid="{F1D842B0-1352-45EF-BC7E-95BB469746D4}"/>
    <cellStyle name="Standard 6 2 4 3 8 3" xfId="5261" xr:uid="{00000000-0005-0000-0000-000094140000}"/>
    <cellStyle name="Standard 6 2 4 3 8 3 2" xfId="17222" xr:uid="{C4BCEDE6-0EF6-46C1-BDEC-731EBED40041}"/>
    <cellStyle name="Standard 6 2 4 3 8 4" xfId="17219" xr:uid="{A59E4CE5-34E0-48A2-92FF-3235DC75B06E}"/>
    <cellStyle name="Standard 6 2 4 3 9" xfId="5262" xr:uid="{00000000-0005-0000-0000-000095140000}"/>
    <cellStyle name="Standard 6 2 4 3 9 2" xfId="5263" xr:uid="{00000000-0005-0000-0000-000096140000}"/>
    <cellStyle name="Standard 6 2 4 3 9 2 2" xfId="17224" xr:uid="{FFAF1C2F-4331-4E63-B8A7-57310703DA55}"/>
    <cellStyle name="Standard 6 2 4 3 9 3" xfId="17223" xr:uid="{BC7A0714-BF7C-401E-B261-19B4BC7E9851}"/>
    <cellStyle name="Standard 6 2 4 4" xfId="5264" xr:uid="{00000000-0005-0000-0000-000097140000}"/>
    <cellStyle name="Standard 6 2 4 4 10" xfId="5265" xr:uid="{00000000-0005-0000-0000-000098140000}"/>
    <cellStyle name="Standard 6 2 4 4 10 2" xfId="17226" xr:uid="{B7BE5C83-F70E-424A-B38A-DABFE196C7EA}"/>
    <cellStyle name="Standard 6 2 4 4 11" xfId="17225" xr:uid="{E84B2149-10FB-4394-9502-438A210048D5}"/>
    <cellStyle name="Standard 6 2 4 4 2" xfId="5266" xr:uid="{00000000-0005-0000-0000-000099140000}"/>
    <cellStyle name="Standard 6 2 4 4 2 10" xfId="17227" xr:uid="{7B52F7FB-D065-4506-95F8-1989E39F7A29}"/>
    <cellStyle name="Standard 6 2 4 4 2 2" xfId="5267" xr:uid="{00000000-0005-0000-0000-00009A140000}"/>
    <cellStyle name="Standard 6 2 4 4 2 2 2" xfId="5268" xr:uid="{00000000-0005-0000-0000-00009B140000}"/>
    <cellStyle name="Standard 6 2 4 4 2 2 2 2" xfId="5269" xr:uid="{00000000-0005-0000-0000-00009C140000}"/>
    <cellStyle name="Standard 6 2 4 4 2 2 2 2 2" xfId="17230" xr:uid="{9122675E-F725-45AD-B63E-6E26BCC42A0C}"/>
    <cellStyle name="Standard 6 2 4 4 2 2 2 3" xfId="17229" xr:uid="{19508665-2F9B-42D5-A1EB-0C4A583190CC}"/>
    <cellStyle name="Standard 6 2 4 4 2 2 3" xfId="5270" xr:uid="{00000000-0005-0000-0000-00009D140000}"/>
    <cellStyle name="Standard 6 2 4 4 2 2 3 2" xfId="17231" xr:uid="{A11686C5-BFE1-4DA2-8BB0-A2B2B5FE78A0}"/>
    <cellStyle name="Standard 6 2 4 4 2 2 4" xfId="17228" xr:uid="{2A6E42BF-A75E-486E-9F89-13341EE6863A}"/>
    <cellStyle name="Standard 6 2 4 4 2 3" xfId="5271" xr:uid="{00000000-0005-0000-0000-00009E140000}"/>
    <cellStyle name="Standard 6 2 4 4 2 3 2" xfId="5272" xr:uid="{00000000-0005-0000-0000-00009F140000}"/>
    <cellStyle name="Standard 6 2 4 4 2 3 2 2" xfId="5273" xr:uid="{00000000-0005-0000-0000-0000A0140000}"/>
    <cellStyle name="Standard 6 2 4 4 2 3 2 2 2" xfId="17234" xr:uid="{C01B411A-59A7-49B5-B01D-6A8E98E307B1}"/>
    <cellStyle name="Standard 6 2 4 4 2 3 2 3" xfId="17233" xr:uid="{55D14B07-8B75-47BA-A5EF-258A03973FA3}"/>
    <cellStyle name="Standard 6 2 4 4 2 3 3" xfId="5274" xr:uid="{00000000-0005-0000-0000-0000A1140000}"/>
    <cellStyle name="Standard 6 2 4 4 2 3 3 2" xfId="17235" xr:uid="{5D8FFAD6-A546-44A3-AD06-5FA24AE59198}"/>
    <cellStyle name="Standard 6 2 4 4 2 3 4" xfId="17232" xr:uid="{1FB73138-5D92-4C5C-A4EE-8C4F9FEAA680}"/>
    <cellStyle name="Standard 6 2 4 4 2 4" xfId="5275" xr:uid="{00000000-0005-0000-0000-0000A2140000}"/>
    <cellStyle name="Standard 6 2 4 4 2 4 2" xfId="5276" xr:uid="{00000000-0005-0000-0000-0000A3140000}"/>
    <cellStyle name="Standard 6 2 4 4 2 4 2 2" xfId="5277" xr:uid="{00000000-0005-0000-0000-0000A4140000}"/>
    <cellStyle name="Standard 6 2 4 4 2 4 2 2 2" xfId="17238" xr:uid="{FA462653-533B-493F-9F17-15F097E01AA8}"/>
    <cellStyle name="Standard 6 2 4 4 2 4 2 3" xfId="17237" xr:uid="{ECEF4251-5310-490E-8DCC-218CE83B7776}"/>
    <cellStyle name="Standard 6 2 4 4 2 4 3" xfId="5278" xr:uid="{00000000-0005-0000-0000-0000A5140000}"/>
    <cellStyle name="Standard 6 2 4 4 2 4 3 2" xfId="17239" xr:uid="{B3D86E9D-5489-491D-9734-1789CB7AB54B}"/>
    <cellStyle name="Standard 6 2 4 4 2 4 4" xfId="17236" xr:uid="{5FF824A1-B3FC-47B1-B36A-D7FF0ABB1BD3}"/>
    <cellStyle name="Standard 6 2 4 4 2 5" xfId="5279" xr:uid="{00000000-0005-0000-0000-0000A6140000}"/>
    <cellStyle name="Standard 6 2 4 4 2 5 2" xfId="5280" xr:uid="{00000000-0005-0000-0000-0000A7140000}"/>
    <cellStyle name="Standard 6 2 4 4 2 5 2 2" xfId="5281" xr:uid="{00000000-0005-0000-0000-0000A8140000}"/>
    <cellStyle name="Standard 6 2 4 4 2 5 2 2 2" xfId="17242" xr:uid="{2B4A1DDC-1DB2-4E08-9425-652F4F09AAFD}"/>
    <cellStyle name="Standard 6 2 4 4 2 5 2 3" xfId="17241" xr:uid="{7B3BDB94-EE1F-4D60-A9E4-57302F974A52}"/>
    <cellStyle name="Standard 6 2 4 4 2 5 3" xfId="5282" xr:uid="{00000000-0005-0000-0000-0000A9140000}"/>
    <cellStyle name="Standard 6 2 4 4 2 5 3 2" xfId="17243" xr:uid="{9059C590-7952-4E79-AB43-F4A22DB359FF}"/>
    <cellStyle name="Standard 6 2 4 4 2 5 4" xfId="17240" xr:uid="{C9BB653F-E191-4A59-A7E4-53C4D1A03321}"/>
    <cellStyle name="Standard 6 2 4 4 2 6" xfId="5283" xr:uid="{00000000-0005-0000-0000-0000AA140000}"/>
    <cellStyle name="Standard 6 2 4 4 2 6 2" xfId="5284" xr:uid="{00000000-0005-0000-0000-0000AB140000}"/>
    <cellStyle name="Standard 6 2 4 4 2 6 2 2" xfId="5285" xr:uid="{00000000-0005-0000-0000-0000AC140000}"/>
    <cellStyle name="Standard 6 2 4 4 2 6 2 2 2" xfId="17246" xr:uid="{EDC451C2-B5BF-43F5-8C2C-DDCF7022DA9F}"/>
    <cellStyle name="Standard 6 2 4 4 2 6 2 3" xfId="17245" xr:uid="{E1BCB179-12AA-4B3A-8303-E8722FF8FDE2}"/>
    <cellStyle name="Standard 6 2 4 4 2 6 3" xfId="5286" xr:uid="{00000000-0005-0000-0000-0000AD140000}"/>
    <cellStyle name="Standard 6 2 4 4 2 6 3 2" xfId="17247" xr:uid="{EC4AFE05-958E-414A-89EC-8F57993DAE23}"/>
    <cellStyle name="Standard 6 2 4 4 2 6 4" xfId="17244" xr:uid="{094D66CB-FC56-4EF0-B0F6-FA315F868072}"/>
    <cellStyle name="Standard 6 2 4 4 2 7" xfId="5287" xr:uid="{00000000-0005-0000-0000-0000AE140000}"/>
    <cellStyle name="Standard 6 2 4 4 2 7 2" xfId="5288" xr:uid="{00000000-0005-0000-0000-0000AF140000}"/>
    <cellStyle name="Standard 6 2 4 4 2 7 2 2" xfId="5289" xr:uid="{00000000-0005-0000-0000-0000B0140000}"/>
    <cellStyle name="Standard 6 2 4 4 2 7 2 2 2" xfId="17250" xr:uid="{F93DF782-FA5C-4243-AAA0-171CB049BC93}"/>
    <cellStyle name="Standard 6 2 4 4 2 7 2 3" xfId="17249" xr:uid="{3A08192B-E717-4DAF-8D10-B920BAF93E07}"/>
    <cellStyle name="Standard 6 2 4 4 2 7 3" xfId="5290" xr:uid="{00000000-0005-0000-0000-0000B1140000}"/>
    <cellStyle name="Standard 6 2 4 4 2 7 3 2" xfId="17251" xr:uid="{E1E2C690-1252-4D24-A952-6A36629B727F}"/>
    <cellStyle name="Standard 6 2 4 4 2 7 4" xfId="17248" xr:uid="{78A26C88-E0F3-4B7D-81DB-ED9B91CFDA6B}"/>
    <cellStyle name="Standard 6 2 4 4 2 8" xfId="5291" xr:uid="{00000000-0005-0000-0000-0000B2140000}"/>
    <cellStyle name="Standard 6 2 4 4 2 8 2" xfId="5292" xr:uid="{00000000-0005-0000-0000-0000B3140000}"/>
    <cellStyle name="Standard 6 2 4 4 2 8 2 2" xfId="17253" xr:uid="{37199F5D-6D6E-4036-9846-DCB430C04AF4}"/>
    <cellStyle name="Standard 6 2 4 4 2 8 3" xfId="17252" xr:uid="{3A3D02AA-8141-4867-A97E-567283D2A856}"/>
    <cellStyle name="Standard 6 2 4 4 2 9" xfId="5293" xr:uid="{00000000-0005-0000-0000-0000B4140000}"/>
    <cellStyle name="Standard 6 2 4 4 2 9 2" xfId="17254" xr:uid="{37D0BEE5-5DCC-44D6-A078-38A5E3F0C92C}"/>
    <cellStyle name="Standard 6 2 4 4 3" xfId="5294" xr:uid="{00000000-0005-0000-0000-0000B5140000}"/>
    <cellStyle name="Standard 6 2 4 4 3 2" xfId="5295" xr:uid="{00000000-0005-0000-0000-0000B6140000}"/>
    <cellStyle name="Standard 6 2 4 4 3 2 2" xfId="5296" xr:uid="{00000000-0005-0000-0000-0000B7140000}"/>
    <cellStyle name="Standard 6 2 4 4 3 2 2 2" xfId="17257" xr:uid="{4D10573C-2F0B-496E-940F-FB6CEAAB166C}"/>
    <cellStyle name="Standard 6 2 4 4 3 2 3" xfId="17256" xr:uid="{8CB5BE38-94CD-4D64-A5E8-A97F66DF2B65}"/>
    <cellStyle name="Standard 6 2 4 4 3 3" xfId="5297" xr:uid="{00000000-0005-0000-0000-0000B8140000}"/>
    <cellStyle name="Standard 6 2 4 4 3 3 2" xfId="17258" xr:uid="{BBA7F3C7-D62F-41AE-8C1C-B4F0874B4332}"/>
    <cellStyle name="Standard 6 2 4 4 3 4" xfId="17255" xr:uid="{CADEBC12-51D8-4E0A-8456-B675CAB08986}"/>
    <cellStyle name="Standard 6 2 4 4 4" xfId="5298" xr:uid="{00000000-0005-0000-0000-0000B9140000}"/>
    <cellStyle name="Standard 6 2 4 4 4 2" xfId="5299" xr:uid="{00000000-0005-0000-0000-0000BA140000}"/>
    <cellStyle name="Standard 6 2 4 4 4 2 2" xfId="5300" xr:uid="{00000000-0005-0000-0000-0000BB140000}"/>
    <cellStyle name="Standard 6 2 4 4 4 2 2 2" xfId="17261" xr:uid="{81026C8C-383E-48D9-B318-CBE587A29BC5}"/>
    <cellStyle name="Standard 6 2 4 4 4 2 3" xfId="17260" xr:uid="{064C572A-16A8-46DE-8633-E6AAD81CD969}"/>
    <cellStyle name="Standard 6 2 4 4 4 3" xfId="5301" xr:uid="{00000000-0005-0000-0000-0000BC140000}"/>
    <cellStyle name="Standard 6 2 4 4 4 3 2" xfId="17262" xr:uid="{71890801-CB5D-42D2-AA63-38E61D06FD33}"/>
    <cellStyle name="Standard 6 2 4 4 4 4" xfId="17259" xr:uid="{0B0F4F5E-41F5-4FCE-8658-384433264AB1}"/>
    <cellStyle name="Standard 6 2 4 4 5" xfId="5302" xr:uid="{00000000-0005-0000-0000-0000BD140000}"/>
    <cellStyle name="Standard 6 2 4 4 5 2" xfId="5303" xr:uid="{00000000-0005-0000-0000-0000BE140000}"/>
    <cellStyle name="Standard 6 2 4 4 5 2 2" xfId="5304" xr:uid="{00000000-0005-0000-0000-0000BF140000}"/>
    <cellStyle name="Standard 6 2 4 4 5 2 2 2" xfId="17265" xr:uid="{7BDF8174-FF1B-4E5F-91BF-B35BC8DA8E41}"/>
    <cellStyle name="Standard 6 2 4 4 5 2 3" xfId="17264" xr:uid="{A6A77661-6848-4E10-AD2D-FA05C18D7952}"/>
    <cellStyle name="Standard 6 2 4 4 5 3" xfId="5305" xr:uid="{00000000-0005-0000-0000-0000C0140000}"/>
    <cellStyle name="Standard 6 2 4 4 5 3 2" xfId="17266" xr:uid="{C98DF728-2013-4FB4-BEFD-653BA012CE0D}"/>
    <cellStyle name="Standard 6 2 4 4 5 4" xfId="17263" xr:uid="{7861860F-CE03-4DDD-B40E-AA98225D934C}"/>
    <cellStyle name="Standard 6 2 4 4 6" xfId="5306" xr:uid="{00000000-0005-0000-0000-0000C1140000}"/>
    <cellStyle name="Standard 6 2 4 4 6 2" xfId="5307" xr:uid="{00000000-0005-0000-0000-0000C2140000}"/>
    <cellStyle name="Standard 6 2 4 4 6 2 2" xfId="5308" xr:uid="{00000000-0005-0000-0000-0000C3140000}"/>
    <cellStyle name="Standard 6 2 4 4 6 2 2 2" xfId="17269" xr:uid="{5F619CE3-3064-423A-BE33-099E12EFCA3E}"/>
    <cellStyle name="Standard 6 2 4 4 6 2 3" xfId="17268" xr:uid="{55A8FAD9-F2A5-4DFC-84EF-DFE2D08E4FB1}"/>
    <cellStyle name="Standard 6 2 4 4 6 3" xfId="5309" xr:uid="{00000000-0005-0000-0000-0000C4140000}"/>
    <cellStyle name="Standard 6 2 4 4 6 3 2" xfId="17270" xr:uid="{F58B6465-7C73-4912-B34B-09CE504F5C33}"/>
    <cellStyle name="Standard 6 2 4 4 6 4" xfId="17267" xr:uid="{3404A0C5-A7C0-4F3F-BCE5-698CBBA51444}"/>
    <cellStyle name="Standard 6 2 4 4 7" xfId="5310" xr:uid="{00000000-0005-0000-0000-0000C5140000}"/>
    <cellStyle name="Standard 6 2 4 4 7 2" xfId="5311" xr:uid="{00000000-0005-0000-0000-0000C6140000}"/>
    <cellStyle name="Standard 6 2 4 4 7 2 2" xfId="5312" xr:uid="{00000000-0005-0000-0000-0000C7140000}"/>
    <cellStyle name="Standard 6 2 4 4 7 2 2 2" xfId="17273" xr:uid="{9C8C8C67-4215-43B4-813D-4341D8AEDB96}"/>
    <cellStyle name="Standard 6 2 4 4 7 2 3" xfId="17272" xr:uid="{C58E449A-C617-4990-876D-07E849B9176F}"/>
    <cellStyle name="Standard 6 2 4 4 7 3" xfId="5313" xr:uid="{00000000-0005-0000-0000-0000C8140000}"/>
    <cellStyle name="Standard 6 2 4 4 7 3 2" xfId="17274" xr:uid="{DB49134F-1F21-42F3-BDD8-3146314065F5}"/>
    <cellStyle name="Standard 6 2 4 4 7 4" xfId="17271" xr:uid="{98434F46-845B-446B-89DF-30628D36CEFA}"/>
    <cellStyle name="Standard 6 2 4 4 8" xfId="5314" xr:uid="{00000000-0005-0000-0000-0000C9140000}"/>
    <cellStyle name="Standard 6 2 4 4 8 2" xfId="5315" xr:uid="{00000000-0005-0000-0000-0000CA140000}"/>
    <cellStyle name="Standard 6 2 4 4 8 2 2" xfId="5316" xr:uid="{00000000-0005-0000-0000-0000CB140000}"/>
    <cellStyle name="Standard 6 2 4 4 8 2 2 2" xfId="17277" xr:uid="{2AA2A7D9-70EA-486D-A9A4-912AC7F3C6BB}"/>
    <cellStyle name="Standard 6 2 4 4 8 2 3" xfId="17276" xr:uid="{16888AEC-DCE5-4EC5-ADA4-BE207C6F5B86}"/>
    <cellStyle name="Standard 6 2 4 4 8 3" xfId="5317" xr:uid="{00000000-0005-0000-0000-0000CC140000}"/>
    <cellStyle name="Standard 6 2 4 4 8 3 2" xfId="17278" xr:uid="{CF0F6711-6325-4E49-8C34-3CE21FE39E57}"/>
    <cellStyle name="Standard 6 2 4 4 8 4" xfId="17275" xr:uid="{005BAA3D-BDEE-494B-BE2B-4358DAA56BB5}"/>
    <cellStyle name="Standard 6 2 4 4 9" xfId="5318" xr:uid="{00000000-0005-0000-0000-0000CD140000}"/>
    <cellStyle name="Standard 6 2 4 4 9 2" xfId="5319" xr:uid="{00000000-0005-0000-0000-0000CE140000}"/>
    <cellStyle name="Standard 6 2 4 4 9 2 2" xfId="17280" xr:uid="{6EEA3F55-061F-4150-8D59-B6DAD4D57D1F}"/>
    <cellStyle name="Standard 6 2 4 4 9 3" xfId="17279" xr:uid="{4B10C9ED-772C-4053-88EB-0B2D2C2D4070}"/>
    <cellStyle name="Standard 6 2 4 5" xfId="5320" xr:uid="{00000000-0005-0000-0000-0000CF140000}"/>
    <cellStyle name="Standard 6 2 4 5 10" xfId="5321" xr:uid="{00000000-0005-0000-0000-0000D0140000}"/>
    <cellStyle name="Standard 6 2 4 5 10 2" xfId="17282" xr:uid="{0D2DB295-306D-4BB5-8F25-ED55CDDA0BD5}"/>
    <cellStyle name="Standard 6 2 4 5 11" xfId="17281" xr:uid="{00ED3865-B43A-4F35-A08A-79E971B08330}"/>
    <cellStyle name="Standard 6 2 4 5 2" xfId="5322" xr:uid="{00000000-0005-0000-0000-0000D1140000}"/>
    <cellStyle name="Standard 6 2 4 5 2 10" xfId="17283" xr:uid="{67305B4A-EA56-420B-9018-FE820E6D54D3}"/>
    <cellStyle name="Standard 6 2 4 5 2 2" xfId="5323" xr:uid="{00000000-0005-0000-0000-0000D2140000}"/>
    <cellStyle name="Standard 6 2 4 5 2 2 2" xfId="5324" xr:uid="{00000000-0005-0000-0000-0000D3140000}"/>
    <cellStyle name="Standard 6 2 4 5 2 2 2 2" xfId="5325" xr:uid="{00000000-0005-0000-0000-0000D4140000}"/>
    <cellStyle name="Standard 6 2 4 5 2 2 2 2 2" xfId="17286" xr:uid="{69E5D847-2479-4DD4-BF8A-E0D2BA5C74F9}"/>
    <cellStyle name="Standard 6 2 4 5 2 2 2 3" xfId="17285" xr:uid="{8D3EEB51-623B-4A67-85F5-FD2EE70BAFE1}"/>
    <cellStyle name="Standard 6 2 4 5 2 2 3" xfId="5326" xr:uid="{00000000-0005-0000-0000-0000D5140000}"/>
    <cellStyle name="Standard 6 2 4 5 2 2 3 2" xfId="17287" xr:uid="{FA42B8E2-CA59-4872-B5EF-903C66AF9588}"/>
    <cellStyle name="Standard 6 2 4 5 2 2 4" xfId="17284" xr:uid="{D61021E5-E179-4CFD-9F4B-A9BE68365D22}"/>
    <cellStyle name="Standard 6 2 4 5 2 3" xfId="5327" xr:uid="{00000000-0005-0000-0000-0000D6140000}"/>
    <cellStyle name="Standard 6 2 4 5 2 3 2" xfId="5328" xr:uid="{00000000-0005-0000-0000-0000D7140000}"/>
    <cellStyle name="Standard 6 2 4 5 2 3 2 2" xfId="5329" xr:uid="{00000000-0005-0000-0000-0000D8140000}"/>
    <cellStyle name="Standard 6 2 4 5 2 3 2 2 2" xfId="17290" xr:uid="{F7F14BD4-E2D5-4C18-9B58-A6A7A31B9E4D}"/>
    <cellStyle name="Standard 6 2 4 5 2 3 2 3" xfId="17289" xr:uid="{5BF9C44E-7C89-4B89-A045-03E5D57EE2EC}"/>
    <cellStyle name="Standard 6 2 4 5 2 3 3" xfId="5330" xr:uid="{00000000-0005-0000-0000-0000D9140000}"/>
    <cellStyle name="Standard 6 2 4 5 2 3 3 2" xfId="17291" xr:uid="{75C7F795-DC5D-4533-BA4B-CF97FB9D50DA}"/>
    <cellStyle name="Standard 6 2 4 5 2 3 4" xfId="17288" xr:uid="{919801B8-13BD-4389-8713-306068D6018A}"/>
    <cellStyle name="Standard 6 2 4 5 2 4" xfId="5331" xr:uid="{00000000-0005-0000-0000-0000DA140000}"/>
    <cellStyle name="Standard 6 2 4 5 2 4 2" xfId="5332" xr:uid="{00000000-0005-0000-0000-0000DB140000}"/>
    <cellStyle name="Standard 6 2 4 5 2 4 2 2" xfId="5333" xr:uid="{00000000-0005-0000-0000-0000DC140000}"/>
    <cellStyle name="Standard 6 2 4 5 2 4 2 2 2" xfId="17294" xr:uid="{BB335981-77C1-412F-980B-F5F1B31D88FB}"/>
    <cellStyle name="Standard 6 2 4 5 2 4 2 3" xfId="17293" xr:uid="{0E31EECF-3302-4334-B965-59CE7196C7C9}"/>
    <cellStyle name="Standard 6 2 4 5 2 4 3" xfId="5334" xr:uid="{00000000-0005-0000-0000-0000DD140000}"/>
    <cellStyle name="Standard 6 2 4 5 2 4 3 2" xfId="17295" xr:uid="{44C06A1B-5C4E-4975-B2A6-4FFA18BD17A6}"/>
    <cellStyle name="Standard 6 2 4 5 2 4 4" xfId="17292" xr:uid="{6A9D7ABE-F4AC-4140-BB59-61AE43E69C1D}"/>
    <cellStyle name="Standard 6 2 4 5 2 5" xfId="5335" xr:uid="{00000000-0005-0000-0000-0000DE140000}"/>
    <cellStyle name="Standard 6 2 4 5 2 5 2" xfId="5336" xr:uid="{00000000-0005-0000-0000-0000DF140000}"/>
    <cellStyle name="Standard 6 2 4 5 2 5 2 2" xfId="5337" xr:uid="{00000000-0005-0000-0000-0000E0140000}"/>
    <cellStyle name="Standard 6 2 4 5 2 5 2 2 2" xfId="17298" xr:uid="{5D2BF962-0818-4835-BE27-7918017DA31A}"/>
    <cellStyle name="Standard 6 2 4 5 2 5 2 3" xfId="17297" xr:uid="{7F192097-B412-451A-8589-F4EA0A3D4E05}"/>
    <cellStyle name="Standard 6 2 4 5 2 5 3" xfId="5338" xr:uid="{00000000-0005-0000-0000-0000E1140000}"/>
    <cellStyle name="Standard 6 2 4 5 2 5 3 2" xfId="17299" xr:uid="{2C002236-A478-4A03-969E-6790F286FF64}"/>
    <cellStyle name="Standard 6 2 4 5 2 5 4" xfId="17296" xr:uid="{AC5CB477-7546-44CA-A0A1-622C4AAD49E6}"/>
    <cellStyle name="Standard 6 2 4 5 2 6" xfId="5339" xr:uid="{00000000-0005-0000-0000-0000E2140000}"/>
    <cellStyle name="Standard 6 2 4 5 2 6 2" xfId="5340" xr:uid="{00000000-0005-0000-0000-0000E3140000}"/>
    <cellStyle name="Standard 6 2 4 5 2 6 2 2" xfId="5341" xr:uid="{00000000-0005-0000-0000-0000E4140000}"/>
    <cellStyle name="Standard 6 2 4 5 2 6 2 2 2" xfId="17302" xr:uid="{1AC71F3A-19C3-490A-93E8-7C3AAF2648AC}"/>
    <cellStyle name="Standard 6 2 4 5 2 6 2 3" xfId="17301" xr:uid="{55BFEE17-C76D-44D2-A210-F92D844E8932}"/>
    <cellStyle name="Standard 6 2 4 5 2 6 3" xfId="5342" xr:uid="{00000000-0005-0000-0000-0000E5140000}"/>
    <cellStyle name="Standard 6 2 4 5 2 6 3 2" xfId="17303" xr:uid="{EBD1D32A-0F6B-4114-AFEE-C838B53264B0}"/>
    <cellStyle name="Standard 6 2 4 5 2 6 4" xfId="17300" xr:uid="{A32ECEEA-DCE8-412F-A435-46B9D77304D1}"/>
    <cellStyle name="Standard 6 2 4 5 2 7" xfId="5343" xr:uid="{00000000-0005-0000-0000-0000E6140000}"/>
    <cellStyle name="Standard 6 2 4 5 2 7 2" xfId="5344" xr:uid="{00000000-0005-0000-0000-0000E7140000}"/>
    <cellStyle name="Standard 6 2 4 5 2 7 2 2" xfId="5345" xr:uid="{00000000-0005-0000-0000-0000E8140000}"/>
    <cellStyle name="Standard 6 2 4 5 2 7 2 2 2" xfId="17306" xr:uid="{66FB0AB7-BC63-46B2-9914-7F022C444BB0}"/>
    <cellStyle name="Standard 6 2 4 5 2 7 2 3" xfId="17305" xr:uid="{9D699CA0-7E7F-4195-AE24-8BD5EB05ED5F}"/>
    <cellStyle name="Standard 6 2 4 5 2 7 3" xfId="5346" xr:uid="{00000000-0005-0000-0000-0000E9140000}"/>
    <cellStyle name="Standard 6 2 4 5 2 7 3 2" xfId="17307" xr:uid="{46ED2948-2938-4FEB-A7BF-F1C70C9A0E31}"/>
    <cellStyle name="Standard 6 2 4 5 2 7 4" xfId="17304" xr:uid="{5BEEC111-8272-4759-83EA-5E972A3F1979}"/>
    <cellStyle name="Standard 6 2 4 5 2 8" xfId="5347" xr:uid="{00000000-0005-0000-0000-0000EA140000}"/>
    <cellStyle name="Standard 6 2 4 5 2 8 2" xfId="5348" xr:uid="{00000000-0005-0000-0000-0000EB140000}"/>
    <cellStyle name="Standard 6 2 4 5 2 8 2 2" xfId="17309" xr:uid="{DCC5EF10-775E-42E4-8620-2AF76803A09C}"/>
    <cellStyle name="Standard 6 2 4 5 2 8 3" xfId="17308" xr:uid="{E2B3BDFA-3DE5-417B-B076-85C17FAEC856}"/>
    <cellStyle name="Standard 6 2 4 5 2 9" xfId="5349" xr:uid="{00000000-0005-0000-0000-0000EC140000}"/>
    <cellStyle name="Standard 6 2 4 5 2 9 2" xfId="17310" xr:uid="{87FFDA2E-2CCF-4536-9CCF-EEB78F0CBB9F}"/>
    <cellStyle name="Standard 6 2 4 5 3" xfId="5350" xr:uid="{00000000-0005-0000-0000-0000ED140000}"/>
    <cellStyle name="Standard 6 2 4 5 3 2" xfId="5351" xr:uid="{00000000-0005-0000-0000-0000EE140000}"/>
    <cellStyle name="Standard 6 2 4 5 3 2 2" xfId="5352" xr:uid="{00000000-0005-0000-0000-0000EF140000}"/>
    <cellStyle name="Standard 6 2 4 5 3 2 2 2" xfId="17313" xr:uid="{15B4EAEA-34A2-4F2E-966C-CE8368983A48}"/>
    <cellStyle name="Standard 6 2 4 5 3 2 3" xfId="17312" xr:uid="{CA847462-2525-4AA6-8975-D5F131624322}"/>
    <cellStyle name="Standard 6 2 4 5 3 3" xfId="5353" xr:uid="{00000000-0005-0000-0000-0000F0140000}"/>
    <cellStyle name="Standard 6 2 4 5 3 3 2" xfId="17314" xr:uid="{2CC12632-616D-479F-8ECB-4D337E3716FB}"/>
    <cellStyle name="Standard 6 2 4 5 3 4" xfId="17311" xr:uid="{32F87FD9-01A2-45F9-B126-DEA9BFD6EE2B}"/>
    <cellStyle name="Standard 6 2 4 5 4" xfId="5354" xr:uid="{00000000-0005-0000-0000-0000F1140000}"/>
    <cellStyle name="Standard 6 2 4 5 4 2" xfId="5355" xr:uid="{00000000-0005-0000-0000-0000F2140000}"/>
    <cellStyle name="Standard 6 2 4 5 4 2 2" xfId="5356" xr:uid="{00000000-0005-0000-0000-0000F3140000}"/>
    <cellStyle name="Standard 6 2 4 5 4 2 2 2" xfId="17317" xr:uid="{C6EC722E-06C4-4160-8324-69645278535C}"/>
    <cellStyle name="Standard 6 2 4 5 4 2 3" xfId="17316" xr:uid="{56E002A5-04A5-4AB0-9161-AC6057F43718}"/>
    <cellStyle name="Standard 6 2 4 5 4 3" xfId="5357" xr:uid="{00000000-0005-0000-0000-0000F4140000}"/>
    <cellStyle name="Standard 6 2 4 5 4 3 2" xfId="17318" xr:uid="{78013758-4643-471F-9C48-01CC4ACBC6FC}"/>
    <cellStyle name="Standard 6 2 4 5 4 4" xfId="17315" xr:uid="{AC0214D6-A429-442A-B01E-3B92B6E00B49}"/>
    <cellStyle name="Standard 6 2 4 5 5" xfId="5358" xr:uid="{00000000-0005-0000-0000-0000F5140000}"/>
    <cellStyle name="Standard 6 2 4 5 5 2" xfId="5359" xr:uid="{00000000-0005-0000-0000-0000F6140000}"/>
    <cellStyle name="Standard 6 2 4 5 5 2 2" xfId="5360" xr:uid="{00000000-0005-0000-0000-0000F7140000}"/>
    <cellStyle name="Standard 6 2 4 5 5 2 2 2" xfId="17321" xr:uid="{BBDBAC1E-DB64-477C-A49F-134296018271}"/>
    <cellStyle name="Standard 6 2 4 5 5 2 3" xfId="17320" xr:uid="{6E2AE3DF-A97E-41AF-89D1-1B8EF8E4B634}"/>
    <cellStyle name="Standard 6 2 4 5 5 3" xfId="5361" xr:uid="{00000000-0005-0000-0000-0000F8140000}"/>
    <cellStyle name="Standard 6 2 4 5 5 3 2" xfId="17322" xr:uid="{6621AFBC-A984-443C-AC07-97451F015AAA}"/>
    <cellStyle name="Standard 6 2 4 5 5 4" xfId="17319" xr:uid="{788C006B-C64C-4E61-9539-F5A6D3A77AA8}"/>
    <cellStyle name="Standard 6 2 4 5 6" xfId="5362" xr:uid="{00000000-0005-0000-0000-0000F9140000}"/>
    <cellStyle name="Standard 6 2 4 5 6 2" xfId="5363" xr:uid="{00000000-0005-0000-0000-0000FA140000}"/>
    <cellStyle name="Standard 6 2 4 5 6 2 2" xfId="5364" xr:uid="{00000000-0005-0000-0000-0000FB140000}"/>
    <cellStyle name="Standard 6 2 4 5 6 2 2 2" xfId="17325" xr:uid="{CC9DCE68-F073-4ED1-83AF-8A3A3EE3B956}"/>
    <cellStyle name="Standard 6 2 4 5 6 2 3" xfId="17324" xr:uid="{7E7DFF69-E7E2-4779-AAB9-74DC0518CAEC}"/>
    <cellStyle name="Standard 6 2 4 5 6 3" xfId="5365" xr:uid="{00000000-0005-0000-0000-0000FC140000}"/>
    <cellStyle name="Standard 6 2 4 5 6 3 2" xfId="17326" xr:uid="{AE41037A-66EB-4919-BDF0-6FF42F19BC7D}"/>
    <cellStyle name="Standard 6 2 4 5 6 4" xfId="17323" xr:uid="{D724F731-634A-4A7C-B4AD-F5479DD8586E}"/>
    <cellStyle name="Standard 6 2 4 5 7" xfId="5366" xr:uid="{00000000-0005-0000-0000-0000FD140000}"/>
    <cellStyle name="Standard 6 2 4 5 7 2" xfId="5367" xr:uid="{00000000-0005-0000-0000-0000FE140000}"/>
    <cellStyle name="Standard 6 2 4 5 7 2 2" xfId="5368" xr:uid="{00000000-0005-0000-0000-0000FF140000}"/>
    <cellStyle name="Standard 6 2 4 5 7 2 2 2" xfId="17329" xr:uid="{82ED804E-BE41-4DF5-B4D7-FFC053A41F8E}"/>
    <cellStyle name="Standard 6 2 4 5 7 2 3" xfId="17328" xr:uid="{F8F068D3-92F1-4AF8-AFE0-5B01954ECE8F}"/>
    <cellStyle name="Standard 6 2 4 5 7 3" xfId="5369" xr:uid="{00000000-0005-0000-0000-000000150000}"/>
    <cellStyle name="Standard 6 2 4 5 7 3 2" xfId="17330" xr:uid="{2EDECD6B-9DA7-4102-A7BE-5B47093FEAA8}"/>
    <cellStyle name="Standard 6 2 4 5 7 4" xfId="17327" xr:uid="{642DFFFB-EAE2-4D4C-AA85-7A9327728E89}"/>
    <cellStyle name="Standard 6 2 4 5 8" xfId="5370" xr:uid="{00000000-0005-0000-0000-000001150000}"/>
    <cellStyle name="Standard 6 2 4 5 8 2" xfId="5371" xr:uid="{00000000-0005-0000-0000-000002150000}"/>
    <cellStyle name="Standard 6 2 4 5 8 2 2" xfId="5372" xr:uid="{00000000-0005-0000-0000-000003150000}"/>
    <cellStyle name="Standard 6 2 4 5 8 2 2 2" xfId="17333" xr:uid="{3EC37BE3-1F1A-4779-AAF3-88C44550F482}"/>
    <cellStyle name="Standard 6 2 4 5 8 2 3" xfId="17332" xr:uid="{D8D2A00C-6775-46B7-AB0F-B321E1222265}"/>
    <cellStyle name="Standard 6 2 4 5 8 3" xfId="5373" xr:uid="{00000000-0005-0000-0000-000004150000}"/>
    <cellStyle name="Standard 6 2 4 5 8 3 2" xfId="17334" xr:uid="{FFD9796A-1FFB-48B8-8EB4-AE1950D51D92}"/>
    <cellStyle name="Standard 6 2 4 5 8 4" xfId="17331" xr:uid="{10B8D2BC-B033-47A4-AF34-42287A759087}"/>
    <cellStyle name="Standard 6 2 4 5 9" xfId="5374" xr:uid="{00000000-0005-0000-0000-000005150000}"/>
    <cellStyle name="Standard 6 2 4 5 9 2" xfId="5375" xr:uid="{00000000-0005-0000-0000-000006150000}"/>
    <cellStyle name="Standard 6 2 4 5 9 2 2" xfId="17336" xr:uid="{F1FD9991-4ADE-430E-BC84-98D82A2D33E2}"/>
    <cellStyle name="Standard 6 2 4 5 9 3" xfId="17335" xr:uid="{49EEC81D-6FF5-44A3-B33C-86636517C734}"/>
    <cellStyle name="Standard 6 2 4 6" xfId="5376" xr:uid="{00000000-0005-0000-0000-000007150000}"/>
    <cellStyle name="Standard 6 2 4 6 10" xfId="5377" xr:uid="{00000000-0005-0000-0000-000008150000}"/>
    <cellStyle name="Standard 6 2 4 6 10 2" xfId="17338" xr:uid="{625F52A6-D96C-41D9-A9AB-089A93CB23D4}"/>
    <cellStyle name="Standard 6 2 4 6 11" xfId="17337" xr:uid="{B7E3D1B0-A74B-4A3D-9DA2-BA7D12B2D906}"/>
    <cellStyle name="Standard 6 2 4 6 2" xfId="5378" xr:uid="{00000000-0005-0000-0000-000009150000}"/>
    <cellStyle name="Standard 6 2 4 6 2 10" xfId="17339" xr:uid="{E77F1805-8C83-445C-90B4-EA14973D7104}"/>
    <cellStyle name="Standard 6 2 4 6 2 2" xfId="5379" xr:uid="{00000000-0005-0000-0000-00000A150000}"/>
    <cellStyle name="Standard 6 2 4 6 2 2 2" xfId="5380" xr:uid="{00000000-0005-0000-0000-00000B150000}"/>
    <cellStyle name="Standard 6 2 4 6 2 2 2 2" xfId="5381" xr:uid="{00000000-0005-0000-0000-00000C150000}"/>
    <cellStyle name="Standard 6 2 4 6 2 2 2 2 2" xfId="17342" xr:uid="{989D8C52-F040-4975-97CB-7DD0B13D92BC}"/>
    <cellStyle name="Standard 6 2 4 6 2 2 2 3" xfId="17341" xr:uid="{C96675DB-4ED9-4146-B8E8-D7696F13B2BE}"/>
    <cellStyle name="Standard 6 2 4 6 2 2 3" xfId="5382" xr:uid="{00000000-0005-0000-0000-00000D150000}"/>
    <cellStyle name="Standard 6 2 4 6 2 2 3 2" xfId="17343" xr:uid="{91089006-1680-4FC6-8D89-4608445D920B}"/>
    <cellStyle name="Standard 6 2 4 6 2 2 4" xfId="17340" xr:uid="{890D21CC-719B-432A-BBA7-B83D819F3F33}"/>
    <cellStyle name="Standard 6 2 4 6 2 3" xfId="5383" xr:uid="{00000000-0005-0000-0000-00000E150000}"/>
    <cellStyle name="Standard 6 2 4 6 2 3 2" xfId="5384" xr:uid="{00000000-0005-0000-0000-00000F150000}"/>
    <cellStyle name="Standard 6 2 4 6 2 3 2 2" xfId="5385" xr:uid="{00000000-0005-0000-0000-000010150000}"/>
    <cellStyle name="Standard 6 2 4 6 2 3 2 2 2" xfId="17346" xr:uid="{2CB2E2D1-A7F8-47F2-9241-B1378E12E789}"/>
    <cellStyle name="Standard 6 2 4 6 2 3 2 3" xfId="17345" xr:uid="{06BA23FF-DB67-4E98-AD04-655E59585892}"/>
    <cellStyle name="Standard 6 2 4 6 2 3 3" xfId="5386" xr:uid="{00000000-0005-0000-0000-000011150000}"/>
    <cellStyle name="Standard 6 2 4 6 2 3 3 2" xfId="17347" xr:uid="{F0808883-43BE-4E28-927F-351DA699AD88}"/>
    <cellStyle name="Standard 6 2 4 6 2 3 4" xfId="17344" xr:uid="{4C3D5548-00A8-4599-B6F1-469AE584EC1B}"/>
    <cellStyle name="Standard 6 2 4 6 2 4" xfId="5387" xr:uid="{00000000-0005-0000-0000-000012150000}"/>
    <cellStyle name="Standard 6 2 4 6 2 4 2" xfId="5388" xr:uid="{00000000-0005-0000-0000-000013150000}"/>
    <cellStyle name="Standard 6 2 4 6 2 4 2 2" xfId="5389" xr:uid="{00000000-0005-0000-0000-000014150000}"/>
    <cellStyle name="Standard 6 2 4 6 2 4 2 2 2" xfId="17350" xr:uid="{40E565A3-1597-4EAD-94CC-707BEA380EC4}"/>
    <cellStyle name="Standard 6 2 4 6 2 4 2 3" xfId="17349" xr:uid="{BD60FB14-C832-44DB-8116-76CD4D2F6042}"/>
    <cellStyle name="Standard 6 2 4 6 2 4 3" xfId="5390" xr:uid="{00000000-0005-0000-0000-000015150000}"/>
    <cellStyle name="Standard 6 2 4 6 2 4 3 2" xfId="17351" xr:uid="{B450A617-CFE5-4283-8F28-CCF08BEF2C88}"/>
    <cellStyle name="Standard 6 2 4 6 2 4 4" xfId="17348" xr:uid="{22A47995-0374-42DB-B79C-7555E2A74C8D}"/>
    <cellStyle name="Standard 6 2 4 6 2 5" xfId="5391" xr:uid="{00000000-0005-0000-0000-000016150000}"/>
    <cellStyle name="Standard 6 2 4 6 2 5 2" xfId="5392" xr:uid="{00000000-0005-0000-0000-000017150000}"/>
    <cellStyle name="Standard 6 2 4 6 2 5 2 2" xfId="5393" xr:uid="{00000000-0005-0000-0000-000018150000}"/>
    <cellStyle name="Standard 6 2 4 6 2 5 2 2 2" xfId="17354" xr:uid="{25C435E0-84F0-4F4F-AF09-9B9FA67F31E1}"/>
    <cellStyle name="Standard 6 2 4 6 2 5 2 3" xfId="17353" xr:uid="{05F0D559-3D58-49E3-A389-9D778F859E71}"/>
    <cellStyle name="Standard 6 2 4 6 2 5 3" xfId="5394" xr:uid="{00000000-0005-0000-0000-000019150000}"/>
    <cellStyle name="Standard 6 2 4 6 2 5 3 2" xfId="17355" xr:uid="{CCD3AA04-845D-402F-BA2D-80C25578C5D6}"/>
    <cellStyle name="Standard 6 2 4 6 2 5 4" xfId="17352" xr:uid="{2551A691-14A8-448F-AD13-E5A3B3AE81EA}"/>
    <cellStyle name="Standard 6 2 4 6 2 6" xfId="5395" xr:uid="{00000000-0005-0000-0000-00001A150000}"/>
    <cellStyle name="Standard 6 2 4 6 2 6 2" xfId="5396" xr:uid="{00000000-0005-0000-0000-00001B150000}"/>
    <cellStyle name="Standard 6 2 4 6 2 6 2 2" xfId="5397" xr:uid="{00000000-0005-0000-0000-00001C150000}"/>
    <cellStyle name="Standard 6 2 4 6 2 6 2 2 2" xfId="17358" xr:uid="{24C1CB1D-7A4C-4BA3-8DF2-062AD29EE547}"/>
    <cellStyle name="Standard 6 2 4 6 2 6 2 3" xfId="17357" xr:uid="{5E71020A-52CD-4CF1-A070-3E8F96553B81}"/>
    <cellStyle name="Standard 6 2 4 6 2 6 3" xfId="5398" xr:uid="{00000000-0005-0000-0000-00001D150000}"/>
    <cellStyle name="Standard 6 2 4 6 2 6 3 2" xfId="17359" xr:uid="{E7012E1B-330F-44CE-A1AD-EB6B41360A2D}"/>
    <cellStyle name="Standard 6 2 4 6 2 6 4" xfId="17356" xr:uid="{0938EF97-A8A5-4C05-8CDD-3CAC87B10349}"/>
    <cellStyle name="Standard 6 2 4 6 2 7" xfId="5399" xr:uid="{00000000-0005-0000-0000-00001E150000}"/>
    <cellStyle name="Standard 6 2 4 6 2 7 2" xfId="5400" xr:uid="{00000000-0005-0000-0000-00001F150000}"/>
    <cellStyle name="Standard 6 2 4 6 2 7 2 2" xfId="5401" xr:uid="{00000000-0005-0000-0000-000020150000}"/>
    <cellStyle name="Standard 6 2 4 6 2 7 2 2 2" xfId="17362" xr:uid="{161EC3E2-397B-4240-ACBA-6DB70903E744}"/>
    <cellStyle name="Standard 6 2 4 6 2 7 2 3" xfId="17361" xr:uid="{DAE08E83-5A26-410A-93F5-E5F73073A70B}"/>
    <cellStyle name="Standard 6 2 4 6 2 7 3" xfId="5402" xr:uid="{00000000-0005-0000-0000-000021150000}"/>
    <cellStyle name="Standard 6 2 4 6 2 7 3 2" xfId="17363" xr:uid="{6D31408D-EC06-4729-87D8-78DD556C93AD}"/>
    <cellStyle name="Standard 6 2 4 6 2 7 4" xfId="17360" xr:uid="{7BF4B2F6-5C6F-4E88-9E3B-211AE93DC7F6}"/>
    <cellStyle name="Standard 6 2 4 6 2 8" xfId="5403" xr:uid="{00000000-0005-0000-0000-000022150000}"/>
    <cellStyle name="Standard 6 2 4 6 2 8 2" xfId="5404" xr:uid="{00000000-0005-0000-0000-000023150000}"/>
    <cellStyle name="Standard 6 2 4 6 2 8 2 2" xfId="17365" xr:uid="{78CF82E1-AA57-4889-9DF0-73A2210D8DFA}"/>
    <cellStyle name="Standard 6 2 4 6 2 8 3" xfId="17364" xr:uid="{237F8521-5C6D-4C5E-90F4-5A796D7C42E3}"/>
    <cellStyle name="Standard 6 2 4 6 2 9" xfId="5405" xr:uid="{00000000-0005-0000-0000-000024150000}"/>
    <cellStyle name="Standard 6 2 4 6 2 9 2" xfId="17366" xr:uid="{F529CAE8-1C39-4350-BA83-FFF3D393F657}"/>
    <cellStyle name="Standard 6 2 4 6 3" xfId="5406" xr:uid="{00000000-0005-0000-0000-000025150000}"/>
    <cellStyle name="Standard 6 2 4 6 3 2" xfId="5407" xr:uid="{00000000-0005-0000-0000-000026150000}"/>
    <cellStyle name="Standard 6 2 4 6 3 2 2" xfId="5408" xr:uid="{00000000-0005-0000-0000-000027150000}"/>
    <cellStyle name="Standard 6 2 4 6 3 2 2 2" xfId="17369" xr:uid="{F537EFD2-CBE1-4C4E-BAC7-7D8C664DEF9A}"/>
    <cellStyle name="Standard 6 2 4 6 3 2 3" xfId="17368" xr:uid="{56BD7B8C-B48F-43BF-BFF2-E14AB371079F}"/>
    <cellStyle name="Standard 6 2 4 6 3 3" xfId="5409" xr:uid="{00000000-0005-0000-0000-000028150000}"/>
    <cellStyle name="Standard 6 2 4 6 3 3 2" xfId="17370" xr:uid="{68B61E15-9E75-493D-8C06-8150869CDC03}"/>
    <cellStyle name="Standard 6 2 4 6 3 4" xfId="17367" xr:uid="{A43B0DC1-FD37-4265-B587-19B4ED5257EF}"/>
    <cellStyle name="Standard 6 2 4 6 4" xfId="5410" xr:uid="{00000000-0005-0000-0000-000029150000}"/>
    <cellStyle name="Standard 6 2 4 6 4 2" xfId="5411" xr:uid="{00000000-0005-0000-0000-00002A150000}"/>
    <cellStyle name="Standard 6 2 4 6 4 2 2" xfId="5412" xr:uid="{00000000-0005-0000-0000-00002B150000}"/>
    <cellStyle name="Standard 6 2 4 6 4 2 2 2" xfId="17373" xr:uid="{20757CA9-7626-4CAA-973D-4692B38A5377}"/>
    <cellStyle name="Standard 6 2 4 6 4 2 3" xfId="17372" xr:uid="{12B60859-5AD9-48FA-941D-5B7450E6C91D}"/>
    <cellStyle name="Standard 6 2 4 6 4 3" xfId="5413" xr:uid="{00000000-0005-0000-0000-00002C150000}"/>
    <cellStyle name="Standard 6 2 4 6 4 3 2" xfId="17374" xr:uid="{4996F672-CEC2-41DA-8398-B1BD9AA6C621}"/>
    <cellStyle name="Standard 6 2 4 6 4 4" xfId="17371" xr:uid="{CAC06F2B-395A-49A7-9131-B0F7BB6A4035}"/>
    <cellStyle name="Standard 6 2 4 6 5" xfId="5414" xr:uid="{00000000-0005-0000-0000-00002D150000}"/>
    <cellStyle name="Standard 6 2 4 6 5 2" xfId="5415" xr:uid="{00000000-0005-0000-0000-00002E150000}"/>
    <cellStyle name="Standard 6 2 4 6 5 2 2" xfId="5416" xr:uid="{00000000-0005-0000-0000-00002F150000}"/>
    <cellStyle name="Standard 6 2 4 6 5 2 2 2" xfId="17377" xr:uid="{7D1EECF7-59EF-466D-8B0D-1AFDFD0D6AF3}"/>
    <cellStyle name="Standard 6 2 4 6 5 2 3" xfId="17376" xr:uid="{099E01AB-1196-4D0C-A9AD-E808B0443E40}"/>
    <cellStyle name="Standard 6 2 4 6 5 3" xfId="5417" xr:uid="{00000000-0005-0000-0000-000030150000}"/>
    <cellStyle name="Standard 6 2 4 6 5 3 2" xfId="17378" xr:uid="{CB875BF1-1DF1-47AC-BBE1-D445BA888289}"/>
    <cellStyle name="Standard 6 2 4 6 5 4" xfId="17375" xr:uid="{F9B8A57C-54F6-49EE-B5C5-B657E84C0F95}"/>
    <cellStyle name="Standard 6 2 4 6 6" xfId="5418" xr:uid="{00000000-0005-0000-0000-000031150000}"/>
    <cellStyle name="Standard 6 2 4 6 6 2" xfId="5419" xr:uid="{00000000-0005-0000-0000-000032150000}"/>
    <cellStyle name="Standard 6 2 4 6 6 2 2" xfId="5420" xr:uid="{00000000-0005-0000-0000-000033150000}"/>
    <cellStyle name="Standard 6 2 4 6 6 2 2 2" xfId="17381" xr:uid="{C8F8ACAA-1DC4-47AF-A9BF-479989F54837}"/>
    <cellStyle name="Standard 6 2 4 6 6 2 3" xfId="17380" xr:uid="{9C1ED863-2584-4D5B-8DA5-D4F8360AE8EA}"/>
    <cellStyle name="Standard 6 2 4 6 6 3" xfId="5421" xr:uid="{00000000-0005-0000-0000-000034150000}"/>
    <cellStyle name="Standard 6 2 4 6 6 3 2" xfId="17382" xr:uid="{860C2115-06AD-4223-9152-7C5A90822A03}"/>
    <cellStyle name="Standard 6 2 4 6 6 4" xfId="17379" xr:uid="{7B7BC347-93BC-446A-BFE0-BEF628DA71C7}"/>
    <cellStyle name="Standard 6 2 4 6 7" xfId="5422" xr:uid="{00000000-0005-0000-0000-000035150000}"/>
    <cellStyle name="Standard 6 2 4 6 7 2" xfId="5423" xr:uid="{00000000-0005-0000-0000-000036150000}"/>
    <cellStyle name="Standard 6 2 4 6 7 2 2" xfId="5424" xr:uid="{00000000-0005-0000-0000-000037150000}"/>
    <cellStyle name="Standard 6 2 4 6 7 2 2 2" xfId="17385" xr:uid="{EA82250C-50C7-4163-B765-E224A4805A31}"/>
    <cellStyle name="Standard 6 2 4 6 7 2 3" xfId="17384" xr:uid="{5283EEFF-BCB7-4090-9148-4CF338C270C6}"/>
    <cellStyle name="Standard 6 2 4 6 7 3" xfId="5425" xr:uid="{00000000-0005-0000-0000-000038150000}"/>
    <cellStyle name="Standard 6 2 4 6 7 3 2" xfId="17386" xr:uid="{8C902972-DC31-46BB-9AE3-1E3A9FA8F359}"/>
    <cellStyle name="Standard 6 2 4 6 7 4" xfId="17383" xr:uid="{5BEAA8C7-AFBF-421D-BD2E-1AA879C07647}"/>
    <cellStyle name="Standard 6 2 4 6 8" xfId="5426" xr:uid="{00000000-0005-0000-0000-000039150000}"/>
    <cellStyle name="Standard 6 2 4 6 8 2" xfId="5427" xr:uid="{00000000-0005-0000-0000-00003A150000}"/>
    <cellStyle name="Standard 6 2 4 6 8 2 2" xfId="5428" xr:uid="{00000000-0005-0000-0000-00003B150000}"/>
    <cellStyle name="Standard 6 2 4 6 8 2 2 2" xfId="17389" xr:uid="{43133B5C-51E0-4032-9817-834E07A1DE8E}"/>
    <cellStyle name="Standard 6 2 4 6 8 2 3" xfId="17388" xr:uid="{DEEA9A09-9C9A-4691-88F7-5550D4E27214}"/>
    <cellStyle name="Standard 6 2 4 6 8 3" xfId="5429" xr:uid="{00000000-0005-0000-0000-00003C150000}"/>
    <cellStyle name="Standard 6 2 4 6 8 3 2" xfId="17390" xr:uid="{5429701D-381F-4AD3-8FF5-229FF92F1767}"/>
    <cellStyle name="Standard 6 2 4 6 8 4" xfId="17387" xr:uid="{A4CF04F9-9485-45E3-AA44-960B8085E0CE}"/>
    <cellStyle name="Standard 6 2 4 6 9" xfId="5430" xr:uid="{00000000-0005-0000-0000-00003D150000}"/>
    <cellStyle name="Standard 6 2 4 6 9 2" xfId="5431" xr:uid="{00000000-0005-0000-0000-00003E150000}"/>
    <cellStyle name="Standard 6 2 4 6 9 2 2" xfId="17392" xr:uid="{C0A5E32C-5E74-4D87-9267-BC51D12276C2}"/>
    <cellStyle name="Standard 6 2 4 6 9 3" xfId="17391" xr:uid="{0D26AF9F-EDB4-410A-9AF0-BDEC3CB112A4}"/>
    <cellStyle name="Standard 6 2 4 7" xfId="5432" xr:uid="{00000000-0005-0000-0000-00003F150000}"/>
    <cellStyle name="Standard 6 2 4 7 10" xfId="5433" xr:uid="{00000000-0005-0000-0000-000040150000}"/>
    <cellStyle name="Standard 6 2 4 7 10 2" xfId="17394" xr:uid="{3B58A97E-723D-4D26-B1F1-4A5C6A274195}"/>
    <cellStyle name="Standard 6 2 4 7 11" xfId="17393" xr:uid="{E3E634D6-9D07-479D-BD26-BEDB31569B89}"/>
    <cellStyle name="Standard 6 2 4 7 2" xfId="5434" xr:uid="{00000000-0005-0000-0000-000041150000}"/>
    <cellStyle name="Standard 6 2 4 7 2 10" xfId="17395" xr:uid="{18DDFDB7-4661-4CCB-A2DC-6F2A9AFC3BCA}"/>
    <cellStyle name="Standard 6 2 4 7 2 2" xfId="5435" xr:uid="{00000000-0005-0000-0000-000042150000}"/>
    <cellStyle name="Standard 6 2 4 7 2 2 2" xfId="5436" xr:uid="{00000000-0005-0000-0000-000043150000}"/>
    <cellStyle name="Standard 6 2 4 7 2 2 2 2" xfId="5437" xr:uid="{00000000-0005-0000-0000-000044150000}"/>
    <cellStyle name="Standard 6 2 4 7 2 2 2 2 2" xfId="17398" xr:uid="{1D0EF3CB-CD8F-4545-964F-13E9D608CF6E}"/>
    <cellStyle name="Standard 6 2 4 7 2 2 2 3" xfId="17397" xr:uid="{89E83883-93F0-4905-8D08-6231ECEABE6A}"/>
    <cellStyle name="Standard 6 2 4 7 2 2 3" xfId="5438" xr:uid="{00000000-0005-0000-0000-000045150000}"/>
    <cellStyle name="Standard 6 2 4 7 2 2 3 2" xfId="17399" xr:uid="{6BAA63E7-7707-4207-8D34-4CFE771E7827}"/>
    <cellStyle name="Standard 6 2 4 7 2 2 4" xfId="17396" xr:uid="{7F5E22DF-5CC5-4F82-B88C-B2B72330BE1B}"/>
    <cellStyle name="Standard 6 2 4 7 2 3" xfId="5439" xr:uid="{00000000-0005-0000-0000-000046150000}"/>
    <cellStyle name="Standard 6 2 4 7 2 3 2" xfId="5440" xr:uid="{00000000-0005-0000-0000-000047150000}"/>
    <cellStyle name="Standard 6 2 4 7 2 3 2 2" xfId="5441" xr:uid="{00000000-0005-0000-0000-000048150000}"/>
    <cellStyle name="Standard 6 2 4 7 2 3 2 2 2" xfId="17402" xr:uid="{3998FAFC-FDDA-425C-9841-F74621AB4B55}"/>
    <cellStyle name="Standard 6 2 4 7 2 3 2 3" xfId="17401" xr:uid="{E44F8DAD-8DAC-4538-AF49-85B34E913E7B}"/>
    <cellStyle name="Standard 6 2 4 7 2 3 3" xfId="5442" xr:uid="{00000000-0005-0000-0000-000049150000}"/>
    <cellStyle name="Standard 6 2 4 7 2 3 3 2" xfId="17403" xr:uid="{0770254A-DECD-423F-8DAC-1869BAC5AFB9}"/>
    <cellStyle name="Standard 6 2 4 7 2 3 4" xfId="17400" xr:uid="{83D9E0A0-711F-4454-9F65-DC145CE75613}"/>
    <cellStyle name="Standard 6 2 4 7 2 4" xfId="5443" xr:uid="{00000000-0005-0000-0000-00004A150000}"/>
    <cellStyle name="Standard 6 2 4 7 2 4 2" xfId="5444" xr:uid="{00000000-0005-0000-0000-00004B150000}"/>
    <cellStyle name="Standard 6 2 4 7 2 4 2 2" xfId="5445" xr:uid="{00000000-0005-0000-0000-00004C150000}"/>
    <cellStyle name="Standard 6 2 4 7 2 4 2 2 2" xfId="17406" xr:uid="{7C1882FC-E365-435F-9E5A-26026C51730B}"/>
    <cellStyle name="Standard 6 2 4 7 2 4 2 3" xfId="17405" xr:uid="{2C9CCFEF-1ADA-4C26-AFE4-F020539F54F6}"/>
    <cellStyle name="Standard 6 2 4 7 2 4 3" xfId="5446" xr:uid="{00000000-0005-0000-0000-00004D150000}"/>
    <cellStyle name="Standard 6 2 4 7 2 4 3 2" xfId="17407" xr:uid="{FA48E7DA-EB9C-43B0-9221-020265EB5C5F}"/>
    <cellStyle name="Standard 6 2 4 7 2 4 4" xfId="17404" xr:uid="{93CAD173-E16F-49B4-A2A6-6ED4974F8CAB}"/>
    <cellStyle name="Standard 6 2 4 7 2 5" xfId="5447" xr:uid="{00000000-0005-0000-0000-00004E150000}"/>
    <cellStyle name="Standard 6 2 4 7 2 5 2" xfId="5448" xr:uid="{00000000-0005-0000-0000-00004F150000}"/>
    <cellStyle name="Standard 6 2 4 7 2 5 2 2" xfId="5449" xr:uid="{00000000-0005-0000-0000-000050150000}"/>
    <cellStyle name="Standard 6 2 4 7 2 5 2 2 2" xfId="17410" xr:uid="{136FAAE3-3EA6-4D38-B498-FF1D9060173C}"/>
    <cellStyle name="Standard 6 2 4 7 2 5 2 3" xfId="17409" xr:uid="{191DD87B-E20D-41B4-B58B-33CCBF75FE88}"/>
    <cellStyle name="Standard 6 2 4 7 2 5 3" xfId="5450" xr:uid="{00000000-0005-0000-0000-000051150000}"/>
    <cellStyle name="Standard 6 2 4 7 2 5 3 2" xfId="17411" xr:uid="{1970BAD7-A0BB-49BF-B903-E5B26A10FA4E}"/>
    <cellStyle name="Standard 6 2 4 7 2 5 4" xfId="17408" xr:uid="{50A22624-5078-44F0-AAA5-CF83A0BD77D4}"/>
    <cellStyle name="Standard 6 2 4 7 2 6" xfId="5451" xr:uid="{00000000-0005-0000-0000-000052150000}"/>
    <cellStyle name="Standard 6 2 4 7 2 6 2" xfId="5452" xr:uid="{00000000-0005-0000-0000-000053150000}"/>
    <cellStyle name="Standard 6 2 4 7 2 6 2 2" xfId="5453" xr:uid="{00000000-0005-0000-0000-000054150000}"/>
    <cellStyle name="Standard 6 2 4 7 2 6 2 2 2" xfId="17414" xr:uid="{F4F81EE8-2A63-438B-BBD6-05692CE6D875}"/>
    <cellStyle name="Standard 6 2 4 7 2 6 2 3" xfId="17413" xr:uid="{50199A3A-0053-4C1E-93B7-C4BAD36DFF82}"/>
    <cellStyle name="Standard 6 2 4 7 2 6 3" xfId="5454" xr:uid="{00000000-0005-0000-0000-000055150000}"/>
    <cellStyle name="Standard 6 2 4 7 2 6 3 2" xfId="17415" xr:uid="{A44C8420-3F0E-4BDB-8713-BEB522BF0BE0}"/>
    <cellStyle name="Standard 6 2 4 7 2 6 4" xfId="17412" xr:uid="{C5F467F2-35EA-4650-9BC0-6D9F9D12FB49}"/>
    <cellStyle name="Standard 6 2 4 7 2 7" xfId="5455" xr:uid="{00000000-0005-0000-0000-000056150000}"/>
    <cellStyle name="Standard 6 2 4 7 2 7 2" xfId="5456" xr:uid="{00000000-0005-0000-0000-000057150000}"/>
    <cellStyle name="Standard 6 2 4 7 2 7 2 2" xfId="5457" xr:uid="{00000000-0005-0000-0000-000058150000}"/>
    <cellStyle name="Standard 6 2 4 7 2 7 2 2 2" xfId="17418" xr:uid="{A7AD5976-F926-4759-8351-C6C790EDD5CD}"/>
    <cellStyle name="Standard 6 2 4 7 2 7 2 3" xfId="17417" xr:uid="{3B3189CC-6AB4-4E3E-81D7-EE793D05B252}"/>
    <cellStyle name="Standard 6 2 4 7 2 7 3" xfId="5458" xr:uid="{00000000-0005-0000-0000-000059150000}"/>
    <cellStyle name="Standard 6 2 4 7 2 7 3 2" xfId="17419" xr:uid="{38C1B66C-C504-41EF-A486-CC817467F468}"/>
    <cellStyle name="Standard 6 2 4 7 2 7 4" xfId="17416" xr:uid="{487F6727-D440-47BA-8BFE-709F279F5B5B}"/>
    <cellStyle name="Standard 6 2 4 7 2 8" xfId="5459" xr:uid="{00000000-0005-0000-0000-00005A150000}"/>
    <cellStyle name="Standard 6 2 4 7 2 8 2" xfId="5460" xr:uid="{00000000-0005-0000-0000-00005B150000}"/>
    <cellStyle name="Standard 6 2 4 7 2 8 2 2" xfId="17421" xr:uid="{211BEA5D-3F9F-4D44-AEB0-9F09B6061751}"/>
    <cellStyle name="Standard 6 2 4 7 2 8 3" xfId="17420" xr:uid="{721D8601-09BC-49DF-BE9E-56C5680CF0D6}"/>
    <cellStyle name="Standard 6 2 4 7 2 9" xfId="5461" xr:uid="{00000000-0005-0000-0000-00005C150000}"/>
    <cellStyle name="Standard 6 2 4 7 2 9 2" xfId="17422" xr:uid="{2E413337-9D52-4602-9396-B12F934FD9DC}"/>
    <cellStyle name="Standard 6 2 4 7 3" xfId="5462" xr:uid="{00000000-0005-0000-0000-00005D150000}"/>
    <cellStyle name="Standard 6 2 4 7 3 2" xfId="5463" xr:uid="{00000000-0005-0000-0000-00005E150000}"/>
    <cellStyle name="Standard 6 2 4 7 3 2 2" xfId="5464" xr:uid="{00000000-0005-0000-0000-00005F150000}"/>
    <cellStyle name="Standard 6 2 4 7 3 2 2 2" xfId="17425" xr:uid="{525DDAF4-BD1D-4DEF-891F-7A08182DFFC3}"/>
    <cellStyle name="Standard 6 2 4 7 3 2 3" xfId="17424" xr:uid="{8558948D-121A-43F5-A799-C127118594C3}"/>
    <cellStyle name="Standard 6 2 4 7 3 3" xfId="5465" xr:uid="{00000000-0005-0000-0000-000060150000}"/>
    <cellStyle name="Standard 6 2 4 7 3 3 2" xfId="17426" xr:uid="{6831DA48-D735-4D15-A800-60D6378592ED}"/>
    <cellStyle name="Standard 6 2 4 7 3 4" xfId="17423" xr:uid="{A6E72DE0-A592-4F30-A3B7-E998F8A91E15}"/>
    <cellStyle name="Standard 6 2 4 7 4" xfId="5466" xr:uid="{00000000-0005-0000-0000-000061150000}"/>
    <cellStyle name="Standard 6 2 4 7 4 2" xfId="5467" xr:uid="{00000000-0005-0000-0000-000062150000}"/>
    <cellStyle name="Standard 6 2 4 7 4 2 2" xfId="5468" xr:uid="{00000000-0005-0000-0000-000063150000}"/>
    <cellStyle name="Standard 6 2 4 7 4 2 2 2" xfId="17429" xr:uid="{6A42A07D-FA0F-4F75-9586-3E7C5B3F15A2}"/>
    <cellStyle name="Standard 6 2 4 7 4 2 3" xfId="17428" xr:uid="{7B0C14C7-6068-476F-90C3-9AD77B79E65D}"/>
    <cellStyle name="Standard 6 2 4 7 4 3" xfId="5469" xr:uid="{00000000-0005-0000-0000-000064150000}"/>
    <cellStyle name="Standard 6 2 4 7 4 3 2" xfId="17430" xr:uid="{BCCAA864-5E91-4FE6-87C6-7619A2D2007E}"/>
    <cellStyle name="Standard 6 2 4 7 4 4" xfId="17427" xr:uid="{E9A46FD5-A377-4955-8E67-590252C76084}"/>
    <cellStyle name="Standard 6 2 4 7 5" xfId="5470" xr:uid="{00000000-0005-0000-0000-000065150000}"/>
    <cellStyle name="Standard 6 2 4 7 5 2" xfId="5471" xr:uid="{00000000-0005-0000-0000-000066150000}"/>
    <cellStyle name="Standard 6 2 4 7 5 2 2" xfId="5472" xr:uid="{00000000-0005-0000-0000-000067150000}"/>
    <cellStyle name="Standard 6 2 4 7 5 2 2 2" xfId="17433" xr:uid="{A483397D-0431-46FB-8C9D-A6A3D8A678E7}"/>
    <cellStyle name="Standard 6 2 4 7 5 2 3" xfId="17432" xr:uid="{6D646E7F-CA97-4A7D-B569-7B7330E349BA}"/>
    <cellStyle name="Standard 6 2 4 7 5 3" xfId="5473" xr:uid="{00000000-0005-0000-0000-000068150000}"/>
    <cellStyle name="Standard 6 2 4 7 5 3 2" xfId="17434" xr:uid="{B9E263B4-CD01-478D-BF51-B40A120BA502}"/>
    <cellStyle name="Standard 6 2 4 7 5 4" xfId="17431" xr:uid="{5057A347-8898-494F-A55D-A9DB239E9096}"/>
    <cellStyle name="Standard 6 2 4 7 6" xfId="5474" xr:uid="{00000000-0005-0000-0000-000069150000}"/>
    <cellStyle name="Standard 6 2 4 7 6 2" xfId="5475" xr:uid="{00000000-0005-0000-0000-00006A150000}"/>
    <cellStyle name="Standard 6 2 4 7 6 2 2" xfId="5476" xr:uid="{00000000-0005-0000-0000-00006B150000}"/>
    <cellStyle name="Standard 6 2 4 7 6 2 2 2" xfId="17437" xr:uid="{45A11CF5-D013-4E8B-A835-51BF30539CA6}"/>
    <cellStyle name="Standard 6 2 4 7 6 2 3" xfId="17436" xr:uid="{37A5A6F0-5583-4A2D-A0D9-E20EB3AE101E}"/>
    <cellStyle name="Standard 6 2 4 7 6 3" xfId="5477" xr:uid="{00000000-0005-0000-0000-00006C150000}"/>
    <cellStyle name="Standard 6 2 4 7 6 3 2" xfId="17438" xr:uid="{1DE1C801-29A0-4A42-999B-7060B582725F}"/>
    <cellStyle name="Standard 6 2 4 7 6 4" xfId="17435" xr:uid="{2536C38A-20DA-423F-9771-CBF911526C5D}"/>
    <cellStyle name="Standard 6 2 4 7 7" xfId="5478" xr:uid="{00000000-0005-0000-0000-00006D150000}"/>
    <cellStyle name="Standard 6 2 4 7 7 2" xfId="5479" xr:uid="{00000000-0005-0000-0000-00006E150000}"/>
    <cellStyle name="Standard 6 2 4 7 7 2 2" xfId="5480" xr:uid="{00000000-0005-0000-0000-00006F150000}"/>
    <cellStyle name="Standard 6 2 4 7 7 2 2 2" xfId="17441" xr:uid="{31EDE45A-E0A6-4489-9F8A-E962C7EBFBC1}"/>
    <cellStyle name="Standard 6 2 4 7 7 2 3" xfId="17440" xr:uid="{F70AE34D-47C8-4AE0-8029-DC9299F35B4C}"/>
    <cellStyle name="Standard 6 2 4 7 7 3" xfId="5481" xr:uid="{00000000-0005-0000-0000-000070150000}"/>
    <cellStyle name="Standard 6 2 4 7 7 3 2" xfId="17442" xr:uid="{6CABA593-B1A8-4825-BBE3-A1B418491569}"/>
    <cellStyle name="Standard 6 2 4 7 7 4" xfId="17439" xr:uid="{DD4BB02D-C639-4327-A140-48B13C46D3C9}"/>
    <cellStyle name="Standard 6 2 4 7 8" xfId="5482" xr:uid="{00000000-0005-0000-0000-000071150000}"/>
    <cellStyle name="Standard 6 2 4 7 8 2" xfId="5483" xr:uid="{00000000-0005-0000-0000-000072150000}"/>
    <cellStyle name="Standard 6 2 4 7 8 2 2" xfId="5484" xr:uid="{00000000-0005-0000-0000-000073150000}"/>
    <cellStyle name="Standard 6 2 4 7 8 2 2 2" xfId="17445" xr:uid="{B624A142-BF76-421F-B4C2-2C4D2468152A}"/>
    <cellStyle name="Standard 6 2 4 7 8 2 3" xfId="17444" xr:uid="{B57E8074-A66D-4998-8DAB-20F547B96F34}"/>
    <cellStyle name="Standard 6 2 4 7 8 3" xfId="5485" xr:uid="{00000000-0005-0000-0000-000074150000}"/>
    <cellStyle name="Standard 6 2 4 7 8 3 2" xfId="17446" xr:uid="{4F611B5F-10CB-4E42-9730-0FDD6373BD21}"/>
    <cellStyle name="Standard 6 2 4 7 8 4" xfId="17443" xr:uid="{AC5FA424-6F3D-4ECB-85BE-D96A9A023DA3}"/>
    <cellStyle name="Standard 6 2 4 7 9" xfId="5486" xr:uid="{00000000-0005-0000-0000-000075150000}"/>
    <cellStyle name="Standard 6 2 4 7 9 2" xfId="5487" xr:uid="{00000000-0005-0000-0000-000076150000}"/>
    <cellStyle name="Standard 6 2 4 7 9 2 2" xfId="17448" xr:uid="{65D73652-B217-46F6-800D-8866D172EDAA}"/>
    <cellStyle name="Standard 6 2 4 7 9 3" xfId="17447" xr:uid="{A4DF06F1-CFBA-404F-B7C1-3A9752CD9870}"/>
    <cellStyle name="Standard 6 2 4 8" xfId="5488" xr:uid="{00000000-0005-0000-0000-000077150000}"/>
    <cellStyle name="Standard 6 2 4 8 10" xfId="17449" xr:uid="{C38AB6EC-7E9D-4A8A-97C3-4385ABA8C18B}"/>
    <cellStyle name="Standard 6 2 4 8 2" xfId="5489" xr:uid="{00000000-0005-0000-0000-000078150000}"/>
    <cellStyle name="Standard 6 2 4 8 2 2" xfId="5490" xr:uid="{00000000-0005-0000-0000-000079150000}"/>
    <cellStyle name="Standard 6 2 4 8 2 2 2" xfId="5491" xr:uid="{00000000-0005-0000-0000-00007A150000}"/>
    <cellStyle name="Standard 6 2 4 8 2 2 2 2" xfId="17452" xr:uid="{69523786-FFF3-4D45-80C5-0E3B7D52A763}"/>
    <cellStyle name="Standard 6 2 4 8 2 2 3" xfId="17451" xr:uid="{7D5A1CF9-CD62-435E-B05A-73745FDF502E}"/>
    <cellStyle name="Standard 6 2 4 8 2 3" xfId="5492" xr:uid="{00000000-0005-0000-0000-00007B150000}"/>
    <cellStyle name="Standard 6 2 4 8 2 3 2" xfId="17453" xr:uid="{5863B304-F877-45B9-9C36-F6D843629A0E}"/>
    <cellStyle name="Standard 6 2 4 8 2 4" xfId="17450" xr:uid="{9C29D274-1615-4D72-A2D8-63D7CC4002CC}"/>
    <cellStyle name="Standard 6 2 4 8 3" xfId="5493" xr:uid="{00000000-0005-0000-0000-00007C150000}"/>
    <cellStyle name="Standard 6 2 4 8 3 2" xfId="5494" xr:uid="{00000000-0005-0000-0000-00007D150000}"/>
    <cellStyle name="Standard 6 2 4 8 3 2 2" xfId="5495" xr:uid="{00000000-0005-0000-0000-00007E150000}"/>
    <cellStyle name="Standard 6 2 4 8 3 2 2 2" xfId="17456" xr:uid="{767EF0EB-1A4C-400B-992B-3C59FBFD4055}"/>
    <cellStyle name="Standard 6 2 4 8 3 2 3" xfId="17455" xr:uid="{61CB002E-3E32-4E7B-B58A-5D9E593CE0ED}"/>
    <cellStyle name="Standard 6 2 4 8 3 3" xfId="5496" xr:uid="{00000000-0005-0000-0000-00007F150000}"/>
    <cellStyle name="Standard 6 2 4 8 3 3 2" xfId="17457" xr:uid="{27AE8357-98B8-43DD-9E51-ADAD8BD7EC28}"/>
    <cellStyle name="Standard 6 2 4 8 3 4" xfId="17454" xr:uid="{25FDABF4-57B4-4B19-AB39-E3386FF27CC9}"/>
    <cellStyle name="Standard 6 2 4 8 4" xfId="5497" xr:uid="{00000000-0005-0000-0000-000080150000}"/>
    <cellStyle name="Standard 6 2 4 8 4 2" xfId="5498" xr:uid="{00000000-0005-0000-0000-000081150000}"/>
    <cellStyle name="Standard 6 2 4 8 4 2 2" xfId="5499" xr:uid="{00000000-0005-0000-0000-000082150000}"/>
    <cellStyle name="Standard 6 2 4 8 4 2 2 2" xfId="17460" xr:uid="{5A66B834-022C-43EF-AD9B-1896062C9BF3}"/>
    <cellStyle name="Standard 6 2 4 8 4 2 3" xfId="17459" xr:uid="{EA1CF42A-7ABC-4BD8-8F71-99D8504D656B}"/>
    <cellStyle name="Standard 6 2 4 8 4 3" xfId="5500" xr:uid="{00000000-0005-0000-0000-000083150000}"/>
    <cellStyle name="Standard 6 2 4 8 4 3 2" xfId="17461" xr:uid="{16165F2D-848F-4FFD-AE09-7CB8189C08FA}"/>
    <cellStyle name="Standard 6 2 4 8 4 4" xfId="17458" xr:uid="{CA1CE592-59DD-43E5-980F-9148BFF68BAE}"/>
    <cellStyle name="Standard 6 2 4 8 5" xfId="5501" xr:uid="{00000000-0005-0000-0000-000084150000}"/>
    <cellStyle name="Standard 6 2 4 8 5 2" xfId="5502" xr:uid="{00000000-0005-0000-0000-000085150000}"/>
    <cellStyle name="Standard 6 2 4 8 5 2 2" xfId="5503" xr:uid="{00000000-0005-0000-0000-000086150000}"/>
    <cellStyle name="Standard 6 2 4 8 5 2 2 2" xfId="17464" xr:uid="{1FF9AFA4-8CCA-43FA-B0CC-78AF32AE9F5F}"/>
    <cellStyle name="Standard 6 2 4 8 5 2 3" xfId="17463" xr:uid="{6B9F9166-5760-4998-BC7E-B9483977D1C4}"/>
    <cellStyle name="Standard 6 2 4 8 5 3" xfId="5504" xr:uid="{00000000-0005-0000-0000-000087150000}"/>
    <cellStyle name="Standard 6 2 4 8 5 3 2" xfId="17465" xr:uid="{E6BB1BCA-266D-4CB8-9EAD-090C54092268}"/>
    <cellStyle name="Standard 6 2 4 8 5 4" xfId="17462" xr:uid="{28A5C866-E71F-43D7-A711-B733D3432C75}"/>
    <cellStyle name="Standard 6 2 4 8 6" xfId="5505" xr:uid="{00000000-0005-0000-0000-000088150000}"/>
    <cellStyle name="Standard 6 2 4 8 6 2" xfId="5506" xr:uid="{00000000-0005-0000-0000-000089150000}"/>
    <cellStyle name="Standard 6 2 4 8 6 2 2" xfId="5507" xr:uid="{00000000-0005-0000-0000-00008A150000}"/>
    <cellStyle name="Standard 6 2 4 8 6 2 2 2" xfId="17468" xr:uid="{8C968C91-DA63-4F36-B7D8-241239C19CFE}"/>
    <cellStyle name="Standard 6 2 4 8 6 2 3" xfId="17467" xr:uid="{994C7B57-C7E8-4CEB-BBFC-9F7432D66ED2}"/>
    <cellStyle name="Standard 6 2 4 8 6 3" xfId="5508" xr:uid="{00000000-0005-0000-0000-00008B150000}"/>
    <cellStyle name="Standard 6 2 4 8 6 3 2" xfId="17469" xr:uid="{883CD1E3-19B7-447D-99F9-FFE560BF6E27}"/>
    <cellStyle name="Standard 6 2 4 8 6 4" xfId="17466" xr:uid="{34E5E2F1-BF39-4248-86A9-51839B43FC55}"/>
    <cellStyle name="Standard 6 2 4 8 7" xfId="5509" xr:uid="{00000000-0005-0000-0000-00008C150000}"/>
    <cellStyle name="Standard 6 2 4 8 7 2" xfId="5510" xr:uid="{00000000-0005-0000-0000-00008D150000}"/>
    <cellStyle name="Standard 6 2 4 8 7 2 2" xfId="5511" xr:uid="{00000000-0005-0000-0000-00008E150000}"/>
    <cellStyle name="Standard 6 2 4 8 7 2 2 2" xfId="17472" xr:uid="{26E2CADD-1A70-4003-A3D0-F12949AF37EE}"/>
    <cellStyle name="Standard 6 2 4 8 7 2 3" xfId="17471" xr:uid="{B8A68C1D-72C6-4DE4-B904-D2CEDFA98A5E}"/>
    <cellStyle name="Standard 6 2 4 8 7 3" xfId="5512" xr:uid="{00000000-0005-0000-0000-00008F150000}"/>
    <cellStyle name="Standard 6 2 4 8 7 3 2" xfId="17473" xr:uid="{7B29489D-9C77-43D2-8C27-8BE7F387B41E}"/>
    <cellStyle name="Standard 6 2 4 8 7 4" xfId="17470" xr:uid="{9E7F422D-631D-4830-9D53-CC523FE67468}"/>
    <cellStyle name="Standard 6 2 4 8 8" xfId="5513" xr:uid="{00000000-0005-0000-0000-000090150000}"/>
    <cellStyle name="Standard 6 2 4 8 8 2" xfId="5514" xr:uid="{00000000-0005-0000-0000-000091150000}"/>
    <cellStyle name="Standard 6 2 4 8 8 2 2" xfId="17475" xr:uid="{B2EE1840-71D2-4512-A1DB-D9FECF5493B5}"/>
    <cellStyle name="Standard 6 2 4 8 8 3" xfId="17474" xr:uid="{AB6D37EF-0848-49C4-9903-849443866F2F}"/>
    <cellStyle name="Standard 6 2 4 8 9" xfId="5515" xr:uid="{00000000-0005-0000-0000-000092150000}"/>
    <cellStyle name="Standard 6 2 4 8 9 2" xfId="17476" xr:uid="{9BCFEC5E-D493-4FD5-B496-485DF8003EBD}"/>
    <cellStyle name="Standard 6 2 4 9" xfId="5516" xr:uid="{00000000-0005-0000-0000-000093150000}"/>
    <cellStyle name="Standard 6 2 4 9 2" xfId="5517" xr:uid="{00000000-0005-0000-0000-000094150000}"/>
    <cellStyle name="Standard 6 2 4 9 2 2" xfId="5518" xr:uid="{00000000-0005-0000-0000-000095150000}"/>
    <cellStyle name="Standard 6 2 4 9 2 2 2" xfId="5519" xr:uid="{00000000-0005-0000-0000-000096150000}"/>
    <cellStyle name="Standard 6 2 4 9 2 2 2 2" xfId="17480" xr:uid="{74F6E345-2201-4FAB-827D-94767813A0BF}"/>
    <cellStyle name="Standard 6 2 4 9 2 2 3" xfId="17479" xr:uid="{2F804965-82A3-4156-825E-5A2DA1753A89}"/>
    <cellStyle name="Standard 6 2 4 9 2 3" xfId="5520" xr:uid="{00000000-0005-0000-0000-000097150000}"/>
    <cellStyle name="Standard 6 2 4 9 2 3 2" xfId="17481" xr:uid="{5BC52CAE-AB93-47AB-9B94-C1141C9F6759}"/>
    <cellStyle name="Standard 6 2 4 9 2 4" xfId="17478" xr:uid="{75D58781-CA73-46A9-90D6-5678A43A1115}"/>
    <cellStyle name="Standard 6 2 4 9 3" xfId="5521" xr:uid="{00000000-0005-0000-0000-000098150000}"/>
    <cellStyle name="Standard 6 2 4 9 3 2" xfId="5522" xr:uid="{00000000-0005-0000-0000-000099150000}"/>
    <cellStyle name="Standard 6 2 4 9 3 2 2" xfId="5523" xr:uid="{00000000-0005-0000-0000-00009A150000}"/>
    <cellStyle name="Standard 6 2 4 9 3 2 2 2" xfId="17484" xr:uid="{ACDB4168-5476-4C7C-946B-1349D59C9A7A}"/>
    <cellStyle name="Standard 6 2 4 9 3 2 3" xfId="17483" xr:uid="{CF461772-597E-473C-9F3B-D24B1C3C0377}"/>
    <cellStyle name="Standard 6 2 4 9 3 3" xfId="5524" xr:uid="{00000000-0005-0000-0000-00009B150000}"/>
    <cellStyle name="Standard 6 2 4 9 3 3 2" xfId="17485" xr:uid="{7A72E75D-888B-44EA-A673-04452DFA3092}"/>
    <cellStyle name="Standard 6 2 4 9 3 4" xfId="17482" xr:uid="{66C91F14-894B-4F72-8E16-1CA8C4F27864}"/>
    <cellStyle name="Standard 6 2 4 9 4" xfId="5525" xr:uid="{00000000-0005-0000-0000-00009C150000}"/>
    <cellStyle name="Standard 6 2 4 9 4 2" xfId="5526" xr:uid="{00000000-0005-0000-0000-00009D150000}"/>
    <cellStyle name="Standard 6 2 4 9 4 2 2" xfId="5527" xr:uid="{00000000-0005-0000-0000-00009E150000}"/>
    <cellStyle name="Standard 6 2 4 9 4 2 2 2" xfId="17488" xr:uid="{CCF094F5-461B-4AFF-9FD3-A65E480CF1A2}"/>
    <cellStyle name="Standard 6 2 4 9 4 2 3" xfId="17487" xr:uid="{3D03F4FC-3798-48F1-A92D-946C7C760901}"/>
    <cellStyle name="Standard 6 2 4 9 4 3" xfId="5528" xr:uid="{00000000-0005-0000-0000-00009F150000}"/>
    <cellStyle name="Standard 6 2 4 9 4 3 2" xfId="17489" xr:uid="{10A03A55-83E4-4AEE-B8A1-51D779A3DF85}"/>
    <cellStyle name="Standard 6 2 4 9 4 4" xfId="17486" xr:uid="{226989FF-E519-4B34-A949-3A43BD9A8C06}"/>
    <cellStyle name="Standard 6 2 4 9 5" xfId="5529" xr:uid="{00000000-0005-0000-0000-0000A0150000}"/>
    <cellStyle name="Standard 6 2 4 9 5 2" xfId="5530" xr:uid="{00000000-0005-0000-0000-0000A1150000}"/>
    <cellStyle name="Standard 6 2 4 9 5 2 2" xfId="5531" xr:uid="{00000000-0005-0000-0000-0000A2150000}"/>
    <cellStyle name="Standard 6 2 4 9 5 2 2 2" xfId="17492" xr:uid="{69B84ECE-CDD5-4B98-B160-32D98305B7FB}"/>
    <cellStyle name="Standard 6 2 4 9 5 2 3" xfId="17491" xr:uid="{2ED1CC64-8A73-4F91-B3D5-2116B8D2FC23}"/>
    <cellStyle name="Standard 6 2 4 9 5 3" xfId="5532" xr:uid="{00000000-0005-0000-0000-0000A3150000}"/>
    <cellStyle name="Standard 6 2 4 9 5 3 2" xfId="17493" xr:uid="{C1FD9A83-AFBC-4832-ACBF-4A01C1876A13}"/>
    <cellStyle name="Standard 6 2 4 9 5 4" xfId="17490" xr:uid="{1479AABF-2D4C-46D6-B81D-F5C90988B5FC}"/>
    <cellStyle name="Standard 6 2 4 9 6" xfId="5533" xr:uid="{00000000-0005-0000-0000-0000A4150000}"/>
    <cellStyle name="Standard 6 2 4 9 6 2" xfId="5534" xr:uid="{00000000-0005-0000-0000-0000A5150000}"/>
    <cellStyle name="Standard 6 2 4 9 6 2 2" xfId="5535" xr:uid="{00000000-0005-0000-0000-0000A6150000}"/>
    <cellStyle name="Standard 6 2 4 9 6 2 2 2" xfId="17496" xr:uid="{B87625DD-22B5-4F5B-B7A3-91EC3A8BF17A}"/>
    <cellStyle name="Standard 6 2 4 9 6 2 3" xfId="17495" xr:uid="{FD89ED8B-3032-4AEA-8BF8-2B1D6A168584}"/>
    <cellStyle name="Standard 6 2 4 9 6 3" xfId="5536" xr:uid="{00000000-0005-0000-0000-0000A7150000}"/>
    <cellStyle name="Standard 6 2 4 9 6 3 2" xfId="17497" xr:uid="{2C9C3085-FD22-45EC-84C1-365794518152}"/>
    <cellStyle name="Standard 6 2 4 9 6 4" xfId="17494" xr:uid="{0A58BDB3-5824-4D8D-B754-9000A2018EC1}"/>
    <cellStyle name="Standard 6 2 4 9 7" xfId="5537" xr:uid="{00000000-0005-0000-0000-0000A8150000}"/>
    <cellStyle name="Standard 6 2 4 9 7 2" xfId="5538" xr:uid="{00000000-0005-0000-0000-0000A9150000}"/>
    <cellStyle name="Standard 6 2 4 9 7 2 2" xfId="17499" xr:uid="{30CBAD5C-89C6-4910-8219-2F2624F523CE}"/>
    <cellStyle name="Standard 6 2 4 9 7 3" xfId="17498" xr:uid="{2F889E2F-C8F6-46E5-9FFF-5C66878C3A37}"/>
    <cellStyle name="Standard 6 2 4 9 8" xfId="5539" xr:uid="{00000000-0005-0000-0000-0000AA150000}"/>
    <cellStyle name="Standard 6 2 4 9 8 2" xfId="17500" xr:uid="{0A808DE3-BD88-45E1-83EC-513B85E037F9}"/>
    <cellStyle name="Standard 6 2 4 9 9" xfId="17477" xr:uid="{E0D16CD0-A293-4F52-B59B-506C724849E2}"/>
    <cellStyle name="Standard 6 2 5" xfId="5540" xr:uid="{00000000-0005-0000-0000-0000AB150000}"/>
    <cellStyle name="Standard 6 2 5 10" xfId="5541" xr:uid="{00000000-0005-0000-0000-0000AC150000}"/>
    <cellStyle name="Standard 6 2 5 10 2" xfId="5542" xr:uid="{00000000-0005-0000-0000-0000AD150000}"/>
    <cellStyle name="Standard 6 2 5 10 2 2" xfId="5543" xr:uid="{00000000-0005-0000-0000-0000AE150000}"/>
    <cellStyle name="Standard 6 2 5 10 2 2 2" xfId="17504" xr:uid="{2AB39EC6-84EA-4872-950D-09F96FBC9EE3}"/>
    <cellStyle name="Standard 6 2 5 10 2 3" xfId="17503" xr:uid="{0091D45C-CBF2-4C9B-9C55-49226704C42B}"/>
    <cellStyle name="Standard 6 2 5 10 3" xfId="5544" xr:uid="{00000000-0005-0000-0000-0000AF150000}"/>
    <cellStyle name="Standard 6 2 5 10 3 2" xfId="17505" xr:uid="{479F2646-E5BA-47EA-9959-A5407A8E0B90}"/>
    <cellStyle name="Standard 6 2 5 10 4" xfId="17502" xr:uid="{A463CB21-8C53-4610-96E5-ECF0A6C2010A}"/>
    <cellStyle name="Standard 6 2 5 11" xfId="5545" xr:uid="{00000000-0005-0000-0000-0000B0150000}"/>
    <cellStyle name="Standard 6 2 5 11 2" xfId="5546" xr:uid="{00000000-0005-0000-0000-0000B1150000}"/>
    <cellStyle name="Standard 6 2 5 11 2 2" xfId="5547" xr:uid="{00000000-0005-0000-0000-0000B2150000}"/>
    <cellStyle name="Standard 6 2 5 11 2 2 2" xfId="17508" xr:uid="{D6C688D8-278E-4EBE-8105-4342621CE6BE}"/>
    <cellStyle name="Standard 6 2 5 11 2 3" xfId="17507" xr:uid="{3BBBD4B2-75BD-42C0-8F59-B9E5C24814BF}"/>
    <cellStyle name="Standard 6 2 5 11 3" xfId="5548" xr:uid="{00000000-0005-0000-0000-0000B3150000}"/>
    <cellStyle name="Standard 6 2 5 11 3 2" xfId="17509" xr:uid="{33AD5DD3-1249-47A3-94F4-6A3BB9A4AF0E}"/>
    <cellStyle name="Standard 6 2 5 11 4" xfId="17506" xr:uid="{568AA0A5-0032-47C3-8B9F-7A295B00D6BA}"/>
    <cellStyle name="Standard 6 2 5 12" xfId="5549" xr:uid="{00000000-0005-0000-0000-0000B4150000}"/>
    <cellStyle name="Standard 6 2 5 12 2" xfId="5550" xr:uid="{00000000-0005-0000-0000-0000B5150000}"/>
    <cellStyle name="Standard 6 2 5 12 2 2" xfId="5551" xr:uid="{00000000-0005-0000-0000-0000B6150000}"/>
    <cellStyle name="Standard 6 2 5 12 2 2 2" xfId="17512" xr:uid="{C58F327D-02AF-4359-9226-6DC5F76548FE}"/>
    <cellStyle name="Standard 6 2 5 12 2 3" xfId="17511" xr:uid="{5CB47B3D-6E99-4F8B-94AE-B5483B9A2694}"/>
    <cellStyle name="Standard 6 2 5 12 3" xfId="5552" xr:uid="{00000000-0005-0000-0000-0000B7150000}"/>
    <cellStyle name="Standard 6 2 5 12 3 2" xfId="17513" xr:uid="{959CF324-42FD-4457-93A5-2812DB2D8155}"/>
    <cellStyle name="Standard 6 2 5 12 4" xfId="17510" xr:uid="{A6F73AD9-0FF1-4977-BFDD-456D56876130}"/>
    <cellStyle name="Standard 6 2 5 13" xfId="5553" xr:uid="{00000000-0005-0000-0000-0000B8150000}"/>
    <cellStyle name="Standard 6 2 5 13 2" xfId="5554" xr:uid="{00000000-0005-0000-0000-0000B9150000}"/>
    <cellStyle name="Standard 6 2 5 13 2 2" xfId="5555" xr:uid="{00000000-0005-0000-0000-0000BA150000}"/>
    <cellStyle name="Standard 6 2 5 13 2 2 2" xfId="17516" xr:uid="{D2F9A86F-9E18-4AB4-A61B-F0DB2A6653CE}"/>
    <cellStyle name="Standard 6 2 5 13 2 3" xfId="17515" xr:uid="{9FDE100B-6C1F-4930-A674-9E9F55B40737}"/>
    <cellStyle name="Standard 6 2 5 13 3" xfId="5556" xr:uid="{00000000-0005-0000-0000-0000BB150000}"/>
    <cellStyle name="Standard 6 2 5 13 3 2" xfId="17517" xr:uid="{77CB0386-63D7-41BE-BFA8-443C62338DCF}"/>
    <cellStyle name="Standard 6 2 5 13 4" xfId="17514" xr:uid="{9FE0CE7D-6650-4C97-97DE-16B1EAC28830}"/>
    <cellStyle name="Standard 6 2 5 14" xfId="5557" xr:uid="{00000000-0005-0000-0000-0000BC150000}"/>
    <cellStyle name="Standard 6 2 5 14 2" xfId="5558" xr:uid="{00000000-0005-0000-0000-0000BD150000}"/>
    <cellStyle name="Standard 6 2 5 14 2 2" xfId="5559" xr:uid="{00000000-0005-0000-0000-0000BE150000}"/>
    <cellStyle name="Standard 6 2 5 14 2 2 2" xfId="17520" xr:uid="{91BD2CB6-B0C8-47A8-8789-B8B20224C6B1}"/>
    <cellStyle name="Standard 6 2 5 14 2 3" xfId="17519" xr:uid="{32BD3A0C-BD39-4DBC-97C8-22E1375E43CF}"/>
    <cellStyle name="Standard 6 2 5 14 3" xfId="5560" xr:uid="{00000000-0005-0000-0000-0000BF150000}"/>
    <cellStyle name="Standard 6 2 5 14 3 2" xfId="17521" xr:uid="{B480E882-1151-4D4A-A807-3B97041A0175}"/>
    <cellStyle name="Standard 6 2 5 14 4" xfId="17518" xr:uid="{08774F01-125A-45F5-B97F-9F67CDF3E890}"/>
    <cellStyle name="Standard 6 2 5 15" xfId="5561" xr:uid="{00000000-0005-0000-0000-0000C0150000}"/>
    <cellStyle name="Standard 6 2 5 15 2" xfId="5562" xr:uid="{00000000-0005-0000-0000-0000C1150000}"/>
    <cellStyle name="Standard 6 2 5 15 2 2" xfId="5563" xr:uid="{00000000-0005-0000-0000-0000C2150000}"/>
    <cellStyle name="Standard 6 2 5 15 2 2 2" xfId="17524" xr:uid="{7D6A22AF-278D-47A9-8848-1BC5036CC15C}"/>
    <cellStyle name="Standard 6 2 5 15 2 3" xfId="17523" xr:uid="{FF7C1278-80FC-4B87-821E-124FA28EACD7}"/>
    <cellStyle name="Standard 6 2 5 15 3" xfId="5564" xr:uid="{00000000-0005-0000-0000-0000C3150000}"/>
    <cellStyle name="Standard 6 2 5 15 3 2" xfId="17525" xr:uid="{32A74228-AC44-4AE5-93FA-B7FD39E85D34}"/>
    <cellStyle name="Standard 6 2 5 15 4" xfId="17522" xr:uid="{EB0DB1D0-05A0-4C7E-AD38-477A80DA2403}"/>
    <cellStyle name="Standard 6 2 5 16" xfId="5565" xr:uid="{00000000-0005-0000-0000-0000C4150000}"/>
    <cellStyle name="Standard 6 2 5 16 2" xfId="5566" xr:uid="{00000000-0005-0000-0000-0000C5150000}"/>
    <cellStyle name="Standard 6 2 5 16 2 2" xfId="5567" xr:uid="{00000000-0005-0000-0000-0000C6150000}"/>
    <cellStyle name="Standard 6 2 5 16 2 2 2" xfId="17528" xr:uid="{898C43A5-30F8-4DC7-8EF2-E3404BE7768B}"/>
    <cellStyle name="Standard 6 2 5 16 2 3" xfId="17527" xr:uid="{457A9A2C-43F6-49D2-87C6-E1D9EDE776B8}"/>
    <cellStyle name="Standard 6 2 5 16 3" xfId="5568" xr:uid="{00000000-0005-0000-0000-0000C7150000}"/>
    <cellStyle name="Standard 6 2 5 16 3 2" xfId="17529" xr:uid="{35A946E9-65DE-4B94-B9EC-309AB0F27239}"/>
    <cellStyle name="Standard 6 2 5 16 4" xfId="17526" xr:uid="{83E97ADC-14B1-4426-B366-442B0C86C40C}"/>
    <cellStyle name="Standard 6 2 5 17" xfId="5569" xr:uid="{00000000-0005-0000-0000-0000C8150000}"/>
    <cellStyle name="Standard 6 2 5 17 2" xfId="5570" xr:uid="{00000000-0005-0000-0000-0000C9150000}"/>
    <cellStyle name="Standard 6 2 5 17 2 2" xfId="5571" xr:uid="{00000000-0005-0000-0000-0000CA150000}"/>
    <cellStyle name="Standard 6 2 5 17 2 2 2" xfId="17532" xr:uid="{12A4B83F-0A51-4567-8723-0E3013D72617}"/>
    <cellStyle name="Standard 6 2 5 17 2 3" xfId="17531" xr:uid="{6682A6E9-BD3A-44E0-8807-F008E0FB7933}"/>
    <cellStyle name="Standard 6 2 5 17 3" xfId="5572" xr:uid="{00000000-0005-0000-0000-0000CB150000}"/>
    <cellStyle name="Standard 6 2 5 17 3 2" xfId="17533" xr:uid="{159015F7-BB82-410D-ADB9-89042293333E}"/>
    <cellStyle name="Standard 6 2 5 17 4" xfId="17530" xr:uid="{75C483E5-2546-4EFA-829F-7D9B4DA6CD4F}"/>
    <cellStyle name="Standard 6 2 5 18" xfId="5573" xr:uid="{00000000-0005-0000-0000-0000CC150000}"/>
    <cellStyle name="Standard 6 2 5 18 2" xfId="5574" xr:uid="{00000000-0005-0000-0000-0000CD150000}"/>
    <cellStyle name="Standard 6 2 5 18 2 2" xfId="5575" xr:uid="{00000000-0005-0000-0000-0000CE150000}"/>
    <cellStyle name="Standard 6 2 5 18 2 2 2" xfId="17536" xr:uid="{2C402518-EA29-4F2C-9826-FBB87139A913}"/>
    <cellStyle name="Standard 6 2 5 18 2 3" xfId="17535" xr:uid="{7387B532-E119-4938-A1B1-0C2306A97A49}"/>
    <cellStyle name="Standard 6 2 5 18 3" xfId="5576" xr:uid="{00000000-0005-0000-0000-0000CF150000}"/>
    <cellStyle name="Standard 6 2 5 18 3 2" xfId="17537" xr:uid="{457DFF3C-7BB8-4AD4-85E6-38089D48AE3B}"/>
    <cellStyle name="Standard 6 2 5 18 4" xfId="17534" xr:uid="{375ADE2B-798A-4A47-805A-D2F8DB0F4F46}"/>
    <cellStyle name="Standard 6 2 5 19" xfId="5577" xr:uid="{00000000-0005-0000-0000-0000D0150000}"/>
    <cellStyle name="Standard 6 2 5 19 2" xfId="5578" xr:uid="{00000000-0005-0000-0000-0000D1150000}"/>
    <cellStyle name="Standard 6 2 5 19 2 2" xfId="5579" xr:uid="{00000000-0005-0000-0000-0000D2150000}"/>
    <cellStyle name="Standard 6 2 5 19 2 2 2" xfId="17540" xr:uid="{3089824E-940B-4740-8B8C-3975CDE316CB}"/>
    <cellStyle name="Standard 6 2 5 19 2 3" xfId="17539" xr:uid="{E63DBE67-61CE-426B-98D9-873F3DD3D632}"/>
    <cellStyle name="Standard 6 2 5 19 3" xfId="5580" xr:uid="{00000000-0005-0000-0000-0000D3150000}"/>
    <cellStyle name="Standard 6 2 5 19 3 2" xfId="17541" xr:uid="{CF0A5155-5EBF-4D59-A586-89FE4EC635F2}"/>
    <cellStyle name="Standard 6 2 5 19 4" xfId="17538" xr:uid="{DE33B51E-3508-4C80-BB0A-8EF513CB1E56}"/>
    <cellStyle name="Standard 6 2 5 2" xfId="5581" xr:uid="{00000000-0005-0000-0000-0000D4150000}"/>
    <cellStyle name="Standard 6 2 5 2 10" xfId="5582" xr:uid="{00000000-0005-0000-0000-0000D5150000}"/>
    <cellStyle name="Standard 6 2 5 2 10 2" xfId="5583" xr:uid="{00000000-0005-0000-0000-0000D6150000}"/>
    <cellStyle name="Standard 6 2 5 2 10 2 2" xfId="17544" xr:uid="{B18C2711-0C65-4ED4-BE43-42F77AECD041}"/>
    <cellStyle name="Standard 6 2 5 2 10 3" xfId="17543" xr:uid="{309032DE-8993-4E41-BF6D-983C8F40B9BF}"/>
    <cellStyle name="Standard 6 2 5 2 11" xfId="5584" xr:uid="{00000000-0005-0000-0000-0000D7150000}"/>
    <cellStyle name="Standard 6 2 5 2 11 2" xfId="17545" xr:uid="{12E53847-31E7-487A-A2EB-0B18C5723315}"/>
    <cellStyle name="Standard 6 2 5 2 12" xfId="17542" xr:uid="{AFEFB5EB-3D50-4E27-91F2-DAC655A1985D}"/>
    <cellStyle name="Standard 6 2 5 2 2" xfId="5585" xr:uid="{00000000-0005-0000-0000-0000D8150000}"/>
    <cellStyle name="Standard 6 2 5 2 2 10" xfId="5586" xr:uid="{00000000-0005-0000-0000-0000D9150000}"/>
    <cellStyle name="Standard 6 2 5 2 2 10 2" xfId="17547" xr:uid="{F3B14FBE-5C94-4A55-AD19-DD40144B55FF}"/>
    <cellStyle name="Standard 6 2 5 2 2 11" xfId="17546" xr:uid="{B1066B9C-1B3C-47D5-9108-51D38B993C76}"/>
    <cellStyle name="Standard 6 2 5 2 2 2" xfId="5587" xr:uid="{00000000-0005-0000-0000-0000DA150000}"/>
    <cellStyle name="Standard 6 2 5 2 2 2 10" xfId="17548" xr:uid="{B9253174-96D0-4F94-BDE4-255852AB9D1B}"/>
    <cellStyle name="Standard 6 2 5 2 2 2 2" xfId="5588" xr:uid="{00000000-0005-0000-0000-0000DB150000}"/>
    <cellStyle name="Standard 6 2 5 2 2 2 2 2" xfId="5589" xr:uid="{00000000-0005-0000-0000-0000DC150000}"/>
    <cellStyle name="Standard 6 2 5 2 2 2 2 2 2" xfId="5590" xr:uid="{00000000-0005-0000-0000-0000DD150000}"/>
    <cellStyle name="Standard 6 2 5 2 2 2 2 2 2 2" xfId="17551" xr:uid="{CCBBD15D-D3CA-4DC4-8368-A7F4A90DDDA7}"/>
    <cellStyle name="Standard 6 2 5 2 2 2 2 2 3" xfId="17550" xr:uid="{08B03E10-54D1-4C10-9E09-4CFFAA774D8A}"/>
    <cellStyle name="Standard 6 2 5 2 2 2 2 3" xfId="5591" xr:uid="{00000000-0005-0000-0000-0000DE150000}"/>
    <cellStyle name="Standard 6 2 5 2 2 2 2 3 2" xfId="17552" xr:uid="{957E3243-72FE-4DCB-BF52-CFDD7A153C15}"/>
    <cellStyle name="Standard 6 2 5 2 2 2 2 4" xfId="17549" xr:uid="{285C7978-3899-4E29-BF04-ABCCF8686D75}"/>
    <cellStyle name="Standard 6 2 5 2 2 2 3" xfId="5592" xr:uid="{00000000-0005-0000-0000-0000DF150000}"/>
    <cellStyle name="Standard 6 2 5 2 2 2 3 2" xfId="5593" xr:uid="{00000000-0005-0000-0000-0000E0150000}"/>
    <cellStyle name="Standard 6 2 5 2 2 2 3 2 2" xfId="5594" xr:uid="{00000000-0005-0000-0000-0000E1150000}"/>
    <cellStyle name="Standard 6 2 5 2 2 2 3 2 2 2" xfId="17555" xr:uid="{4DA3DF85-70BA-4E71-BFE7-53715CF525BF}"/>
    <cellStyle name="Standard 6 2 5 2 2 2 3 2 3" xfId="17554" xr:uid="{D8B7A5FC-7B85-4F9D-8E03-9EF9DDCF5DB2}"/>
    <cellStyle name="Standard 6 2 5 2 2 2 3 3" xfId="5595" xr:uid="{00000000-0005-0000-0000-0000E2150000}"/>
    <cellStyle name="Standard 6 2 5 2 2 2 3 3 2" xfId="17556" xr:uid="{ACA8206C-8DE8-46C8-AAFC-55B3129AD941}"/>
    <cellStyle name="Standard 6 2 5 2 2 2 3 4" xfId="17553" xr:uid="{0B613BA4-34E1-46D7-803D-8EF365F07F3E}"/>
    <cellStyle name="Standard 6 2 5 2 2 2 4" xfId="5596" xr:uid="{00000000-0005-0000-0000-0000E3150000}"/>
    <cellStyle name="Standard 6 2 5 2 2 2 4 2" xfId="5597" xr:uid="{00000000-0005-0000-0000-0000E4150000}"/>
    <cellStyle name="Standard 6 2 5 2 2 2 4 2 2" xfId="5598" xr:uid="{00000000-0005-0000-0000-0000E5150000}"/>
    <cellStyle name="Standard 6 2 5 2 2 2 4 2 2 2" xfId="17559" xr:uid="{55AB4AFE-EE5B-42FA-8DE2-91406E05B029}"/>
    <cellStyle name="Standard 6 2 5 2 2 2 4 2 3" xfId="17558" xr:uid="{FDB2B402-577D-497C-B98C-7C64674AB124}"/>
    <cellStyle name="Standard 6 2 5 2 2 2 4 3" xfId="5599" xr:uid="{00000000-0005-0000-0000-0000E6150000}"/>
    <cellStyle name="Standard 6 2 5 2 2 2 4 3 2" xfId="17560" xr:uid="{6CC670FF-BC56-46D6-8462-B2D28FA664AF}"/>
    <cellStyle name="Standard 6 2 5 2 2 2 4 4" xfId="17557" xr:uid="{6295A94A-7986-46F7-9C06-70071E108FBE}"/>
    <cellStyle name="Standard 6 2 5 2 2 2 5" xfId="5600" xr:uid="{00000000-0005-0000-0000-0000E7150000}"/>
    <cellStyle name="Standard 6 2 5 2 2 2 5 2" xfId="5601" xr:uid="{00000000-0005-0000-0000-0000E8150000}"/>
    <cellStyle name="Standard 6 2 5 2 2 2 5 2 2" xfId="5602" xr:uid="{00000000-0005-0000-0000-0000E9150000}"/>
    <cellStyle name="Standard 6 2 5 2 2 2 5 2 2 2" xfId="17563" xr:uid="{293AD26C-DD94-49F8-9875-9A8D924BEA7B}"/>
    <cellStyle name="Standard 6 2 5 2 2 2 5 2 3" xfId="17562" xr:uid="{883320EA-8ADB-4C74-8E95-6EF615474E0A}"/>
    <cellStyle name="Standard 6 2 5 2 2 2 5 3" xfId="5603" xr:uid="{00000000-0005-0000-0000-0000EA150000}"/>
    <cellStyle name="Standard 6 2 5 2 2 2 5 3 2" xfId="17564" xr:uid="{706BE7BD-572F-4E72-ACF4-D1EC2B3E5C9B}"/>
    <cellStyle name="Standard 6 2 5 2 2 2 5 4" xfId="17561" xr:uid="{A7B5ABB4-A390-41E9-B258-7F3AD49C529F}"/>
    <cellStyle name="Standard 6 2 5 2 2 2 6" xfId="5604" xr:uid="{00000000-0005-0000-0000-0000EB150000}"/>
    <cellStyle name="Standard 6 2 5 2 2 2 6 2" xfId="5605" xr:uid="{00000000-0005-0000-0000-0000EC150000}"/>
    <cellStyle name="Standard 6 2 5 2 2 2 6 2 2" xfId="5606" xr:uid="{00000000-0005-0000-0000-0000ED150000}"/>
    <cellStyle name="Standard 6 2 5 2 2 2 6 2 2 2" xfId="17567" xr:uid="{67CD2F0A-D4C3-4324-8C26-CC7868396E9C}"/>
    <cellStyle name="Standard 6 2 5 2 2 2 6 2 3" xfId="17566" xr:uid="{B4E18BA5-89BF-4D06-BB6C-14F2279885E9}"/>
    <cellStyle name="Standard 6 2 5 2 2 2 6 3" xfId="5607" xr:uid="{00000000-0005-0000-0000-0000EE150000}"/>
    <cellStyle name="Standard 6 2 5 2 2 2 6 3 2" xfId="17568" xr:uid="{7174A71F-0FAE-401C-9C28-437C4C8586E5}"/>
    <cellStyle name="Standard 6 2 5 2 2 2 6 4" xfId="17565" xr:uid="{D8014F3D-E8C1-4282-BB36-E829EF411671}"/>
    <cellStyle name="Standard 6 2 5 2 2 2 7" xfId="5608" xr:uid="{00000000-0005-0000-0000-0000EF150000}"/>
    <cellStyle name="Standard 6 2 5 2 2 2 7 2" xfId="5609" xr:uid="{00000000-0005-0000-0000-0000F0150000}"/>
    <cellStyle name="Standard 6 2 5 2 2 2 7 2 2" xfId="5610" xr:uid="{00000000-0005-0000-0000-0000F1150000}"/>
    <cellStyle name="Standard 6 2 5 2 2 2 7 2 2 2" xfId="17571" xr:uid="{E2FB4531-C288-47CB-A219-0DF1DD9EFDF3}"/>
    <cellStyle name="Standard 6 2 5 2 2 2 7 2 3" xfId="17570" xr:uid="{D53FC93C-0E1F-474A-8737-EA4883ACEB75}"/>
    <cellStyle name="Standard 6 2 5 2 2 2 7 3" xfId="5611" xr:uid="{00000000-0005-0000-0000-0000F2150000}"/>
    <cellStyle name="Standard 6 2 5 2 2 2 7 3 2" xfId="17572" xr:uid="{009468F9-FB95-4298-95A9-49B5B2897184}"/>
    <cellStyle name="Standard 6 2 5 2 2 2 7 4" xfId="17569" xr:uid="{F0D383FF-99E8-41E0-BA53-069CA4D57F1A}"/>
    <cellStyle name="Standard 6 2 5 2 2 2 8" xfId="5612" xr:uid="{00000000-0005-0000-0000-0000F3150000}"/>
    <cellStyle name="Standard 6 2 5 2 2 2 8 2" xfId="5613" xr:uid="{00000000-0005-0000-0000-0000F4150000}"/>
    <cellStyle name="Standard 6 2 5 2 2 2 8 2 2" xfId="17574" xr:uid="{1FF199B2-E3A2-422E-96D4-5D271714F942}"/>
    <cellStyle name="Standard 6 2 5 2 2 2 8 3" xfId="17573" xr:uid="{F8BDAE7C-F258-45CA-9739-EAF25CE0EBE6}"/>
    <cellStyle name="Standard 6 2 5 2 2 2 9" xfId="5614" xr:uid="{00000000-0005-0000-0000-0000F5150000}"/>
    <cellStyle name="Standard 6 2 5 2 2 2 9 2" xfId="17575" xr:uid="{BC7AE746-4C8C-411B-A34B-905E86C0C231}"/>
    <cellStyle name="Standard 6 2 5 2 2 3" xfId="5615" xr:uid="{00000000-0005-0000-0000-0000F6150000}"/>
    <cellStyle name="Standard 6 2 5 2 2 3 2" xfId="5616" xr:uid="{00000000-0005-0000-0000-0000F7150000}"/>
    <cellStyle name="Standard 6 2 5 2 2 3 2 2" xfId="5617" xr:uid="{00000000-0005-0000-0000-0000F8150000}"/>
    <cellStyle name="Standard 6 2 5 2 2 3 2 2 2" xfId="17578" xr:uid="{1FE2C76B-09FE-4023-8C28-B58313853B33}"/>
    <cellStyle name="Standard 6 2 5 2 2 3 2 3" xfId="17577" xr:uid="{D3BE7607-E02A-4C01-9603-7B87B6448414}"/>
    <cellStyle name="Standard 6 2 5 2 2 3 3" xfId="5618" xr:uid="{00000000-0005-0000-0000-0000F9150000}"/>
    <cellStyle name="Standard 6 2 5 2 2 3 3 2" xfId="17579" xr:uid="{12B8489B-61CA-424C-9CC9-1E81880D3B93}"/>
    <cellStyle name="Standard 6 2 5 2 2 3 4" xfId="17576" xr:uid="{6CECA0CF-D99D-4C09-9819-A8CB039500B4}"/>
    <cellStyle name="Standard 6 2 5 2 2 4" xfId="5619" xr:uid="{00000000-0005-0000-0000-0000FA150000}"/>
    <cellStyle name="Standard 6 2 5 2 2 4 2" xfId="5620" xr:uid="{00000000-0005-0000-0000-0000FB150000}"/>
    <cellStyle name="Standard 6 2 5 2 2 4 2 2" xfId="5621" xr:uid="{00000000-0005-0000-0000-0000FC150000}"/>
    <cellStyle name="Standard 6 2 5 2 2 4 2 2 2" xfId="17582" xr:uid="{749BE440-B278-43A2-9696-5947D2C896D8}"/>
    <cellStyle name="Standard 6 2 5 2 2 4 2 3" xfId="17581" xr:uid="{8BFA93C8-4D94-48B4-B4AC-7A62246D0986}"/>
    <cellStyle name="Standard 6 2 5 2 2 4 3" xfId="5622" xr:uid="{00000000-0005-0000-0000-0000FD150000}"/>
    <cellStyle name="Standard 6 2 5 2 2 4 3 2" xfId="17583" xr:uid="{BFBCDF26-54D9-4FC1-AB0C-86BA48CB450D}"/>
    <cellStyle name="Standard 6 2 5 2 2 4 4" xfId="17580" xr:uid="{C68FA69C-D844-4155-9611-DAC065003E52}"/>
    <cellStyle name="Standard 6 2 5 2 2 5" xfId="5623" xr:uid="{00000000-0005-0000-0000-0000FE150000}"/>
    <cellStyle name="Standard 6 2 5 2 2 5 2" xfId="5624" xr:uid="{00000000-0005-0000-0000-0000FF150000}"/>
    <cellStyle name="Standard 6 2 5 2 2 5 2 2" xfId="5625" xr:uid="{00000000-0005-0000-0000-000000160000}"/>
    <cellStyle name="Standard 6 2 5 2 2 5 2 2 2" xfId="17586" xr:uid="{9F042ADD-DB16-412F-929D-CCA76F65E333}"/>
    <cellStyle name="Standard 6 2 5 2 2 5 2 3" xfId="17585" xr:uid="{1C26FE25-E0CA-4BA0-BF1A-88463E009739}"/>
    <cellStyle name="Standard 6 2 5 2 2 5 3" xfId="5626" xr:uid="{00000000-0005-0000-0000-000001160000}"/>
    <cellStyle name="Standard 6 2 5 2 2 5 3 2" xfId="17587" xr:uid="{44244E1E-5690-4BC3-9CF7-3EE533A3EC8F}"/>
    <cellStyle name="Standard 6 2 5 2 2 5 4" xfId="17584" xr:uid="{D45D153A-B32B-4D53-A782-640117DB3515}"/>
    <cellStyle name="Standard 6 2 5 2 2 6" xfId="5627" xr:uid="{00000000-0005-0000-0000-000002160000}"/>
    <cellStyle name="Standard 6 2 5 2 2 6 2" xfId="5628" xr:uid="{00000000-0005-0000-0000-000003160000}"/>
    <cellStyle name="Standard 6 2 5 2 2 6 2 2" xfId="5629" xr:uid="{00000000-0005-0000-0000-000004160000}"/>
    <cellStyle name="Standard 6 2 5 2 2 6 2 2 2" xfId="17590" xr:uid="{C2F7B9E4-6048-41EE-BABE-3D6E2A4C5E61}"/>
    <cellStyle name="Standard 6 2 5 2 2 6 2 3" xfId="17589" xr:uid="{3631C4D6-3248-4C19-AC28-9957D9644614}"/>
    <cellStyle name="Standard 6 2 5 2 2 6 3" xfId="5630" xr:uid="{00000000-0005-0000-0000-000005160000}"/>
    <cellStyle name="Standard 6 2 5 2 2 6 3 2" xfId="17591" xr:uid="{48C11ACD-DDCF-4D27-9010-7EDADE6B9CDB}"/>
    <cellStyle name="Standard 6 2 5 2 2 6 4" xfId="17588" xr:uid="{BF199FDB-B9E4-40D6-8506-4850E4BEBE82}"/>
    <cellStyle name="Standard 6 2 5 2 2 7" xfId="5631" xr:uid="{00000000-0005-0000-0000-000006160000}"/>
    <cellStyle name="Standard 6 2 5 2 2 7 2" xfId="5632" xr:uid="{00000000-0005-0000-0000-000007160000}"/>
    <cellStyle name="Standard 6 2 5 2 2 7 2 2" xfId="5633" xr:uid="{00000000-0005-0000-0000-000008160000}"/>
    <cellStyle name="Standard 6 2 5 2 2 7 2 2 2" xfId="17594" xr:uid="{9117EA1B-18CF-4F38-B33A-CED936176B9A}"/>
    <cellStyle name="Standard 6 2 5 2 2 7 2 3" xfId="17593" xr:uid="{AB08E9F4-73E1-4CD9-AA38-ABB282D3A25C}"/>
    <cellStyle name="Standard 6 2 5 2 2 7 3" xfId="5634" xr:uid="{00000000-0005-0000-0000-000009160000}"/>
    <cellStyle name="Standard 6 2 5 2 2 7 3 2" xfId="17595" xr:uid="{220464A9-1E0A-4EF1-BF60-696C1239D4D1}"/>
    <cellStyle name="Standard 6 2 5 2 2 7 4" xfId="17592" xr:uid="{DC81C70C-5C67-461E-A015-466405A59AF5}"/>
    <cellStyle name="Standard 6 2 5 2 2 8" xfId="5635" xr:uid="{00000000-0005-0000-0000-00000A160000}"/>
    <cellStyle name="Standard 6 2 5 2 2 8 2" xfId="5636" xr:uid="{00000000-0005-0000-0000-00000B160000}"/>
    <cellStyle name="Standard 6 2 5 2 2 8 2 2" xfId="5637" xr:uid="{00000000-0005-0000-0000-00000C160000}"/>
    <cellStyle name="Standard 6 2 5 2 2 8 2 2 2" xfId="17598" xr:uid="{DCC1B2E2-2517-4F7F-B31C-A9F34B956865}"/>
    <cellStyle name="Standard 6 2 5 2 2 8 2 3" xfId="17597" xr:uid="{30F01C46-3570-48AF-9A4E-C418474FC464}"/>
    <cellStyle name="Standard 6 2 5 2 2 8 3" xfId="5638" xr:uid="{00000000-0005-0000-0000-00000D160000}"/>
    <cellStyle name="Standard 6 2 5 2 2 8 3 2" xfId="17599" xr:uid="{2AD49207-64E3-4681-B543-934B9C7F3989}"/>
    <cellStyle name="Standard 6 2 5 2 2 8 4" xfId="17596" xr:uid="{2F7F1436-C7C7-4CE1-A88E-F06563E67FCB}"/>
    <cellStyle name="Standard 6 2 5 2 2 9" xfId="5639" xr:uid="{00000000-0005-0000-0000-00000E160000}"/>
    <cellStyle name="Standard 6 2 5 2 2 9 2" xfId="5640" xr:uid="{00000000-0005-0000-0000-00000F160000}"/>
    <cellStyle name="Standard 6 2 5 2 2 9 2 2" xfId="17601" xr:uid="{CB2B4C1E-751F-41EE-B2AD-0E021737980D}"/>
    <cellStyle name="Standard 6 2 5 2 2 9 3" xfId="17600" xr:uid="{691103B6-98A2-476F-AE57-FB6B90F3B194}"/>
    <cellStyle name="Standard 6 2 5 2 3" xfId="5641" xr:uid="{00000000-0005-0000-0000-000010160000}"/>
    <cellStyle name="Standard 6 2 5 2 3 10" xfId="17602" xr:uid="{B1E31361-C764-45B6-9C13-F27156AC6B51}"/>
    <cellStyle name="Standard 6 2 5 2 3 2" xfId="5642" xr:uid="{00000000-0005-0000-0000-000011160000}"/>
    <cellStyle name="Standard 6 2 5 2 3 2 2" xfId="5643" xr:uid="{00000000-0005-0000-0000-000012160000}"/>
    <cellStyle name="Standard 6 2 5 2 3 2 2 2" xfId="5644" xr:uid="{00000000-0005-0000-0000-000013160000}"/>
    <cellStyle name="Standard 6 2 5 2 3 2 2 2 2" xfId="17605" xr:uid="{4596F4E6-66AB-4437-ABAC-AD28151E2A71}"/>
    <cellStyle name="Standard 6 2 5 2 3 2 2 3" xfId="17604" xr:uid="{2DBAA2FF-06A1-496A-A133-A303484A6DC6}"/>
    <cellStyle name="Standard 6 2 5 2 3 2 3" xfId="5645" xr:uid="{00000000-0005-0000-0000-000014160000}"/>
    <cellStyle name="Standard 6 2 5 2 3 2 3 2" xfId="17606" xr:uid="{11F6D029-CA8B-4C2D-B46C-9FE304FD025B}"/>
    <cellStyle name="Standard 6 2 5 2 3 2 4" xfId="17603" xr:uid="{EB5A40A1-425D-45D1-92F6-B232A8AA2BF5}"/>
    <cellStyle name="Standard 6 2 5 2 3 3" xfId="5646" xr:uid="{00000000-0005-0000-0000-000015160000}"/>
    <cellStyle name="Standard 6 2 5 2 3 3 2" xfId="5647" xr:uid="{00000000-0005-0000-0000-000016160000}"/>
    <cellStyle name="Standard 6 2 5 2 3 3 2 2" xfId="5648" xr:uid="{00000000-0005-0000-0000-000017160000}"/>
    <cellStyle name="Standard 6 2 5 2 3 3 2 2 2" xfId="17609" xr:uid="{42ADC9FA-D5C6-45E1-93AF-611468A29D89}"/>
    <cellStyle name="Standard 6 2 5 2 3 3 2 3" xfId="17608" xr:uid="{D0E90DCB-9BEB-4FD2-B836-6F33D9742D12}"/>
    <cellStyle name="Standard 6 2 5 2 3 3 3" xfId="5649" xr:uid="{00000000-0005-0000-0000-000018160000}"/>
    <cellStyle name="Standard 6 2 5 2 3 3 3 2" xfId="17610" xr:uid="{F68D1BAB-6A94-4CB8-8FB4-23CAFC9918CB}"/>
    <cellStyle name="Standard 6 2 5 2 3 3 4" xfId="17607" xr:uid="{1A92BF4D-F2EC-4DD0-AB41-C0BEA3408CE5}"/>
    <cellStyle name="Standard 6 2 5 2 3 4" xfId="5650" xr:uid="{00000000-0005-0000-0000-000019160000}"/>
    <cellStyle name="Standard 6 2 5 2 3 4 2" xfId="5651" xr:uid="{00000000-0005-0000-0000-00001A160000}"/>
    <cellStyle name="Standard 6 2 5 2 3 4 2 2" xfId="5652" xr:uid="{00000000-0005-0000-0000-00001B160000}"/>
    <cellStyle name="Standard 6 2 5 2 3 4 2 2 2" xfId="17613" xr:uid="{0C929D7E-31E4-4A05-957E-614926A128D1}"/>
    <cellStyle name="Standard 6 2 5 2 3 4 2 3" xfId="17612" xr:uid="{96E51920-87C2-4673-9290-5379B851C389}"/>
    <cellStyle name="Standard 6 2 5 2 3 4 3" xfId="5653" xr:uid="{00000000-0005-0000-0000-00001C160000}"/>
    <cellStyle name="Standard 6 2 5 2 3 4 3 2" xfId="17614" xr:uid="{C6577595-EFA4-43BD-96C0-50F6C5F894B8}"/>
    <cellStyle name="Standard 6 2 5 2 3 4 4" xfId="17611" xr:uid="{E6CB3942-6E23-46EF-91A0-B956B14E2F8F}"/>
    <cellStyle name="Standard 6 2 5 2 3 5" xfId="5654" xr:uid="{00000000-0005-0000-0000-00001D160000}"/>
    <cellStyle name="Standard 6 2 5 2 3 5 2" xfId="5655" xr:uid="{00000000-0005-0000-0000-00001E160000}"/>
    <cellStyle name="Standard 6 2 5 2 3 5 2 2" xfId="5656" xr:uid="{00000000-0005-0000-0000-00001F160000}"/>
    <cellStyle name="Standard 6 2 5 2 3 5 2 2 2" xfId="17617" xr:uid="{D2490E65-389B-417E-96E2-F16897DC5FE8}"/>
    <cellStyle name="Standard 6 2 5 2 3 5 2 3" xfId="17616" xr:uid="{7BF77E63-DE62-47E6-82C7-DA9DD2C66241}"/>
    <cellStyle name="Standard 6 2 5 2 3 5 3" xfId="5657" xr:uid="{00000000-0005-0000-0000-000020160000}"/>
    <cellStyle name="Standard 6 2 5 2 3 5 3 2" xfId="17618" xr:uid="{33A182D1-01D7-488C-8FB7-AFD7A59DE44C}"/>
    <cellStyle name="Standard 6 2 5 2 3 5 4" xfId="17615" xr:uid="{9EA9F229-5544-48DA-95BD-81B96910DA38}"/>
    <cellStyle name="Standard 6 2 5 2 3 6" xfId="5658" xr:uid="{00000000-0005-0000-0000-000021160000}"/>
    <cellStyle name="Standard 6 2 5 2 3 6 2" xfId="5659" xr:uid="{00000000-0005-0000-0000-000022160000}"/>
    <cellStyle name="Standard 6 2 5 2 3 6 2 2" xfId="5660" xr:uid="{00000000-0005-0000-0000-000023160000}"/>
    <cellStyle name="Standard 6 2 5 2 3 6 2 2 2" xfId="17621" xr:uid="{200BB135-70D8-4A8B-8870-CEDDED8CE2F7}"/>
    <cellStyle name="Standard 6 2 5 2 3 6 2 3" xfId="17620" xr:uid="{C0B26CD3-3CE4-4103-9F21-0BFEBD2DDC42}"/>
    <cellStyle name="Standard 6 2 5 2 3 6 3" xfId="5661" xr:uid="{00000000-0005-0000-0000-000024160000}"/>
    <cellStyle name="Standard 6 2 5 2 3 6 3 2" xfId="17622" xr:uid="{7C3A45EE-B130-44E4-8410-CD2C8DDF99D5}"/>
    <cellStyle name="Standard 6 2 5 2 3 6 4" xfId="17619" xr:uid="{526C2EE9-8A46-4C0A-BFA3-22CCA56EEDD3}"/>
    <cellStyle name="Standard 6 2 5 2 3 7" xfId="5662" xr:uid="{00000000-0005-0000-0000-000025160000}"/>
    <cellStyle name="Standard 6 2 5 2 3 7 2" xfId="5663" xr:uid="{00000000-0005-0000-0000-000026160000}"/>
    <cellStyle name="Standard 6 2 5 2 3 7 2 2" xfId="5664" xr:uid="{00000000-0005-0000-0000-000027160000}"/>
    <cellStyle name="Standard 6 2 5 2 3 7 2 2 2" xfId="17625" xr:uid="{6239C17F-50CD-4E9F-80F4-BE3077E60D97}"/>
    <cellStyle name="Standard 6 2 5 2 3 7 2 3" xfId="17624" xr:uid="{620A7B8C-A5E7-4A2F-92E8-DA3EA5F54337}"/>
    <cellStyle name="Standard 6 2 5 2 3 7 3" xfId="5665" xr:uid="{00000000-0005-0000-0000-000028160000}"/>
    <cellStyle name="Standard 6 2 5 2 3 7 3 2" xfId="17626" xr:uid="{1B1509AC-4267-4E25-AB5C-86E1E17DEA87}"/>
    <cellStyle name="Standard 6 2 5 2 3 7 4" xfId="17623" xr:uid="{E6B5EC74-9687-46A1-9D97-24FC2901E901}"/>
    <cellStyle name="Standard 6 2 5 2 3 8" xfId="5666" xr:uid="{00000000-0005-0000-0000-000029160000}"/>
    <cellStyle name="Standard 6 2 5 2 3 8 2" xfId="5667" xr:uid="{00000000-0005-0000-0000-00002A160000}"/>
    <cellStyle name="Standard 6 2 5 2 3 8 2 2" xfId="17628" xr:uid="{BB4C50EF-F790-4409-99A8-E5C397733341}"/>
    <cellStyle name="Standard 6 2 5 2 3 8 3" xfId="17627" xr:uid="{501B51FE-D51D-420A-99CC-F2CA57DB59A5}"/>
    <cellStyle name="Standard 6 2 5 2 3 9" xfId="5668" xr:uid="{00000000-0005-0000-0000-00002B160000}"/>
    <cellStyle name="Standard 6 2 5 2 3 9 2" xfId="17629" xr:uid="{11545AF2-3000-4C77-8BE1-4B9C2D309CA2}"/>
    <cellStyle name="Standard 6 2 5 2 4" xfId="5669" xr:uid="{00000000-0005-0000-0000-00002C160000}"/>
    <cellStyle name="Standard 6 2 5 2 4 2" xfId="5670" xr:uid="{00000000-0005-0000-0000-00002D160000}"/>
    <cellStyle name="Standard 6 2 5 2 4 2 2" xfId="5671" xr:uid="{00000000-0005-0000-0000-00002E160000}"/>
    <cellStyle name="Standard 6 2 5 2 4 2 2 2" xfId="17632" xr:uid="{40B24B0F-EAFF-4E83-9BE5-9F4F40E083D1}"/>
    <cellStyle name="Standard 6 2 5 2 4 2 3" xfId="17631" xr:uid="{AB2863D4-3C68-4790-9BC4-B88337300176}"/>
    <cellStyle name="Standard 6 2 5 2 4 3" xfId="5672" xr:uid="{00000000-0005-0000-0000-00002F160000}"/>
    <cellStyle name="Standard 6 2 5 2 4 3 2" xfId="17633" xr:uid="{8BA3E1BC-EC85-4293-A651-8D3C8A26646E}"/>
    <cellStyle name="Standard 6 2 5 2 4 4" xfId="17630" xr:uid="{D17A1E12-1EE7-402B-AEEF-0B853BCFC611}"/>
    <cellStyle name="Standard 6 2 5 2 5" xfId="5673" xr:uid="{00000000-0005-0000-0000-000030160000}"/>
    <cellStyle name="Standard 6 2 5 2 5 2" xfId="5674" xr:uid="{00000000-0005-0000-0000-000031160000}"/>
    <cellStyle name="Standard 6 2 5 2 5 2 2" xfId="5675" xr:uid="{00000000-0005-0000-0000-000032160000}"/>
    <cellStyle name="Standard 6 2 5 2 5 2 2 2" xfId="17636" xr:uid="{8E0DAA32-CDA2-4C26-A07B-9080592B9E61}"/>
    <cellStyle name="Standard 6 2 5 2 5 2 3" xfId="17635" xr:uid="{316FCD25-DB79-4A0A-A0F9-5B9C7B6D2DEB}"/>
    <cellStyle name="Standard 6 2 5 2 5 3" xfId="5676" xr:uid="{00000000-0005-0000-0000-000033160000}"/>
    <cellStyle name="Standard 6 2 5 2 5 3 2" xfId="17637" xr:uid="{3D4DE003-4F4A-4CD9-B878-3D845E88A2CC}"/>
    <cellStyle name="Standard 6 2 5 2 5 4" xfId="17634" xr:uid="{471AFA1D-375D-4084-8540-76CE8CEB4385}"/>
    <cellStyle name="Standard 6 2 5 2 6" xfId="5677" xr:uid="{00000000-0005-0000-0000-000034160000}"/>
    <cellStyle name="Standard 6 2 5 2 6 2" xfId="5678" xr:uid="{00000000-0005-0000-0000-000035160000}"/>
    <cellStyle name="Standard 6 2 5 2 6 2 2" xfId="5679" xr:uid="{00000000-0005-0000-0000-000036160000}"/>
    <cellStyle name="Standard 6 2 5 2 6 2 2 2" xfId="17640" xr:uid="{BDF29591-229E-49CE-B565-C3CBC49111C5}"/>
    <cellStyle name="Standard 6 2 5 2 6 2 3" xfId="17639" xr:uid="{74AF0FB6-8592-4E89-996E-E0B230B0AE03}"/>
    <cellStyle name="Standard 6 2 5 2 6 3" xfId="5680" xr:uid="{00000000-0005-0000-0000-000037160000}"/>
    <cellStyle name="Standard 6 2 5 2 6 3 2" xfId="17641" xr:uid="{7BBD53E6-14BA-48C6-9ACD-E34C0D292205}"/>
    <cellStyle name="Standard 6 2 5 2 6 4" xfId="17638" xr:uid="{EC4E143F-34A0-4758-8635-996E8016332F}"/>
    <cellStyle name="Standard 6 2 5 2 7" xfId="5681" xr:uid="{00000000-0005-0000-0000-000038160000}"/>
    <cellStyle name="Standard 6 2 5 2 7 2" xfId="5682" xr:uid="{00000000-0005-0000-0000-000039160000}"/>
    <cellStyle name="Standard 6 2 5 2 7 2 2" xfId="5683" xr:uid="{00000000-0005-0000-0000-00003A160000}"/>
    <cellStyle name="Standard 6 2 5 2 7 2 2 2" xfId="17644" xr:uid="{5005683C-3A55-4C2B-8AAB-CAEA46A11C6C}"/>
    <cellStyle name="Standard 6 2 5 2 7 2 3" xfId="17643" xr:uid="{2E8656D7-4FF8-4BCE-9A94-E66AF0D9B240}"/>
    <cellStyle name="Standard 6 2 5 2 7 3" xfId="5684" xr:uid="{00000000-0005-0000-0000-00003B160000}"/>
    <cellStyle name="Standard 6 2 5 2 7 3 2" xfId="17645" xr:uid="{7CCFA1F4-A93B-4D03-A738-BE1E9E5D715A}"/>
    <cellStyle name="Standard 6 2 5 2 7 4" xfId="17642" xr:uid="{5B622A79-B9A1-44A8-BCF4-82E58FF500C5}"/>
    <cellStyle name="Standard 6 2 5 2 8" xfId="5685" xr:uid="{00000000-0005-0000-0000-00003C160000}"/>
    <cellStyle name="Standard 6 2 5 2 8 2" xfId="5686" xr:uid="{00000000-0005-0000-0000-00003D160000}"/>
    <cellStyle name="Standard 6 2 5 2 8 2 2" xfId="5687" xr:uid="{00000000-0005-0000-0000-00003E160000}"/>
    <cellStyle name="Standard 6 2 5 2 8 2 2 2" xfId="17648" xr:uid="{07AE3306-FC80-44F2-BF28-DBEE2D9E5F28}"/>
    <cellStyle name="Standard 6 2 5 2 8 2 3" xfId="17647" xr:uid="{A6AD122A-4B35-43F1-A140-8092983EB2B1}"/>
    <cellStyle name="Standard 6 2 5 2 8 3" xfId="5688" xr:uid="{00000000-0005-0000-0000-00003F160000}"/>
    <cellStyle name="Standard 6 2 5 2 8 3 2" xfId="17649" xr:uid="{09C99EDE-4506-4096-9A4B-FC758CD09412}"/>
    <cellStyle name="Standard 6 2 5 2 8 4" xfId="17646" xr:uid="{50BA8981-8EF8-4A64-A8A3-A4BE554967DC}"/>
    <cellStyle name="Standard 6 2 5 2 9" xfId="5689" xr:uid="{00000000-0005-0000-0000-000040160000}"/>
    <cellStyle name="Standard 6 2 5 2 9 2" xfId="5690" xr:uid="{00000000-0005-0000-0000-000041160000}"/>
    <cellStyle name="Standard 6 2 5 2 9 2 2" xfId="5691" xr:uid="{00000000-0005-0000-0000-000042160000}"/>
    <cellStyle name="Standard 6 2 5 2 9 2 2 2" xfId="17652" xr:uid="{61CA48B3-BE61-4DD9-8941-143A1962ADFB}"/>
    <cellStyle name="Standard 6 2 5 2 9 2 3" xfId="17651" xr:uid="{F354AD6D-2625-47CA-BCB7-3AD4FEB596EB}"/>
    <cellStyle name="Standard 6 2 5 2 9 3" xfId="5692" xr:uid="{00000000-0005-0000-0000-000043160000}"/>
    <cellStyle name="Standard 6 2 5 2 9 3 2" xfId="17653" xr:uid="{5F93F8A8-86C4-495F-B357-1F804FE07993}"/>
    <cellStyle name="Standard 6 2 5 2 9 4" xfId="17650" xr:uid="{FBAF6D69-38B7-480F-B329-C00DB0DF5E31}"/>
    <cellStyle name="Standard 6 2 5 20" xfId="5693" xr:uid="{00000000-0005-0000-0000-000044160000}"/>
    <cellStyle name="Standard 6 2 5 20 2" xfId="5694" xr:uid="{00000000-0005-0000-0000-000045160000}"/>
    <cellStyle name="Standard 6 2 5 20 2 2" xfId="17655" xr:uid="{D62D29E0-297B-47C8-B7E3-9D2C1127E7D9}"/>
    <cellStyle name="Standard 6 2 5 20 3" xfId="17654" xr:uid="{E71E8110-1D6B-478D-B8D2-B2C2AE1E3E8C}"/>
    <cellStyle name="Standard 6 2 5 21" xfId="5695" xr:uid="{00000000-0005-0000-0000-000046160000}"/>
    <cellStyle name="Standard 6 2 5 21 2" xfId="17656" xr:uid="{0FCB1C5F-BA41-4D15-B27B-36B500F7CC78}"/>
    <cellStyle name="Standard 6 2 5 22" xfId="5696" xr:uid="{00000000-0005-0000-0000-000047160000}"/>
    <cellStyle name="Standard 6 2 5 22 2" xfId="17657" xr:uid="{EBBCBCB2-6E38-4571-AF55-F64D206D375D}"/>
    <cellStyle name="Standard 6 2 5 23" xfId="17501" xr:uid="{D60C2B58-552F-4FC8-9628-1DCC8C4CDCC3}"/>
    <cellStyle name="Standard 6 2 5 3" xfId="5697" xr:uid="{00000000-0005-0000-0000-000048160000}"/>
    <cellStyle name="Standard 6 2 5 3 10" xfId="5698" xr:uid="{00000000-0005-0000-0000-000049160000}"/>
    <cellStyle name="Standard 6 2 5 3 10 2" xfId="17659" xr:uid="{D12CE0B1-83D9-4E41-9CE3-956387AC4299}"/>
    <cellStyle name="Standard 6 2 5 3 11" xfId="17658" xr:uid="{32ACCFBF-89E1-4DF7-84CC-2CC2633A56EB}"/>
    <cellStyle name="Standard 6 2 5 3 2" xfId="5699" xr:uid="{00000000-0005-0000-0000-00004A160000}"/>
    <cellStyle name="Standard 6 2 5 3 2 10" xfId="17660" xr:uid="{24CCCE8B-9B26-4639-87E6-20AC008039D5}"/>
    <cellStyle name="Standard 6 2 5 3 2 2" xfId="5700" xr:uid="{00000000-0005-0000-0000-00004B160000}"/>
    <cellStyle name="Standard 6 2 5 3 2 2 2" xfId="5701" xr:uid="{00000000-0005-0000-0000-00004C160000}"/>
    <cellStyle name="Standard 6 2 5 3 2 2 2 2" xfId="5702" xr:uid="{00000000-0005-0000-0000-00004D160000}"/>
    <cellStyle name="Standard 6 2 5 3 2 2 2 2 2" xfId="17663" xr:uid="{3ED4DA73-A056-42C5-B04C-C1CD17123B77}"/>
    <cellStyle name="Standard 6 2 5 3 2 2 2 3" xfId="17662" xr:uid="{F8738C5D-B6CD-4A84-A4B8-020474254AE4}"/>
    <cellStyle name="Standard 6 2 5 3 2 2 3" xfId="5703" xr:uid="{00000000-0005-0000-0000-00004E160000}"/>
    <cellStyle name="Standard 6 2 5 3 2 2 3 2" xfId="17664" xr:uid="{55CA9432-0FE4-4A33-A239-DE5F142B4309}"/>
    <cellStyle name="Standard 6 2 5 3 2 2 4" xfId="17661" xr:uid="{7A4CEA34-CA46-493C-8B2B-C391E01D0BD5}"/>
    <cellStyle name="Standard 6 2 5 3 2 3" xfId="5704" xr:uid="{00000000-0005-0000-0000-00004F160000}"/>
    <cellStyle name="Standard 6 2 5 3 2 3 2" xfId="5705" xr:uid="{00000000-0005-0000-0000-000050160000}"/>
    <cellStyle name="Standard 6 2 5 3 2 3 2 2" xfId="5706" xr:uid="{00000000-0005-0000-0000-000051160000}"/>
    <cellStyle name="Standard 6 2 5 3 2 3 2 2 2" xfId="17667" xr:uid="{7517C992-B789-413B-8A64-FCAA7643085F}"/>
    <cellStyle name="Standard 6 2 5 3 2 3 2 3" xfId="17666" xr:uid="{0D385459-3C52-4AA0-86B1-6DF1327348E0}"/>
    <cellStyle name="Standard 6 2 5 3 2 3 3" xfId="5707" xr:uid="{00000000-0005-0000-0000-000052160000}"/>
    <cellStyle name="Standard 6 2 5 3 2 3 3 2" xfId="17668" xr:uid="{42F20240-5767-4628-9FE0-30DBC92CFAEF}"/>
    <cellStyle name="Standard 6 2 5 3 2 3 4" xfId="17665" xr:uid="{657E9A61-7A66-4AA2-8214-B7F67BDBAD0A}"/>
    <cellStyle name="Standard 6 2 5 3 2 4" xfId="5708" xr:uid="{00000000-0005-0000-0000-000053160000}"/>
    <cellStyle name="Standard 6 2 5 3 2 4 2" xfId="5709" xr:uid="{00000000-0005-0000-0000-000054160000}"/>
    <cellStyle name="Standard 6 2 5 3 2 4 2 2" xfId="5710" xr:uid="{00000000-0005-0000-0000-000055160000}"/>
    <cellStyle name="Standard 6 2 5 3 2 4 2 2 2" xfId="17671" xr:uid="{D7D2B255-753F-40D0-B1FF-480D10F229E3}"/>
    <cellStyle name="Standard 6 2 5 3 2 4 2 3" xfId="17670" xr:uid="{990F95DF-8DFD-45BA-87F8-870AFCA701B4}"/>
    <cellStyle name="Standard 6 2 5 3 2 4 3" xfId="5711" xr:uid="{00000000-0005-0000-0000-000056160000}"/>
    <cellStyle name="Standard 6 2 5 3 2 4 3 2" xfId="17672" xr:uid="{53422945-A8EB-4791-B598-A41AB277351F}"/>
    <cellStyle name="Standard 6 2 5 3 2 4 4" xfId="17669" xr:uid="{F324614E-7853-4B27-AC94-7A3DD8946542}"/>
    <cellStyle name="Standard 6 2 5 3 2 5" xfId="5712" xr:uid="{00000000-0005-0000-0000-000057160000}"/>
    <cellStyle name="Standard 6 2 5 3 2 5 2" xfId="5713" xr:uid="{00000000-0005-0000-0000-000058160000}"/>
    <cellStyle name="Standard 6 2 5 3 2 5 2 2" xfId="5714" xr:uid="{00000000-0005-0000-0000-000059160000}"/>
    <cellStyle name="Standard 6 2 5 3 2 5 2 2 2" xfId="17675" xr:uid="{8A9DDB4A-EF28-4709-A108-CE923AFF01D6}"/>
    <cellStyle name="Standard 6 2 5 3 2 5 2 3" xfId="17674" xr:uid="{D554E921-B356-4878-A4C4-B9E9389BEC83}"/>
    <cellStyle name="Standard 6 2 5 3 2 5 3" xfId="5715" xr:uid="{00000000-0005-0000-0000-00005A160000}"/>
    <cellStyle name="Standard 6 2 5 3 2 5 3 2" xfId="17676" xr:uid="{CFCBD05D-AD83-4C97-A2AD-2B1F231C0A5A}"/>
    <cellStyle name="Standard 6 2 5 3 2 5 4" xfId="17673" xr:uid="{2D0B8389-A358-48ED-833F-64596FAECBC0}"/>
    <cellStyle name="Standard 6 2 5 3 2 6" xfId="5716" xr:uid="{00000000-0005-0000-0000-00005B160000}"/>
    <cellStyle name="Standard 6 2 5 3 2 6 2" xfId="5717" xr:uid="{00000000-0005-0000-0000-00005C160000}"/>
    <cellStyle name="Standard 6 2 5 3 2 6 2 2" xfId="5718" xr:uid="{00000000-0005-0000-0000-00005D160000}"/>
    <cellStyle name="Standard 6 2 5 3 2 6 2 2 2" xfId="17679" xr:uid="{0DFB223C-2905-4066-B5EE-8523589D221C}"/>
    <cellStyle name="Standard 6 2 5 3 2 6 2 3" xfId="17678" xr:uid="{D568FE34-9D73-47B8-BB0C-EDDC53210022}"/>
    <cellStyle name="Standard 6 2 5 3 2 6 3" xfId="5719" xr:uid="{00000000-0005-0000-0000-00005E160000}"/>
    <cellStyle name="Standard 6 2 5 3 2 6 3 2" xfId="17680" xr:uid="{1B4D17F5-E049-4437-B5A9-6B09FF846203}"/>
    <cellStyle name="Standard 6 2 5 3 2 6 4" xfId="17677" xr:uid="{1CB909E3-31B2-4F98-BAEF-83D6D115DAD1}"/>
    <cellStyle name="Standard 6 2 5 3 2 7" xfId="5720" xr:uid="{00000000-0005-0000-0000-00005F160000}"/>
    <cellStyle name="Standard 6 2 5 3 2 7 2" xfId="5721" xr:uid="{00000000-0005-0000-0000-000060160000}"/>
    <cellStyle name="Standard 6 2 5 3 2 7 2 2" xfId="5722" xr:uid="{00000000-0005-0000-0000-000061160000}"/>
    <cellStyle name="Standard 6 2 5 3 2 7 2 2 2" xfId="17683" xr:uid="{30D28F76-5D2C-4506-BE90-901CDAE2CAD8}"/>
    <cellStyle name="Standard 6 2 5 3 2 7 2 3" xfId="17682" xr:uid="{E1ACEAD7-F058-47DA-AA62-C790DE84084A}"/>
    <cellStyle name="Standard 6 2 5 3 2 7 3" xfId="5723" xr:uid="{00000000-0005-0000-0000-000062160000}"/>
    <cellStyle name="Standard 6 2 5 3 2 7 3 2" xfId="17684" xr:uid="{15E3BA58-D4DE-4843-A7CD-9CB383DDAB98}"/>
    <cellStyle name="Standard 6 2 5 3 2 7 4" xfId="17681" xr:uid="{9098D7CA-3B7B-4F0D-8457-72D208DEF645}"/>
    <cellStyle name="Standard 6 2 5 3 2 8" xfId="5724" xr:uid="{00000000-0005-0000-0000-000063160000}"/>
    <cellStyle name="Standard 6 2 5 3 2 8 2" xfId="5725" xr:uid="{00000000-0005-0000-0000-000064160000}"/>
    <cellStyle name="Standard 6 2 5 3 2 8 2 2" xfId="17686" xr:uid="{B87B09E5-38D4-4494-89C0-A402E5437C3D}"/>
    <cellStyle name="Standard 6 2 5 3 2 8 3" xfId="17685" xr:uid="{71021A78-B2F9-4A08-A9F5-C4B49A83AA7E}"/>
    <cellStyle name="Standard 6 2 5 3 2 9" xfId="5726" xr:uid="{00000000-0005-0000-0000-000065160000}"/>
    <cellStyle name="Standard 6 2 5 3 2 9 2" xfId="17687" xr:uid="{7531AB75-3CEF-412C-AA20-E7FD32C57C7E}"/>
    <cellStyle name="Standard 6 2 5 3 3" xfId="5727" xr:uid="{00000000-0005-0000-0000-000066160000}"/>
    <cellStyle name="Standard 6 2 5 3 3 2" xfId="5728" xr:uid="{00000000-0005-0000-0000-000067160000}"/>
    <cellStyle name="Standard 6 2 5 3 3 2 2" xfId="5729" xr:uid="{00000000-0005-0000-0000-000068160000}"/>
    <cellStyle name="Standard 6 2 5 3 3 2 2 2" xfId="17690" xr:uid="{54D721EF-0F60-41D1-8B16-D64889E41789}"/>
    <cellStyle name="Standard 6 2 5 3 3 2 3" xfId="17689" xr:uid="{98B87931-8842-403F-B909-C89C8CDCCB3D}"/>
    <cellStyle name="Standard 6 2 5 3 3 3" xfId="5730" xr:uid="{00000000-0005-0000-0000-000069160000}"/>
    <cellStyle name="Standard 6 2 5 3 3 3 2" xfId="17691" xr:uid="{21027940-DD91-4A2D-A421-E59EC8FF0D4B}"/>
    <cellStyle name="Standard 6 2 5 3 3 4" xfId="17688" xr:uid="{40D134C7-64DA-40DD-93E3-56293C57364F}"/>
    <cellStyle name="Standard 6 2 5 3 4" xfId="5731" xr:uid="{00000000-0005-0000-0000-00006A160000}"/>
    <cellStyle name="Standard 6 2 5 3 4 2" xfId="5732" xr:uid="{00000000-0005-0000-0000-00006B160000}"/>
    <cellStyle name="Standard 6 2 5 3 4 2 2" xfId="5733" xr:uid="{00000000-0005-0000-0000-00006C160000}"/>
    <cellStyle name="Standard 6 2 5 3 4 2 2 2" xfId="17694" xr:uid="{04129AC1-A2AD-4730-B5BF-672B648C6AFA}"/>
    <cellStyle name="Standard 6 2 5 3 4 2 3" xfId="17693" xr:uid="{95398AE1-DD04-4B2C-8595-1D6CF3201145}"/>
    <cellStyle name="Standard 6 2 5 3 4 3" xfId="5734" xr:uid="{00000000-0005-0000-0000-00006D160000}"/>
    <cellStyle name="Standard 6 2 5 3 4 3 2" xfId="17695" xr:uid="{44B4A27E-81FF-461E-B1B1-80D343B96D26}"/>
    <cellStyle name="Standard 6 2 5 3 4 4" xfId="17692" xr:uid="{E661343F-FCF0-4123-B4EB-EA15E2095941}"/>
    <cellStyle name="Standard 6 2 5 3 5" xfId="5735" xr:uid="{00000000-0005-0000-0000-00006E160000}"/>
    <cellStyle name="Standard 6 2 5 3 5 2" xfId="5736" xr:uid="{00000000-0005-0000-0000-00006F160000}"/>
    <cellStyle name="Standard 6 2 5 3 5 2 2" xfId="5737" xr:uid="{00000000-0005-0000-0000-000070160000}"/>
    <cellStyle name="Standard 6 2 5 3 5 2 2 2" xfId="17698" xr:uid="{811FC139-213C-4CCD-A04A-032A6BBDEB44}"/>
    <cellStyle name="Standard 6 2 5 3 5 2 3" xfId="17697" xr:uid="{769C281F-1E8E-4846-87BE-48ED7C6A2F8A}"/>
    <cellStyle name="Standard 6 2 5 3 5 3" xfId="5738" xr:uid="{00000000-0005-0000-0000-000071160000}"/>
    <cellStyle name="Standard 6 2 5 3 5 3 2" xfId="17699" xr:uid="{1BF602DE-2E2E-47C0-A0E2-DEBA951C4BF3}"/>
    <cellStyle name="Standard 6 2 5 3 5 4" xfId="17696" xr:uid="{8497C39E-5CA1-42B3-B61E-7DCD87A0B09E}"/>
    <cellStyle name="Standard 6 2 5 3 6" xfId="5739" xr:uid="{00000000-0005-0000-0000-000072160000}"/>
    <cellStyle name="Standard 6 2 5 3 6 2" xfId="5740" xr:uid="{00000000-0005-0000-0000-000073160000}"/>
    <cellStyle name="Standard 6 2 5 3 6 2 2" xfId="5741" xr:uid="{00000000-0005-0000-0000-000074160000}"/>
    <cellStyle name="Standard 6 2 5 3 6 2 2 2" xfId="17702" xr:uid="{4CBE58BB-4610-4B8A-91F0-3E37B45F090A}"/>
    <cellStyle name="Standard 6 2 5 3 6 2 3" xfId="17701" xr:uid="{2111E5AC-D2DF-4BF8-ADFC-8FF6E136BAD6}"/>
    <cellStyle name="Standard 6 2 5 3 6 3" xfId="5742" xr:uid="{00000000-0005-0000-0000-000075160000}"/>
    <cellStyle name="Standard 6 2 5 3 6 3 2" xfId="17703" xr:uid="{851A2F89-1816-417E-B4B7-F62C05603138}"/>
    <cellStyle name="Standard 6 2 5 3 6 4" xfId="17700" xr:uid="{D9C6E3B7-32E5-4C43-9B15-1DEB4041DC47}"/>
    <cellStyle name="Standard 6 2 5 3 7" xfId="5743" xr:uid="{00000000-0005-0000-0000-000076160000}"/>
    <cellStyle name="Standard 6 2 5 3 7 2" xfId="5744" xr:uid="{00000000-0005-0000-0000-000077160000}"/>
    <cellStyle name="Standard 6 2 5 3 7 2 2" xfId="5745" xr:uid="{00000000-0005-0000-0000-000078160000}"/>
    <cellStyle name="Standard 6 2 5 3 7 2 2 2" xfId="17706" xr:uid="{40C5CD3B-8389-4326-8B65-EB98B539E3F3}"/>
    <cellStyle name="Standard 6 2 5 3 7 2 3" xfId="17705" xr:uid="{B1F88D2E-D26B-4C9C-B833-257122564567}"/>
    <cellStyle name="Standard 6 2 5 3 7 3" xfId="5746" xr:uid="{00000000-0005-0000-0000-000079160000}"/>
    <cellStyle name="Standard 6 2 5 3 7 3 2" xfId="17707" xr:uid="{BA9E10C4-1764-4E41-972F-FE71AD2C6D42}"/>
    <cellStyle name="Standard 6 2 5 3 7 4" xfId="17704" xr:uid="{19975DFD-7295-46F2-9AD3-2052915B9E77}"/>
    <cellStyle name="Standard 6 2 5 3 8" xfId="5747" xr:uid="{00000000-0005-0000-0000-00007A160000}"/>
    <cellStyle name="Standard 6 2 5 3 8 2" xfId="5748" xr:uid="{00000000-0005-0000-0000-00007B160000}"/>
    <cellStyle name="Standard 6 2 5 3 8 2 2" xfId="5749" xr:uid="{00000000-0005-0000-0000-00007C160000}"/>
    <cellStyle name="Standard 6 2 5 3 8 2 2 2" xfId="17710" xr:uid="{A75BED88-7CAB-4EA8-8E1F-10BD050552F3}"/>
    <cellStyle name="Standard 6 2 5 3 8 2 3" xfId="17709" xr:uid="{1971C1F2-BC5B-4DF0-8BBF-75E54E810C8C}"/>
    <cellStyle name="Standard 6 2 5 3 8 3" xfId="5750" xr:uid="{00000000-0005-0000-0000-00007D160000}"/>
    <cellStyle name="Standard 6 2 5 3 8 3 2" xfId="17711" xr:uid="{69EF8C22-93A8-48A6-BC4B-1759F2B24845}"/>
    <cellStyle name="Standard 6 2 5 3 8 4" xfId="17708" xr:uid="{551B3A3E-0B86-495D-A568-A36DD1C9D80E}"/>
    <cellStyle name="Standard 6 2 5 3 9" xfId="5751" xr:uid="{00000000-0005-0000-0000-00007E160000}"/>
    <cellStyle name="Standard 6 2 5 3 9 2" xfId="5752" xr:uid="{00000000-0005-0000-0000-00007F160000}"/>
    <cellStyle name="Standard 6 2 5 3 9 2 2" xfId="17713" xr:uid="{8A8BF349-8DA0-43D0-84D2-0145F6D2B85F}"/>
    <cellStyle name="Standard 6 2 5 3 9 3" xfId="17712" xr:uid="{B6EF5393-B429-4B10-AE1A-F8C4A3EB7EB7}"/>
    <cellStyle name="Standard 6 2 5 4" xfId="5753" xr:uid="{00000000-0005-0000-0000-000080160000}"/>
    <cellStyle name="Standard 6 2 5 4 10" xfId="5754" xr:uid="{00000000-0005-0000-0000-000081160000}"/>
    <cellStyle name="Standard 6 2 5 4 10 2" xfId="17715" xr:uid="{7184A029-E12D-431A-98AC-41B4AA431A4A}"/>
    <cellStyle name="Standard 6 2 5 4 11" xfId="17714" xr:uid="{E28F5BB9-532A-4901-8ACB-BEB46B59C8FE}"/>
    <cellStyle name="Standard 6 2 5 4 2" xfId="5755" xr:uid="{00000000-0005-0000-0000-000082160000}"/>
    <cellStyle name="Standard 6 2 5 4 2 10" xfId="17716" xr:uid="{0E5F1BB5-9AA2-4AB9-82FD-DC1AE2B03587}"/>
    <cellStyle name="Standard 6 2 5 4 2 2" xfId="5756" xr:uid="{00000000-0005-0000-0000-000083160000}"/>
    <cellStyle name="Standard 6 2 5 4 2 2 2" xfId="5757" xr:uid="{00000000-0005-0000-0000-000084160000}"/>
    <cellStyle name="Standard 6 2 5 4 2 2 2 2" xfId="5758" xr:uid="{00000000-0005-0000-0000-000085160000}"/>
    <cellStyle name="Standard 6 2 5 4 2 2 2 2 2" xfId="17719" xr:uid="{BCCD2028-5E73-4DBB-B0B2-8764BBF8461D}"/>
    <cellStyle name="Standard 6 2 5 4 2 2 2 3" xfId="17718" xr:uid="{72102B61-8C7A-4E62-B797-73EE286E002D}"/>
    <cellStyle name="Standard 6 2 5 4 2 2 3" xfId="5759" xr:uid="{00000000-0005-0000-0000-000086160000}"/>
    <cellStyle name="Standard 6 2 5 4 2 2 3 2" xfId="17720" xr:uid="{716B2999-19D3-4837-AD87-CA49CBA0813B}"/>
    <cellStyle name="Standard 6 2 5 4 2 2 4" xfId="17717" xr:uid="{975A6BCF-A2D7-4225-87BE-37D197FB9F3B}"/>
    <cellStyle name="Standard 6 2 5 4 2 3" xfId="5760" xr:uid="{00000000-0005-0000-0000-000087160000}"/>
    <cellStyle name="Standard 6 2 5 4 2 3 2" xfId="5761" xr:uid="{00000000-0005-0000-0000-000088160000}"/>
    <cellStyle name="Standard 6 2 5 4 2 3 2 2" xfId="5762" xr:uid="{00000000-0005-0000-0000-000089160000}"/>
    <cellStyle name="Standard 6 2 5 4 2 3 2 2 2" xfId="17723" xr:uid="{3D52957B-EA64-4745-9FDB-E7E966C8D020}"/>
    <cellStyle name="Standard 6 2 5 4 2 3 2 3" xfId="17722" xr:uid="{F88BC3D3-9C0F-40A9-A8DE-E30131ADAF4A}"/>
    <cellStyle name="Standard 6 2 5 4 2 3 3" xfId="5763" xr:uid="{00000000-0005-0000-0000-00008A160000}"/>
    <cellStyle name="Standard 6 2 5 4 2 3 3 2" xfId="17724" xr:uid="{875CCE80-68EF-4C7D-A934-2FFF0180DF50}"/>
    <cellStyle name="Standard 6 2 5 4 2 3 4" xfId="17721" xr:uid="{E6061686-58AC-4ED2-8F7A-508EE071F086}"/>
    <cellStyle name="Standard 6 2 5 4 2 4" xfId="5764" xr:uid="{00000000-0005-0000-0000-00008B160000}"/>
    <cellStyle name="Standard 6 2 5 4 2 4 2" xfId="5765" xr:uid="{00000000-0005-0000-0000-00008C160000}"/>
    <cellStyle name="Standard 6 2 5 4 2 4 2 2" xfId="5766" xr:uid="{00000000-0005-0000-0000-00008D160000}"/>
    <cellStyle name="Standard 6 2 5 4 2 4 2 2 2" xfId="17727" xr:uid="{86E34646-FE78-4868-97FB-92DAE3DB1C34}"/>
    <cellStyle name="Standard 6 2 5 4 2 4 2 3" xfId="17726" xr:uid="{103B0762-7485-4DC8-ABF8-68B14905B420}"/>
    <cellStyle name="Standard 6 2 5 4 2 4 3" xfId="5767" xr:uid="{00000000-0005-0000-0000-00008E160000}"/>
    <cellStyle name="Standard 6 2 5 4 2 4 3 2" xfId="17728" xr:uid="{9BB525DD-3D0A-4EB2-8E2D-027199B7D065}"/>
    <cellStyle name="Standard 6 2 5 4 2 4 4" xfId="17725" xr:uid="{963FB0DF-B7C3-41FE-B844-F8D4D8C2BA2C}"/>
    <cellStyle name="Standard 6 2 5 4 2 5" xfId="5768" xr:uid="{00000000-0005-0000-0000-00008F160000}"/>
    <cellStyle name="Standard 6 2 5 4 2 5 2" xfId="5769" xr:uid="{00000000-0005-0000-0000-000090160000}"/>
    <cellStyle name="Standard 6 2 5 4 2 5 2 2" xfId="5770" xr:uid="{00000000-0005-0000-0000-000091160000}"/>
    <cellStyle name="Standard 6 2 5 4 2 5 2 2 2" xfId="17731" xr:uid="{702E8643-A37D-4198-BC71-3D8EF1F26CA4}"/>
    <cellStyle name="Standard 6 2 5 4 2 5 2 3" xfId="17730" xr:uid="{72CADF17-3D22-4253-BEC8-12F506E9AD9E}"/>
    <cellStyle name="Standard 6 2 5 4 2 5 3" xfId="5771" xr:uid="{00000000-0005-0000-0000-000092160000}"/>
    <cellStyle name="Standard 6 2 5 4 2 5 3 2" xfId="17732" xr:uid="{BD5FDE78-7967-4ABF-B4E7-0CFCC2DFAA0A}"/>
    <cellStyle name="Standard 6 2 5 4 2 5 4" xfId="17729" xr:uid="{E7035AA4-9CC1-4D9D-8791-48FC8D992520}"/>
    <cellStyle name="Standard 6 2 5 4 2 6" xfId="5772" xr:uid="{00000000-0005-0000-0000-000093160000}"/>
    <cellStyle name="Standard 6 2 5 4 2 6 2" xfId="5773" xr:uid="{00000000-0005-0000-0000-000094160000}"/>
    <cellStyle name="Standard 6 2 5 4 2 6 2 2" xfId="5774" xr:uid="{00000000-0005-0000-0000-000095160000}"/>
    <cellStyle name="Standard 6 2 5 4 2 6 2 2 2" xfId="17735" xr:uid="{2124695F-DCB2-4A4F-A72F-19E011680304}"/>
    <cellStyle name="Standard 6 2 5 4 2 6 2 3" xfId="17734" xr:uid="{6218BAF7-4878-4C24-9855-1172FF6E1431}"/>
    <cellStyle name="Standard 6 2 5 4 2 6 3" xfId="5775" xr:uid="{00000000-0005-0000-0000-000096160000}"/>
    <cellStyle name="Standard 6 2 5 4 2 6 3 2" xfId="17736" xr:uid="{6476F836-4A2D-491E-954C-4AAE3103B15B}"/>
    <cellStyle name="Standard 6 2 5 4 2 6 4" xfId="17733" xr:uid="{CF0FD2A3-AB5A-4651-A624-235CE3364861}"/>
    <cellStyle name="Standard 6 2 5 4 2 7" xfId="5776" xr:uid="{00000000-0005-0000-0000-000097160000}"/>
    <cellStyle name="Standard 6 2 5 4 2 7 2" xfId="5777" xr:uid="{00000000-0005-0000-0000-000098160000}"/>
    <cellStyle name="Standard 6 2 5 4 2 7 2 2" xfId="5778" xr:uid="{00000000-0005-0000-0000-000099160000}"/>
    <cellStyle name="Standard 6 2 5 4 2 7 2 2 2" xfId="17739" xr:uid="{AF5F0696-DED0-48EB-B1FA-816BD047DB36}"/>
    <cellStyle name="Standard 6 2 5 4 2 7 2 3" xfId="17738" xr:uid="{63D40937-E232-437D-ACB1-7B9CB8914910}"/>
    <cellStyle name="Standard 6 2 5 4 2 7 3" xfId="5779" xr:uid="{00000000-0005-0000-0000-00009A160000}"/>
    <cellStyle name="Standard 6 2 5 4 2 7 3 2" xfId="17740" xr:uid="{180421CF-D8A2-4361-8A94-C43A73696AEF}"/>
    <cellStyle name="Standard 6 2 5 4 2 7 4" xfId="17737" xr:uid="{BB64CE40-84FB-4FE3-B23A-035B1C00FFB2}"/>
    <cellStyle name="Standard 6 2 5 4 2 8" xfId="5780" xr:uid="{00000000-0005-0000-0000-00009B160000}"/>
    <cellStyle name="Standard 6 2 5 4 2 8 2" xfId="5781" xr:uid="{00000000-0005-0000-0000-00009C160000}"/>
    <cellStyle name="Standard 6 2 5 4 2 8 2 2" xfId="17742" xr:uid="{22132401-D3A8-475A-ABA3-6275570AF139}"/>
    <cellStyle name="Standard 6 2 5 4 2 8 3" xfId="17741" xr:uid="{14EAC783-2C1E-4181-8709-8D0247CBF5E7}"/>
    <cellStyle name="Standard 6 2 5 4 2 9" xfId="5782" xr:uid="{00000000-0005-0000-0000-00009D160000}"/>
    <cellStyle name="Standard 6 2 5 4 2 9 2" xfId="17743" xr:uid="{B537C75A-F56B-43C5-A3CA-CEDF1F927F9C}"/>
    <cellStyle name="Standard 6 2 5 4 3" xfId="5783" xr:uid="{00000000-0005-0000-0000-00009E160000}"/>
    <cellStyle name="Standard 6 2 5 4 3 2" xfId="5784" xr:uid="{00000000-0005-0000-0000-00009F160000}"/>
    <cellStyle name="Standard 6 2 5 4 3 2 2" xfId="5785" xr:uid="{00000000-0005-0000-0000-0000A0160000}"/>
    <cellStyle name="Standard 6 2 5 4 3 2 2 2" xfId="17746" xr:uid="{11984BB2-1EDA-4C92-A040-DE3D111BA499}"/>
    <cellStyle name="Standard 6 2 5 4 3 2 3" xfId="17745" xr:uid="{7FD1D0E7-E967-4169-B327-45C4E4F68D76}"/>
    <cellStyle name="Standard 6 2 5 4 3 3" xfId="5786" xr:uid="{00000000-0005-0000-0000-0000A1160000}"/>
    <cellStyle name="Standard 6 2 5 4 3 3 2" xfId="17747" xr:uid="{F7754754-AED5-4C7A-90CC-16BB51CAB86E}"/>
    <cellStyle name="Standard 6 2 5 4 3 4" xfId="17744" xr:uid="{608BC83C-75A5-4DFD-8C34-2EC388309085}"/>
    <cellStyle name="Standard 6 2 5 4 4" xfId="5787" xr:uid="{00000000-0005-0000-0000-0000A2160000}"/>
    <cellStyle name="Standard 6 2 5 4 4 2" xfId="5788" xr:uid="{00000000-0005-0000-0000-0000A3160000}"/>
    <cellStyle name="Standard 6 2 5 4 4 2 2" xfId="5789" xr:uid="{00000000-0005-0000-0000-0000A4160000}"/>
    <cellStyle name="Standard 6 2 5 4 4 2 2 2" xfId="17750" xr:uid="{F97E4017-45D6-4407-9EB7-6E02B004F118}"/>
    <cellStyle name="Standard 6 2 5 4 4 2 3" xfId="17749" xr:uid="{7E350DB1-9C23-4237-9832-0B5D74FB5388}"/>
    <cellStyle name="Standard 6 2 5 4 4 3" xfId="5790" xr:uid="{00000000-0005-0000-0000-0000A5160000}"/>
    <cellStyle name="Standard 6 2 5 4 4 3 2" xfId="17751" xr:uid="{932C2038-B431-4CFC-9EC5-19FA4CC9DC6F}"/>
    <cellStyle name="Standard 6 2 5 4 4 4" xfId="17748" xr:uid="{EB5BF6A2-86D7-4E8D-8632-61AF1E48A8F4}"/>
    <cellStyle name="Standard 6 2 5 4 5" xfId="5791" xr:uid="{00000000-0005-0000-0000-0000A6160000}"/>
    <cellStyle name="Standard 6 2 5 4 5 2" xfId="5792" xr:uid="{00000000-0005-0000-0000-0000A7160000}"/>
    <cellStyle name="Standard 6 2 5 4 5 2 2" xfId="5793" xr:uid="{00000000-0005-0000-0000-0000A8160000}"/>
    <cellStyle name="Standard 6 2 5 4 5 2 2 2" xfId="17754" xr:uid="{9CEDB6F0-79A6-473A-8651-EA654F4ED27B}"/>
    <cellStyle name="Standard 6 2 5 4 5 2 3" xfId="17753" xr:uid="{5B9D8C31-1F1E-43A6-BD35-BCBDF8412B29}"/>
    <cellStyle name="Standard 6 2 5 4 5 3" xfId="5794" xr:uid="{00000000-0005-0000-0000-0000A9160000}"/>
    <cellStyle name="Standard 6 2 5 4 5 3 2" xfId="17755" xr:uid="{D1D78BF6-7302-49BA-B136-A0035E21E556}"/>
    <cellStyle name="Standard 6 2 5 4 5 4" xfId="17752" xr:uid="{20A3EE4D-C4D6-49D9-9A7D-B17C3BB41CF9}"/>
    <cellStyle name="Standard 6 2 5 4 6" xfId="5795" xr:uid="{00000000-0005-0000-0000-0000AA160000}"/>
    <cellStyle name="Standard 6 2 5 4 6 2" xfId="5796" xr:uid="{00000000-0005-0000-0000-0000AB160000}"/>
    <cellStyle name="Standard 6 2 5 4 6 2 2" xfId="5797" xr:uid="{00000000-0005-0000-0000-0000AC160000}"/>
    <cellStyle name="Standard 6 2 5 4 6 2 2 2" xfId="17758" xr:uid="{EAA00FEE-4263-4C4C-B4B7-7145B76A5660}"/>
    <cellStyle name="Standard 6 2 5 4 6 2 3" xfId="17757" xr:uid="{FF17756F-958C-4E80-8CCF-7A3C71D13735}"/>
    <cellStyle name="Standard 6 2 5 4 6 3" xfId="5798" xr:uid="{00000000-0005-0000-0000-0000AD160000}"/>
    <cellStyle name="Standard 6 2 5 4 6 3 2" xfId="17759" xr:uid="{42710FF4-E016-4BC4-BD15-2EF7769ABE44}"/>
    <cellStyle name="Standard 6 2 5 4 6 4" xfId="17756" xr:uid="{4BB58DC9-F275-4B3D-88AB-BEA38E3AD372}"/>
    <cellStyle name="Standard 6 2 5 4 7" xfId="5799" xr:uid="{00000000-0005-0000-0000-0000AE160000}"/>
    <cellStyle name="Standard 6 2 5 4 7 2" xfId="5800" xr:uid="{00000000-0005-0000-0000-0000AF160000}"/>
    <cellStyle name="Standard 6 2 5 4 7 2 2" xfId="5801" xr:uid="{00000000-0005-0000-0000-0000B0160000}"/>
    <cellStyle name="Standard 6 2 5 4 7 2 2 2" xfId="17762" xr:uid="{494C93C4-E6BC-40EB-9B19-52F22D94127C}"/>
    <cellStyle name="Standard 6 2 5 4 7 2 3" xfId="17761" xr:uid="{A125FA34-4E0C-4487-91F6-9E2D0EB9396D}"/>
    <cellStyle name="Standard 6 2 5 4 7 3" xfId="5802" xr:uid="{00000000-0005-0000-0000-0000B1160000}"/>
    <cellStyle name="Standard 6 2 5 4 7 3 2" xfId="17763" xr:uid="{E1F70215-4618-481C-9B14-AEE6BE391D42}"/>
    <cellStyle name="Standard 6 2 5 4 7 4" xfId="17760" xr:uid="{1ACDC80D-02F4-48D4-8AD7-4499506CBC87}"/>
    <cellStyle name="Standard 6 2 5 4 8" xfId="5803" xr:uid="{00000000-0005-0000-0000-0000B2160000}"/>
    <cellStyle name="Standard 6 2 5 4 8 2" xfId="5804" xr:uid="{00000000-0005-0000-0000-0000B3160000}"/>
    <cellStyle name="Standard 6 2 5 4 8 2 2" xfId="5805" xr:uid="{00000000-0005-0000-0000-0000B4160000}"/>
    <cellStyle name="Standard 6 2 5 4 8 2 2 2" xfId="17766" xr:uid="{FBBFAB0B-94C7-4537-94A6-9D1EA20A0B70}"/>
    <cellStyle name="Standard 6 2 5 4 8 2 3" xfId="17765" xr:uid="{28442808-C725-422E-B9A4-E71C6B4B7603}"/>
    <cellStyle name="Standard 6 2 5 4 8 3" xfId="5806" xr:uid="{00000000-0005-0000-0000-0000B5160000}"/>
    <cellStyle name="Standard 6 2 5 4 8 3 2" xfId="17767" xr:uid="{323E727D-C181-4CED-9F9B-052292E6ED51}"/>
    <cellStyle name="Standard 6 2 5 4 8 4" xfId="17764" xr:uid="{2EDD958D-F262-4CB3-A956-99D89F15ACB8}"/>
    <cellStyle name="Standard 6 2 5 4 9" xfId="5807" xr:uid="{00000000-0005-0000-0000-0000B6160000}"/>
    <cellStyle name="Standard 6 2 5 4 9 2" xfId="5808" xr:uid="{00000000-0005-0000-0000-0000B7160000}"/>
    <cellStyle name="Standard 6 2 5 4 9 2 2" xfId="17769" xr:uid="{28E9FB57-9DCD-45EA-83AA-86B942D10438}"/>
    <cellStyle name="Standard 6 2 5 4 9 3" xfId="17768" xr:uid="{3A6BECA8-49AC-4940-822B-2863C996063F}"/>
    <cellStyle name="Standard 6 2 5 5" xfId="5809" xr:uid="{00000000-0005-0000-0000-0000B8160000}"/>
    <cellStyle name="Standard 6 2 5 5 10" xfId="5810" xr:uid="{00000000-0005-0000-0000-0000B9160000}"/>
    <cellStyle name="Standard 6 2 5 5 10 2" xfId="17771" xr:uid="{179A9038-72D0-490B-92EE-8BCC1D1FFCCE}"/>
    <cellStyle name="Standard 6 2 5 5 11" xfId="17770" xr:uid="{0DE7CCAF-BE34-402B-9E47-12B774915073}"/>
    <cellStyle name="Standard 6 2 5 5 2" xfId="5811" xr:uid="{00000000-0005-0000-0000-0000BA160000}"/>
    <cellStyle name="Standard 6 2 5 5 2 10" xfId="17772" xr:uid="{1EFCCBF4-DB15-4516-9149-9B45D868400B}"/>
    <cellStyle name="Standard 6 2 5 5 2 2" xfId="5812" xr:uid="{00000000-0005-0000-0000-0000BB160000}"/>
    <cellStyle name="Standard 6 2 5 5 2 2 2" xfId="5813" xr:uid="{00000000-0005-0000-0000-0000BC160000}"/>
    <cellStyle name="Standard 6 2 5 5 2 2 2 2" xfId="5814" xr:uid="{00000000-0005-0000-0000-0000BD160000}"/>
    <cellStyle name="Standard 6 2 5 5 2 2 2 2 2" xfId="17775" xr:uid="{5668DC3F-20D9-43EE-A3BC-6511DCCCF942}"/>
    <cellStyle name="Standard 6 2 5 5 2 2 2 3" xfId="17774" xr:uid="{FD1F55E2-F29A-4DE8-86A9-A4D0AACEC08D}"/>
    <cellStyle name="Standard 6 2 5 5 2 2 3" xfId="5815" xr:uid="{00000000-0005-0000-0000-0000BE160000}"/>
    <cellStyle name="Standard 6 2 5 5 2 2 3 2" xfId="17776" xr:uid="{9CAE5197-0DAA-4D3A-82F7-5598E9FDB7B1}"/>
    <cellStyle name="Standard 6 2 5 5 2 2 4" xfId="17773" xr:uid="{DE3931D3-06B8-44BB-81C4-97C79091DF73}"/>
    <cellStyle name="Standard 6 2 5 5 2 3" xfId="5816" xr:uid="{00000000-0005-0000-0000-0000BF160000}"/>
    <cellStyle name="Standard 6 2 5 5 2 3 2" xfId="5817" xr:uid="{00000000-0005-0000-0000-0000C0160000}"/>
    <cellStyle name="Standard 6 2 5 5 2 3 2 2" xfId="5818" xr:uid="{00000000-0005-0000-0000-0000C1160000}"/>
    <cellStyle name="Standard 6 2 5 5 2 3 2 2 2" xfId="17779" xr:uid="{814157BE-D04D-42A2-B71A-6BCE3E0EA92A}"/>
    <cellStyle name="Standard 6 2 5 5 2 3 2 3" xfId="17778" xr:uid="{BBE22C3C-2F53-4815-962C-C98ED0AB33F6}"/>
    <cellStyle name="Standard 6 2 5 5 2 3 3" xfId="5819" xr:uid="{00000000-0005-0000-0000-0000C2160000}"/>
    <cellStyle name="Standard 6 2 5 5 2 3 3 2" xfId="17780" xr:uid="{F6E67EDE-BEF7-4065-9CA4-3EEC0F1260DE}"/>
    <cellStyle name="Standard 6 2 5 5 2 3 4" xfId="17777" xr:uid="{43733E27-7054-4B69-BC99-3FE28710D9DC}"/>
    <cellStyle name="Standard 6 2 5 5 2 4" xfId="5820" xr:uid="{00000000-0005-0000-0000-0000C3160000}"/>
    <cellStyle name="Standard 6 2 5 5 2 4 2" xfId="5821" xr:uid="{00000000-0005-0000-0000-0000C4160000}"/>
    <cellStyle name="Standard 6 2 5 5 2 4 2 2" xfId="5822" xr:uid="{00000000-0005-0000-0000-0000C5160000}"/>
    <cellStyle name="Standard 6 2 5 5 2 4 2 2 2" xfId="17783" xr:uid="{17CE187E-1178-4C7A-BD55-01B5C81B3E83}"/>
    <cellStyle name="Standard 6 2 5 5 2 4 2 3" xfId="17782" xr:uid="{6B8B3023-967E-4BE2-ACDD-CA0118DABF4A}"/>
    <cellStyle name="Standard 6 2 5 5 2 4 3" xfId="5823" xr:uid="{00000000-0005-0000-0000-0000C6160000}"/>
    <cellStyle name="Standard 6 2 5 5 2 4 3 2" xfId="17784" xr:uid="{D691EFFE-B786-471A-BA7A-4F8963AD392A}"/>
    <cellStyle name="Standard 6 2 5 5 2 4 4" xfId="17781" xr:uid="{0179EAE4-CBFF-4848-A5F7-FB4FBF87A83E}"/>
    <cellStyle name="Standard 6 2 5 5 2 5" xfId="5824" xr:uid="{00000000-0005-0000-0000-0000C7160000}"/>
    <cellStyle name="Standard 6 2 5 5 2 5 2" xfId="5825" xr:uid="{00000000-0005-0000-0000-0000C8160000}"/>
    <cellStyle name="Standard 6 2 5 5 2 5 2 2" xfId="5826" xr:uid="{00000000-0005-0000-0000-0000C9160000}"/>
    <cellStyle name="Standard 6 2 5 5 2 5 2 2 2" xfId="17787" xr:uid="{509C8BE5-D08D-484D-B8B6-E09B58447D12}"/>
    <cellStyle name="Standard 6 2 5 5 2 5 2 3" xfId="17786" xr:uid="{63A0630E-39D7-436D-892E-02BD1C0BF67F}"/>
    <cellStyle name="Standard 6 2 5 5 2 5 3" xfId="5827" xr:uid="{00000000-0005-0000-0000-0000CA160000}"/>
    <cellStyle name="Standard 6 2 5 5 2 5 3 2" xfId="17788" xr:uid="{B3EA84B7-800C-4C0E-920E-274F98BBDD12}"/>
    <cellStyle name="Standard 6 2 5 5 2 5 4" xfId="17785" xr:uid="{18DE311D-5537-4C93-B0E7-80989C50085D}"/>
    <cellStyle name="Standard 6 2 5 5 2 6" xfId="5828" xr:uid="{00000000-0005-0000-0000-0000CB160000}"/>
    <cellStyle name="Standard 6 2 5 5 2 6 2" xfId="5829" xr:uid="{00000000-0005-0000-0000-0000CC160000}"/>
    <cellStyle name="Standard 6 2 5 5 2 6 2 2" xfId="5830" xr:uid="{00000000-0005-0000-0000-0000CD160000}"/>
    <cellStyle name="Standard 6 2 5 5 2 6 2 2 2" xfId="17791" xr:uid="{086A2DEE-6055-4921-AE06-85F9E2887EF6}"/>
    <cellStyle name="Standard 6 2 5 5 2 6 2 3" xfId="17790" xr:uid="{B295FD82-6625-4A02-9884-FFFBD50904CA}"/>
    <cellStyle name="Standard 6 2 5 5 2 6 3" xfId="5831" xr:uid="{00000000-0005-0000-0000-0000CE160000}"/>
    <cellStyle name="Standard 6 2 5 5 2 6 3 2" xfId="17792" xr:uid="{7118C444-BF13-42EF-BDA8-FD19CF71D791}"/>
    <cellStyle name="Standard 6 2 5 5 2 6 4" xfId="17789" xr:uid="{DFFCF3A6-8723-4BB8-9736-8E2583026C46}"/>
    <cellStyle name="Standard 6 2 5 5 2 7" xfId="5832" xr:uid="{00000000-0005-0000-0000-0000CF160000}"/>
    <cellStyle name="Standard 6 2 5 5 2 7 2" xfId="5833" xr:uid="{00000000-0005-0000-0000-0000D0160000}"/>
    <cellStyle name="Standard 6 2 5 5 2 7 2 2" xfId="5834" xr:uid="{00000000-0005-0000-0000-0000D1160000}"/>
    <cellStyle name="Standard 6 2 5 5 2 7 2 2 2" xfId="17795" xr:uid="{6F934488-5596-4C99-87B6-55F20C40680E}"/>
    <cellStyle name="Standard 6 2 5 5 2 7 2 3" xfId="17794" xr:uid="{2FFCB40F-8729-4269-A130-24D6F4E6FF23}"/>
    <cellStyle name="Standard 6 2 5 5 2 7 3" xfId="5835" xr:uid="{00000000-0005-0000-0000-0000D2160000}"/>
    <cellStyle name="Standard 6 2 5 5 2 7 3 2" xfId="17796" xr:uid="{9467456A-046D-41F0-96E2-1ADFC25C6D95}"/>
    <cellStyle name="Standard 6 2 5 5 2 7 4" xfId="17793" xr:uid="{45B63A22-2F2B-41A3-B372-195BE7F4F3D1}"/>
    <cellStyle name="Standard 6 2 5 5 2 8" xfId="5836" xr:uid="{00000000-0005-0000-0000-0000D3160000}"/>
    <cellStyle name="Standard 6 2 5 5 2 8 2" xfId="5837" xr:uid="{00000000-0005-0000-0000-0000D4160000}"/>
    <cellStyle name="Standard 6 2 5 5 2 8 2 2" xfId="17798" xr:uid="{2A546ABD-0133-4AF4-8DE6-2458B7C7847D}"/>
    <cellStyle name="Standard 6 2 5 5 2 8 3" xfId="17797" xr:uid="{264ABE3F-194E-4227-938B-4E9A069FA870}"/>
    <cellStyle name="Standard 6 2 5 5 2 9" xfId="5838" xr:uid="{00000000-0005-0000-0000-0000D5160000}"/>
    <cellStyle name="Standard 6 2 5 5 2 9 2" xfId="17799" xr:uid="{7CAC90B0-F5C8-441F-9D1E-310F2F0CFA25}"/>
    <cellStyle name="Standard 6 2 5 5 3" xfId="5839" xr:uid="{00000000-0005-0000-0000-0000D6160000}"/>
    <cellStyle name="Standard 6 2 5 5 3 2" xfId="5840" xr:uid="{00000000-0005-0000-0000-0000D7160000}"/>
    <cellStyle name="Standard 6 2 5 5 3 2 2" xfId="5841" xr:uid="{00000000-0005-0000-0000-0000D8160000}"/>
    <cellStyle name="Standard 6 2 5 5 3 2 2 2" xfId="17802" xr:uid="{DF4966C4-2E2A-470E-A750-AC98C17E5CB6}"/>
    <cellStyle name="Standard 6 2 5 5 3 2 3" xfId="17801" xr:uid="{84872DE9-E738-4F91-ADDB-45DDE6A95217}"/>
    <cellStyle name="Standard 6 2 5 5 3 3" xfId="5842" xr:uid="{00000000-0005-0000-0000-0000D9160000}"/>
    <cellStyle name="Standard 6 2 5 5 3 3 2" xfId="17803" xr:uid="{EDD04B89-AB93-4993-AEF4-471B3A17E091}"/>
    <cellStyle name="Standard 6 2 5 5 3 4" xfId="17800" xr:uid="{1BCC9C09-692C-4EB5-A8C6-4A3E41B0A363}"/>
    <cellStyle name="Standard 6 2 5 5 4" xfId="5843" xr:uid="{00000000-0005-0000-0000-0000DA160000}"/>
    <cellStyle name="Standard 6 2 5 5 4 2" xfId="5844" xr:uid="{00000000-0005-0000-0000-0000DB160000}"/>
    <cellStyle name="Standard 6 2 5 5 4 2 2" xfId="5845" xr:uid="{00000000-0005-0000-0000-0000DC160000}"/>
    <cellStyle name="Standard 6 2 5 5 4 2 2 2" xfId="17806" xr:uid="{1A08E272-5E4C-422F-B0E3-76159FF51594}"/>
    <cellStyle name="Standard 6 2 5 5 4 2 3" xfId="17805" xr:uid="{749BE70A-7010-45CF-9AB8-B7B6B5F41CF8}"/>
    <cellStyle name="Standard 6 2 5 5 4 3" xfId="5846" xr:uid="{00000000-0005-0000-0000-0000DD160000}"/>
    <cellStyle name="Standard 6 2 5 5 4 3 2" xfId="17807" xr:uid="{EBBF53A0-D8FD-42ED-B112-2197ADFA04BE}"/>
    <cellStyle name="Standard 6 2 5 5 4 4" xfId="17804" xr:uid="{AB58D8E3-1303-4B71-9BBB-FCAA787AFB7E}"/>
    <cellStyle name="Standard 6 2 5 5 5" xfId="5847" xr:uid="{00000000-0005-0000-0000-0000DE160000}"/>
    <cellStyle name="Standard 6 2 5 5 5 2" xfId="5848" xr:uid="{00000000-0005-0000-0000-0000DF160000}"/>
    <cellStyle name="Standard 6 2 5 5 5 2 2" xfId="5849" xr:uid="{00000000-0005-0000-0000-0000E0160000}"/>
    <cellStyle name="Standard 6 2 5 5 5 2 2 2" xfId="17810" xr:uid="{F06FF861-C111-44D9-A3C8-4A339A6C8FDC}"/>
    <cellStyle name="Standard 6 2 5 5 5 2 3" xfId="17809" xr:uid="{2A9989F2-58FE-4304-9D77-05C4A3819A47}"/>
    <cellStyle name="Standard 6 2 5 5 5 3" xfId="5850" xr:uid="{00000000-0005-0000-0000-0000E1160000}"/>
    <cellStyle name="Standard 6 2 5 5 5 3 2" xfId="17811" xr:uid="{8934DF01-F1A8-4658-8FC7-54132323F6E2}"/>
    <cellStyle name="Standard 6 2 5 5 5 4" xfId="17808" xr:uid="{0229616F-CEC6-4B6E-A0F4-038030690DB3}"/>
    <cellStyle name="Standard 6 2 5 5 6" xfId="5851" xr:uid="{00000000-0005-0000-0000-0000E2160000}"/>
    <cellStyle name="Standard 6 2 5 5 6 2" xfId="5852" xr:uid="{00000000-0005-0000-0000-0000E3160000}"/>
    <cellStyle name="Standard 6 2 5 5 6 2 2" xfId="5853" xr:uid="{00000000-0005-0000-0000-0000E4160000}"/>
    <cellStyle name="Standard 6 2 5 5 6 2 2 2" xfId="17814" xr:uid="{5B1C7D55-D462-444D-AC41-35883E0994C0}"/>
    <cellStyle name="Standard 6 2 5 5 6 2 3" xfId="17813" xr:uid="{36EAD4E1-DE78-4B17-97B8-4C9A96E9308B}"/>
    <cellStyle name="Standard 6 2 5 5 6 3" xfId="5854" xr:uid="{00000000-0005-0000-0000-0000E5160000}"/>
    <cellStyle name="Standard 6 2 5 5 6 3 2" xfId="17815" xr:uid="{DC92E97F-17E8-4C0E-99EF-76D263EC4720}"/>
    <cellStyle name="Standard 6 2 5 5 6 4" xfId="17812" xr:uid="{86EBC7F6-046A-4FDD-9BF8-F1C83786D8E8}"/>
    <cellStyle name="Standard 6 2 5 5 7" xfId="5855" xr:uid="{00000000-0005-0000-0000-0000E6160000}"/>
    <cellStyle name="Standard 6 2 5 5 7 2" xfId="5856" xr:uid="{00000000-0005-0000-0000-0000E7160000}"/>
    <cellStyle name="Standard 6 2 5 5 7 2 2" xfId="5857" xr:uid="{00000000-0005-0000-0000-0000E8160000}"/>
    <cellStyle name="Standard 6 2 5 5 7 2 2 2" xfId="17818" xr:uid="{A910B233-A90A-4163-9CB4-AE58F410FD77}"/>
    <cellStyle name="Standard 6 2 5 5 7 2 3" xfId="17817" xr:uid="{ADE4B471-1FDF-405D-B246-1E8BFD103844}"/>
    <cellStyle name="Standard 6 2 5 5 7 3" xfId="5858" xr:uid="{00000000-0005-0000-0000-0000E9160000}"/>
    <cellStyle name="Standard 6 2 5 5 7 3 2" xfId="17819" xr:uid="{6495E9B7-F836-427F-A785-BB32F3BF160D}"/>
    <cellStyle name="Standard 6 2 5 5 7 4" xfId="17816" xr:uid="{EFBC8D01-7A07-4F37-999F-14F9CBB2F185}"/>
    <cellStyle name="Standard 6 2 5 5 8" xfId="5859" xr:uid="{00000000-0005-0000-0000-0000EA160000}"/>
    <cellStyle name="Standard 6 2 5 5 8 2" xfId="5860" xr:uid="{00000000-0005-0000-0000-0000EB160000}"/>
    <cellStyle name="Standard 6 2 5 5 8 2 2" xfId="5861" xr:uid="{00000000-0005-0000-0000-0000EC160000}"/>
    <cellStyle name="Standard 6 2 5 5 8 2 2 2" xfId="17822" xr:uid="{60D68FB0-535D-46D8-8783-7C8706F28E76}"/>
    <cellStyle name="Standard 6 2 5 5 8 2 3" xfId="17821" xr:uid="{81B61801-5AE8-4627-996B-8EA746A55951}"/>
    <cellStyle name="Standard 6 2 5 5 8 3" xfId="5862" xr:uid="{00000000-0005-0000-0000-0000ED160000}"/>
    <cellStyle name="Standard 6 2 5 5 8 3 2" xfId="17823" xr:uid="{8260EA4B-EAB3-429D-A793-0961FC065B88}"/>
    <cellStyle name="Standard 6 2 5 5 8 4" xfId="17820" xr:uid="{342651C7-41CB-4D26-92DC-C6F5C6E7513A}"/>
    <cellStyle name="Standard 6 2 5 5 9" xfId="5863" xr:uid="{00000000-0005-0000-0000-0000EE160000}"/>
    <cellStyle name="Standard 6 2 5 5 9 2" xfId="5864" xr:uid="{00000000-0005-0000-0000-0000EF160000}"/>
    <cellStyle name="Standard 6 2 5 5 9 2 2" xfId="17825" xr:uid="{15DB9864-F038-4212-BD35-2A35B06EA8F8}"/>
    <cellStyle name="Standard 6 2 5 5 9 3" xfId="17824" xr:uid="{2B69EEB3-4A2F-4C58-81D8-D5F6D6D5BCFB}"/>
    <cellStyle name="Standard 6 2 5 6" xfId="5865" xr:uid="{00000000-0005-0000-0000-0000F0160000}"/>
    <cellStyle name="Standard 6 2 5 6 10" xfId="5866" xr:uid="{00000000-0005-0000-0000-0000F1160000}"/>
    <cellStyle name="Standard 6 2 5 6 10 2" xfId="17827" xr:uid="{D92C086E-429E-4B47-A56B-E4587AF5818C}"/>
    <cellStyle name="Standard 6 2 5 6 11" xfId="17826" xr:uid="{AFED746F-36E7-4C77-A6DD-4866C9F1351B}"/>
    <cellStyle name="Standard 6 2 5 6 2" xfId="5867" xr:uid="{00000000-0005-0000-0000-0000F2160000}"/>
    <cellStyle name="Standard 6 2 5 6 2 10" xfId="17828" xr:uid="{74F13809-4CD3-49CF-919B-C50FC8343A29}"/>
    <cellStyle name="Standard 6 2 5 6 2 2" xfId="5868" xr:uid="{00000000-0005-0000-0000-0000F3160000}"/>
    <cellStyle name="Standard 6 2 5 6 2 2 2" xfId="5869" xr:uid="{00000000-0005-0000-0000-0000F4160000}"/>
    <cellStyle name="Standard 6 2 5 6 2 2 2 2" xfId="5870" xr:uid="{00000000-0005-0000-0000-0000F5160000}"/>
    <cellStyle name="Standard 6 2 5 6 2 2 2 2 2" xfId="17831" xr:uid="{C42623AA-F990-46EC-9632-627F1B566C7B}"/>
    <cellStyle name="Standard 6 2 5 6 2 2 2 3" xfId="17830" xr:uid="{1CB256E5-5965-4BEF-884C-78E71A013E16}"/>
    <cellStyle name="Standard 6 2 5 6 2 2 3" xfId="5871" xr:uid="{00000000-0005-0000-0000-0000F6160000}"/>
    <cellStyle name="Standard 6 2 5 6 2 2 3 2" xfId="17832" xr:uid="{E3C1232E-7CD0-4FCA-8C57-16C11624B4C6}"/>
    <cellStyle name="Standard 6 2 5 6 2 2 4" xfId="17829" xr:uid="{2F62BF74-D01B-463F-8908-90D50661D6C0}"/>
    <cellStyle name="Standard 6 2 5 6 2 3" xfId="5872" xr:uid="{00000000-0005-0000-0000-0000F7160000}"/>
    <cellStyle name="Standard 6 2 5 6 2 3 2" xfId="5873" xr:uid="{00000000-0005-0000-0000-0000F8160000}"/>
    <cellStyle name="Standard 6 2 5 6 2 3 2 2" xfId="5874" xr:uid="{00000000-0005-0000-0000-0000F9160000}"/>
    <cellStyle name="Standard 6 2 5 6 2 3 2 2 2" xfId="17835" xr:uid="{AC70F2E9-7DDF-4A1B-B6BE-5940AC3E1800}"/>
    <cellStyle name="Standard 6 2 5 6 2 3 2 3" xfId="17834" xr:uid="{15CDF6A6-8BD6-4A91-A2C0-F9107F41B8EC}"/>
    <cellStyle name="Standard 6 2 5 6 2 3 3" xfId="5875" xr:uid="{00000000-0005-0000-0000-0000FA160000}"/>
    <cellStyle name="Standard 6 2 5 6 2 3 3 2" xfId="17836" xr:uid="{B9940978-619E-4C91-BF85-2589B4B6D989}"/>
    <cellStyle name="Standard 6 2 5 6 2 3 4" xfId="17833" xr:uid="{E28AB427-7F85-4751-855A-E3F5721AD815}"/>
    <cellStyle name="Standard 6 2 5 6 2 4" xfId="5876" xr:uid="{00000000-0005-0000-0000-0000FB160000}"/>
    <cellStyle name="Standard 6 2 5 6 2 4 2" xfId="5877" xr:uid="{00000000-0005-0000-0000-0000FC160000}"/>
    <cellStyle name="Standard 6 2 5 6 2 4 2 2" xfId="5878" xr:uid="{00000000-0005-0000-0000-0000FD160000}"/>
    <cellStyle name="Standard 6 2 5 6 2 4 2 2 2" xfId="17839" xr:uid="{7E203D92-06C4-48B7-96A7-464B04C5DFBA}"/>
    <cellStyle name="Standard 6 2 5 6 2 4 2 3" xfId="17838" xr:uid="{2F5C2E30-D84A-42A9-B3E7-9436DD4F9533}"/>
    <cellStyle name="Standard 6 2 5 6 2 4 3" xfId="5879" xr:uid="{00000000-0005-0000-0000-0000FE160000}"/>
    <cellStyle name="Standard 6 2 5 6 2 4 3 2" xfId="17840" xr:uid="{613515DB-9781-4E58-88D1-AFD71DC8329C}"/>
    <cellStyle name="Standard 6 2 5 6 2 4 4" xfId="17837" xr:uid="{C79ACA79-12C4-4FFD-A682-45F5C85ACEF8}"/>
    <cellStyle name="Standard 6 2 5 6 2 5" xfId="5880" xr:uid="{00000000-0005-0000-0000-0000FF160000}"/>
    <cellStyle name="Standard 6 2 5 6 2 5 2" xfId="5881" xr:uid="{00000000-0005-0000-0000-000000170000}"/>
    <cellStyle name="Standard 6 2 5 6 2 5 2 2" xfId="5882" xr:uid="{00000000-0005-0000-0000-000001170000}"/>
    <cellStyle name="Standard 6 2 5 6 2 5 2 2 2" xfId="17843" xr:uid="{78282E67-2CC1-4200-85DA-30DFCA7EB271}"/>
    <cellStyle name="Standard 6 2 5 6 2 5 2 3" xfId="17842" xr:uid="{4BCFEC41-A903-4A19-85F8-1F9FE43B4DE7}"/>
    <cellStyle name="Standard 6 2 5 6 2 5 3" xfId="5883" xr:uid="{00000000-0005-0000-0000-000002170000}"/>
    <cellStyle name="Standard 6 2 5 6 2 5 3 2" xfId="17844" xr:uid="{CD84A98A-13C0-4F13-A858-A48AEB9C27F9}"/>
    <cellStyle name="Standard 6 2 5 6 2 5 4" xfId="17841" xr:uid="{286FAB0C-4BA3-4D99-A111-F72901897E11}"/>
    <cellStyle name="Standard 6 2 5 6 2 6" xfId="5884" xr:uid="{00000000-0005-0000-0000-000003170000}"/>
    <cellStyle name="Standard 6 2 5 6 2 6 2" xfId="5885" xr:uid="{00000000-0005-0000-0000-000004170000}"/>
    <cellStyle name="Standard 6 2 5 6 2 6 2 2" xfId="5886" xr:uid="{00000000-0005-0000-0000-000005170000}"/>
    <cellStyle name="Standard 6 2 5 6 2 6 2 2 2" xfId="17847" xr:uid="{603A81F2-CE02-45E5-8B57-83AE3461ADF7}"/>
    <cellStyle name="Standard 6 2 5 6 2 6 2 3" xfId="17846" xr:uid="{2D52631E-7DED-4EA3-987B-9F81F0279C59}"/>
    <cellStyle name="Standard 6 2 5 6 2 6 3" xfId="5887" xr:uid="{00000000-0005-0000-0000-000006170000}"/>
    <cellStyle name="Standard 6 2 5 6 2 6 3 2" xfId="17848" xr:uid="{60AAB566-C7BA-4580-9E1F-02ADA64862DF}"/>
    <cellStyle name="Standard 6 2 5 6 2 6 4" xfId="17845" xr:uid="{BC33BE52-F809-4908-AF51-05D579C19972}"/>
    <cellStyle name="Standard 6 2 5 6 2 7" xfId="5888" xr:uid="{00000000-0005-0000-0000-000007170000}"/>
    <cellStyle name="Standard 6 2 5 6 2 7 2" xfId="5889" xr:uid="{00000000-0005-0000-0000-000008170000}"/>
    <cellStyle name="Standard 6 2 5 6 2 7 2 2" xfId="5890" xr:uid="{00000000-0005-0000-0000-000009170000}"/>
    <cellStyle name="Standard 6 2 5 6 2 7 2 2 2" xfId="17851" xr:uid="{6514B52A-0351-47F8-9B1B-784FBE0E8CBD}"/>
    <cellStyle name="Standard 6 2 5 6 2 7 2 3" xfId="17850" xr:uid="{01AA56BF-E812-4BAD-B1EE-74224F640598}"/>
    <cellStyle name="Standard 6 2 5 6 2 7 3" xfId="5891" xr:uid="{00000000-0005-0000-0000-00000A170000}"/>
    <cellStyle name="Standard 6 2 5 6 2 7 3 2" xfId="17852" xr:uid="{676B7E03-143E-4EF1-B38A-5C4063D186C1}"/>
    <cellStyle name="Standard 6 2 5 6 2 7 4" xfId="17849" xr:uid="{E896DEFE-3134-45B9-A840-C1470BBD972B}"/>
    <cellStyle name="Standard 6 2 5 6 2 8" xfId="5892" xr:uid="{00000000-0005-0000-0000-00000B170000}"/>
    <cellStyle name="Standard 6 2 5 6 2 8 2" xfId="5893" xr:uid="{00000000-0005-0000-0000-00000C170000}"/>
    <cellStyle name="Standard 6 2 5 6 2 8 2 2" xfId="17854" xr:uid="{C45D8871-1F97-49F4-A056-13A5BBB87B13}"/>
    <cellStyle name="Standard 6 2 5 6 2 8 3" xfId="17853" xr:uid="{4012B64A-0AC2-4D73-8883-F6A11480F485}"/>
    <cellStyle name="Standard 6 2 5 6 2 9" xfId="5894" xr:uid="{00000000-0005-0000-0000-00000D170000}"/>
    <cellStyle name="Standard 6 2 5 6 2 9 2" xfId="17855" xr:uid="{6A361505-986E-48B1-8650-CA8F602EADA3}"/>
    <cellStyle name="Standard 6 2 5 6 3" xfId="5895" xr:uid="{00000000-0005-0000-0000-00000E170000}"/>
    <cellStyle name="Standard 6 2 5 6 3 2" xfId="5896" xr:uid="{00000000-0005-0000-0000-00000F170000}"/>
    <cellStyle name="Standard 6 2 5 6 3 2 2" xfId="5897" xr:uid="{00000000-0005-0000-0000-000010170000}"/>
    <cellStyle name="Standard 6 2 5 6 3 2 2 2" xfId="17858" xr:uid="{566EDAD9-C1FF-4F65-9610-567EA696CB65}"/>
    <cellStyle name="Standard 6 2 5 6 3 2 3" xfId="17857" xr:uid="{CA2BD75F-4285-42D5-87AE-F581B72B6384}"/>
    <cellStyle name="Standard 6 2 5 6 3 3" xfId="5898" xr:uid="{00000000-0005-0000-0000-000011170000}"/>
    <cellStyle name="Standard 6 2 5 6 3 3 2" xfId="17859" xr:uid="{3F1DCCE7-5EB2-44D6-BC59-0F5D8044B3A4}"/>
    <cellStyle name="Standard 6 2 5 6 3 4" xfId="17856" xr:uid="{38DE7870-79D1-4D56-8DFC-DD9687EB8590}"/>
    <cellStyle name="Standard 6 2 5 6 4" xfId="5899" xr:uid="{00000000-0005-0000-0000-000012170000}"/>
    <cellStyle name="Standard 6 2 5 6 4 2" xfId="5900" xr:uid="{00000000-0005-0000-0000-000013170000}"/>
    <cellStyle name="Standard 6 2 5 6 4 2 2" xfId="5901" xr:uid="{00000000-0005-0000-0000-000014170000}"/>
    <cellStyle name="Standard 6 2 5 6 4 2 2 2" xfId="17862" xr:uid="{42E36FFD-8F95-4D78-8FCF-6DA8E080F817}"/>
    <cellStyle name="Standard 6 2 5 6 4 2 3" xfId="17861" xr:uid="{A879CB64-57F8-44CD-A596-A2D012310A8E}"/>
    <cellStyle name="Standard 6 2 5 6 4 3" xfId="5902" xr:uid="{00000000-0005-0000-0000-000015170000}"/>
    <cellStyle name="Standard 6 2 5 6 4 3 2" xfId="17863" xr:uid="{A50D1A32-B295-481C-877B-1B16B5F826B3}"/>
    <cellStyle name="Standard 6 2 5 6 4 4" xfId="17860" xr:uid="{39B1EB89-F6CD-4F6F-AC72-8F0793ECFC50}"/>
    <cellStyle name="Standard 6 2 5 6 5" xfId="5903" xr:uid="{00000000-0005-0000-0000-000016170000}"/>
    <cellStyle name="Standard 6 2 5 6 5 2" xfId="5904" xr:uid="{00000000-0005-0000-0000-000017170000}"/>
    <cellStyle name="Standard 6 2 5 6 5 2 2" xfId="5905" xr:uid="{00000000-0005-0000-0000-000018170000}"/>
    <cellStyle name="Standard 6 2 5 6 5 2 2 2" xfId="17866" xr:uid="{13A64795-4785-4B9D-AD9C-D260A3B50B92}"/>
    <cellStyle name="Standard 6 2 5 6 5 2 3" xfId="17865" xr:uid="{C653C211-9556-4F18-84B3-9CB043E854DD}"/>
    <cellStyle name="Standard 6 2 5 6 5 3" xfId="5906" xr:uid="{00000000-0005-0000-0000-000019170000}"/>
    <cellStyle name="Standard 6 2 5 6 5 3 2" xfId="17867" xr:uid="{6F12C364-17A7-4C4E-800D-3D4F2683DE89}"/>
    <cellStyle name="Standard 6 2 5 6 5 4" xfId="17864" xr:uid="{518ECA54-0066-44CD-B0F8-9F93E96544A4}"/>
    <cellStyle name="Standard 6 2 5 6 6" xfId="5907" xr:uid="{00000000-0005-0000-0000-00001A170000}"/>
    <cellStyle name="Standard 6 2 5 6 6 2" xfId="5908" xr:uid="{00000000-0005-0000-0000-00001B170000}"/>
    <cellStyle name="Standard 6 2 5 6 6 2 2" xfId="5909" xr:uid="{00000000-0005-0000-0000-00001C170000}"/>
    <cellStyle name="Standard 6 2 5 6 6 2 2 2" xfId="17870" xr:uid="{F7F5B68B-AC76-4A6F-885B-4E3734ABC394}"/>
    <cellStyle name="Standard 6 2 5 6 6 2 3" xfId="17869" xr:uid="{D73F08B4-1555-46DC-BEF9-666F82EA2AE1}"/>
    <cellStyle name="Standard 6 2 5 6 6 3" xfId="5910" xr:uid="{00000000-0005-0000-0000-00001D170000}"/>
    <cellStyle name="Standard 6 2 5 6 6 3 2" xfId="17871" xr:uid="{AF7C9F37-0F52-410A-BCDC-AA66B1D08B52}"/>
    <cellStyle name="Standard 6 2 5 6 6 4" xfId="17868" xr:uid="{7C9A0145-52A3-472D-B0AA-7B7C4927A31E}"/>
    <cellStyle name="Standard 6 2 5 6 7" xfId="5911" xr:uid="{00000000-0005-0000-0000-00001E170000}"/>
    <cellStyle name="Standard 6 2 5 6 7 2" xfId="5912" xr:uid="{00000000-0005-0000-0000-00001F170000}"/>
    <cellStyle name="Standard 6 2 5 6 7 2 2" xfId="5913" xr:uid="{00000000-0005-0000-0000-000020170000}"/>
    <cellStyle name="Standard 6 2 5 6 7 2 2 2" xfId="17874" xr:uid="{3D7FCE4E-FABE-4510-93B1-7786411A34FE}"/>
    <cellStyle name="Standard 6 2 5 6 7 2 3" xfId="17873" xr:uid="{643F0079-6978-4B6D-96DA-24B0B65CB0F5}"/>
    <cellStyle name="Standard 6 2 5 6 7 3" xfId="5914" xr:uid="{00000000-0005-0000-0000-000021170000}"/>
    <cellStyle name="Standard 6 2 5 6 7 3 2" xfId="17875" xr:uid="{3EFD4112-F5AF-4968-A66F-95E3B6C07E56}"/>
    <cellStyle name="Standard 6 2 5 6 7 4" xfId="17872" xr:uid="{EB8AC464-0B72-4B30-967C-3E08F8C639C0}"/>
    <cellStyle name="Standard 6 2 5 6 8" xfId="5915" xr:uid="{00000000-0005-0000-0000-000022170000}"/>
    <cellStyle name="Standard 6 2 5 6 8 2" xfId="5916" xr:uid="{00000000-0005-0000-0000-000023170000}"/>
    <cellStyle name="Standard 6 2 5 6 8 2 2" xfId="5917" xr:uid="{00000000-0005-0000-0000-000024170000}"/>
    <cellStyle name="Standard 6 2 5 6 8 2 2 2" xfId="17878" xr:uid="{37402D31-29A9-4235-9E45-095B65DC3B01}"/>
    <cellStyle name="Standard 6 2 5 6 8 2 3" xfId="17877" xr:uid="{467625D1-8362-4BB4-9CC5-01D945BB617C}"/>
    <cellStyle name="Standard 6 2 5 6 8 3" xfId="5918" xr:uid="{00000000-0005-0000-0000-000025170000}"/>
    <cellStyle name="Standard 6 2 5 6 8 3 2" xfId="17879" xr:uid="{37D39DF8-AE60-4BCA-AF41-E0AA8A477997}"/>
    <cellStyle name="Standard 6 2 5 6 8 4" xfId="17876" xr:uid="{B63876E0-EC58-404F-A4C8-EA7D48DF662F}"/>
    <cellStyle name="Standard 6 2 5 6 9" xfId="5919" xr:uid="{00000000-0005-0000-0000-000026170000}"/>
    <cellStyle name="Standard 6 2 5 6 9 2" xfId="5920" xr:uid="{00000000-0005-0000-0000-000027170000}"/>
    <cellStyle name="Standard 6 2 5 6 9 2 2" xfId="17881" xr:uid="{1916569A-F8B9-49AF-A91D-DD7F0C6D0867}"/>
    <cellStyle name="Standard 6 2 5 6 9 3" xfId="17880" xr:uid="{D1005303-E16D-4B4E-A38B-3912F4B48FD6}"/>
    <cellStyle name="Standard 6 2 5 7" xfId="5921" xr:uid="{00000000-0005-0000-0000-000028170000}"/>
    <cellStyle name="Standard 6 2 5 7 10" xfId="5922" xr:uid="{00000000-0005-0000-0000-000029170000}"/>
    <cellStyle name="Standard 6 2 5 7 10 2" xfId="17883" xr:uid="{55708CCF-47F0-4FBE-B152-AE00FA4138BA}"/>
    <cellStyle name="Standard 6 2 5 7 11" xfId="17882" xr:uid="{4B5A84FA-B596-41C4-9269-A80882789AB7}"/>
    <cellStyle name="Standard 6 2 5 7 2" xfId="5923" xr:uid="{00000000-0005-0000-0000-00002A170000}"/>
    <cellStyle name="Standard 6 2 5 7 2 10" xfId="17884" xr:uid="{F4BAB2B9-B8B3-4277-A53E-A883329C88D3}"/>
    <cellStyle name="Standard 6 2 5 7 2 2" xfId="5924" xr:uid="{00000000-0005-0000-0000-00002B170000}"/>
    <cellStyle name="Standard 6 2 5 7 2 2 2" xfId="5925" xr:uid="{00000000-0005-0000-0000-00002C170000}"/>
    <cellStyle name="Standard 6 2 5 7 2 2 2 2" xfId="5926" xr:uid="{00000000-0005-0000-0000-00002D170000}"/>
    <cellStyle name="Standard 6 2 5 7 2 2 2 2 2" xfId="17887" xr:uid="{08450AA8-2800-4AC3-95A5-E334E77B57C2}"/>
    <cellStyle name="Standard 6 2 5 7 2 2 2 3" xfId="17886" xr:uid="{CCD1CD80-C81A-463C-855B-6B4530A1DD3E}"/>
    <cellStyle name="Standard 6 2 5 7 2 2 3" xfId="5927" xr:uid="{00000000-0005-0000-0000-00002E170000}"/>
    <cellStyle name="Standard 6 2 5 7 2 2 3 2" xfId="17888" xr:uid="{1C94BA38-0BE9-45E4-A277-A39E0ADFE509}"/>
    <cellStyle name="Standard 6 2 5 7 2 2 4" xfId="17885" xr:uid="{EA699C10-65AD-4CA6-9AAC-AFCE7FA086DD}"/>
    <cellStyle name="Standard 6 2 5 7 2 3" xfId="5928" xr:uid="{00000000-0005-0000-0000-00002F170000}"/>
    <cellStyle name="Standard 6 2 5 7 2 3 2" xfId="5929" xr:uid="{00000000-0005-0000-0000-000030170000}"/>
    <cellStyle name="Standard 6 2 5 7 2 3 2 2" xfId="5930" xr:uid="{00000000-0005-0000-0000-000031170000}"/>
    <cellStyle name="Standard 6 2 5 7 2 3 2 2 2" xfId="17891" xr:uid="{BA144910-6F9C-4BBE-A5F7-E0FD8C4A9603}"/>
    <cellStyle name="Standard 6 2 5 7 2 3 2 3" xfId="17890" xr:uid="{B1B00E77-BC77-4823-86C4-A68B71C7042A}"/>
    <cellStyle name="Standard 6 2 5 7 2 3 3" xfId="5931" xr:uid="{00000000-0005-0000-0000-000032170000}"/>
    <cellStyle name="Standard 6 2 5 7 2 3 3 2" xfId="17892" xr:uid="{CBD3D78E-3367-4BBE-8CD0-1E98057B6E98}"/>
    <cellStyle name="Standard 6 2 5 7 2 3 4" xfId="17889" xr:uid="{6D0C7DE3-D655-47C0-BB22-FEEF6FDBEEE5}"/>
    <cellStyle name="Standard 6 2 5 7 2 4" xfId="5932" xr:uid="{00000000-0005-0000-0000-000033170000}"/>
    <cellStyle name="Standard 6 2 5 7 2 4 2" xfId="5933" xr:uid="{00000000-0005-0000-0000-000034170000}"/>
    <cellStyle name="Standard 6 2 5 7 2 4 2 2" xfId="5934" xr:uid="{00000000-0005-0000-0000-000035170000}"/>
    <cellStyle name="Standard 6 2 5 7 2 4 2 2 2" xfId="17895" xr:uid="{08A62BBA-A3C1-4FFD-B5CD-A3A7FD9291FD}"/>
    <cellStyle name="Standard 6 2 5 7 2 4 2 3" xfId="17894" xr:uid="{B91C6828-42FF-42C7-9929-02EBCDDB2DCA}"/>
    <cellStyle name="Standard 6 2 5 7 2 4 3" xfId="5935" xr:uid="{00000000-0005-0000-0000-000036170000}"/>
    <cellStyle name="Standard 6 2 5 7 2 4 3 2" xfId="17896" xr:uid="{775367A4-4DC8-47FE-B76B-414EA2E5F7C0}"/>
    <cellStyle name="Standard 6 2 5 7 2 4 4" xfId="17893" xr:uid="{7B2BD895-351E-4EE9-B791-D1ED671FDFA3}"/>
    <cellStyle name="Standard 6 2 5 7 2 5" xfId="5936" xr:uid="{00000000-0005-0000-0000-000037170000}"/>
    <cellStyle name="Standard 6 2 5 7 2 5 2" xfId="5937" xr:uid="{00000000-0005-0000-0000-000038170000}"/>
    <cellStyle name="Standard 6 2 5 7 2 5 2 2" xfId="5938" xr:uid="{00000000-0005-0000-0000-000039170000}"/>
    <cellStyle name="Standard 6 2 5 7 2 5 2 2 2" xfId="17899" xr:uid="{3034DEB0-E5B9-4266-AADB-7767EE826996}"/>
    <cellStyle name="Standard 6 2 5 7 2 5 2 3" xfId="17898" xr:uid="{87ADD6B3-67D2-4A8C-B1E4-9EB69007D8E4}"/>
    <cellStyle name="Standard 6 2 5 7 2 5 3" xfId="5939" xr:uid="{00000000-0005-0000-0000-00003A170000}"/>
    <cellStyle name="Standard 6 2 5 7 2 5 3 2" xfId="17900" xr:uid="{E6BBB50D-229C-4A70-AB73-44A20DE4C6DD}"/>
    <cellStyle name="Standard 6 2 5 7 2 5 4" xfId="17897" xr:uid="{6AB87B63-D97C-4FE1-940F-D2260CCFD63D}"/>
    <cellStyle name="Standard 6 2 5 7 2 6" xfId="5940" xr:uid="{00000000-0005-0000-0000-00003B170000}"/>
    <cellStyle name="Standard 6 2 5 7 2 6 2" xfId="5941" xr:uid="{00000000-0005-0000-0000-00003C170000}"/>
    <cellStyle name="Standard 6 2 5 7 2 6 2 2" xfId="5942" xr:uid="{00000000-0005-0000-0000-00003D170000}"/>
    <cellStyle name="Standard 6 2 5 7 2 6 2 2 2" xfId="17903" xr:uid="{7142F831-B21B-48C9-A90D-A2CFE50E3B6A}"/>
    <cellStyle name="Standard 6 2 5 7 2 6 2 3" xfId="17902" xr:uid="{660E5B19-4B43-49C9-B82A-17B002A94227}"/>
    <cellStyle name="Standard 6 2 5 7 2 6 3" xfId="5943" xr:uid="{00000000-0005-0000-0000-00003E170000}"/>
    <cellStyle name="Standard 6 2 5 7 2 6 3 2" xfId="17904" xr:uid="{7E65CE57-3736-4D0E-923A-8C54279CFCB0}"/>
    <cellStyle name="Standard 6 2 5 7 2 6 4" xfId="17901" xr:uid="{86E56DDC-EEF2-41BD-84D9-5F9F1E58B0ED}"/>
    <cellStyle name="Standard 6 2 5 7 2 7" xfId="5944" xr:uid="{00000000-0005-0000-0000-00003F170000}"/>
    <cellStyle name="Standard 6 2 5 7 2 7 2" xfId="5945" xr:uid="{00000000-0005-0000-0000-000040170000}"/>
    <cellStyle name="Standard 6 2 5 7 2 7 2 2" xfId="5946" xr:uid="{00000000-0005-0000-0000-000041170000}"/>
    <cellStyle name="Standard 6 2 5 7 2 7 2 2 2" xfId="17907" xr:uid="{82CD5D6E-A1F3-44E7-997D-6B4474630A06}"/>
    <cellStyle name="Standard 6 2 5 7 2 7 2 3" xfId="17906" xr:uid="{88E91E0D-42A9-4CD7-B1F9-DC8529542BE5}"/>
    <cellStyle name="Standard 6 2 5 7 2 7 3" xfId="5947" xr:uid="{00000000-0005-0000-0000-000042170000}"/>
    <cellStyle name="Standard 6 2 5 7 2 7 3 2" xfId="17908" xr:uid="{4E254507-4E60-4E2A-B2AA-5B4EC3FCD98E}"/>
    <cellStyle name="Standard 6 2 5 7 2 7 4" xfId="17905" xr:uid="{31B2D496-A8C5-4236-BC5C-ACA74DFB87AF}"/>
    <cellStyle name="Standard 6 2 5 7 2 8" xfId="5948" xr:uid="{00000000-0005-0000-0000-000043170000}"/>
    <cellStyle name="Standard 6 2 5 7 2 8 2" xfId="5949" xr:uid="{00000000-0005-0000-0000-000044170000}"/>
    <cellStyle name="Standard 6 2 5 7 2 8 2 2" xfId="17910" xr:uid="{B8F773B6-8CC8-4F75-A9ED-E4281423C4AA}"/>
    <cellStyle name="Standard 6 2 5 7 2 8 3" xfId="17909" xr:uid="{2D314A3E-0196-4F8D-A55E-618E2C162BFE}"/>
    <cellStyle name="Standard 6 2 5 7 2 9" xfId="5950" xr:uid="{00000000-0005-0000-0000-000045170000}"/>
    <cellStyle name="Standard 6 2 5 7 2 9 2" xfId="17911" xr:uid="{A3130E22-7DF0-4DC5-945D-456B9647FA0B}"/>
    <cellStyle name="Standard 6 2 5 7 3" xfId="5951" xr:uid="{00000000-0005-0000-0000-000046170000}"/>
    <cellStyle name="Standard 6 2 5 7 3 2" xfId="5952" xr:uid="{00000000-0005-0000-0000-000047170000}"/>
    <cellStyle name="Standard 6 2 5 7 3 2 2" xfId="5953" xr:uid="{00000000-0005-0000-0000-000048170000}"/>
    <cellStyle name="Standard 6 2 5 7 3 2 2 2" xfId="17914" xr:uid="{3479D6DF-DBD5-493D-BFC9-18A31E62CBDB}"/>
    <cellStyle name="Standard 6 2 5 7 3 2 3" xfId="17913" xr:uid="{BCC200DF-8D18-4CB9-A094-501942D60206}"/>
    <cellStyle name="Standard 6 2 5 7 3 3" xfId="5954" xr:uid="{00000000-0005-0000-0000-000049170000}"/>
    <cellStyle name="Standard 6 2 5 7 3 3 2" xfId="17915" xr:uid="{F3D7F2E2-EDD6-4061-9D80-C5038AC361EA}"/>
    <cellStyle name="Standard 6 2 5 7 3 4" xfId="17912" xr:uid="{9EDCEF5B-DA31-4152-8BA4-0A2A3EE62AC1}"/>
    <cellStyle name="Standard 6 2 5 7 4" xfId="5955" xr:uid="{00000000-0005-0000-0000-00004A170000}"/>
    <cellStyle name="Standard 6 2 5 7 4 2" xfId="5956" xr:uid="{00000000-0005-0000-0000-00004B170000}"/>
    <cellStyle name="Standard 6 2 5 7 4 2 2" xfId="5957" xr:uid="{00000000-0005-0000-0000-00004C170000}"/>
    <cellStyle name="Standard 6 2 5 7 4 2 2 2" xfId="17918" xr:uid="{77CB92A5-F507-4F56-A3A4-542DC681A582}"/>
    <cellStyle name="Standard 6 2 5 7 4 2 3" xfId="17917" xr:uid="{CC1E59E9-EDDC-404A-B404-3DAFF0007154}"/>
    <cellStyle name="Standard 6 2 5 7 4 3" xfId="5958" xr:uid="{00000000-0005-0000-0000-00004D170000}"/>
    <cellStyle name="Standard 6 2 5 7 4 3 2" xfId="17919" xr:uid="{A69871EB-1F2F-4BF0-8812-6B504A35D82C}"/>
    <cellStyle name="Standard 6 2 5 7 4 4" xfId="17916" xr:uid="{081D9387-1B88-4ACB-8DB7-D4E97AF16129}"/>
    <cellStyle name="Standard 6 2 5 7 5" xfId="5959" xr:uid="{00000000-0005-0000-0000-00004E170000}"/>
    <cellStyle name="Standard 6 2 5 7 5 2" xfId="5960" xr:uid="{00000000-0005-0000-0000-00004F170000}"/>
    <cellStyle name="Standard 6 2 5 7 5 2 2" xfId="5961" xr:uid="{00000000-0005-0000-0000-000050170000}"/>
    <cellStyle name="Standard 6 2 5 7 5 2 2 2" xfId="17922" xr:uid="{3BEA34AD-61A2-4E45-AF60-6619EA56443B}"/>
    <cellStyle name="Standard 6 2 5 7 5 2 3" xfId="17921" xr:uid="{B8A3A738-E3E9-4CDD-B14B-434CA26D2F61}"/>
    <cellStyle name="Standard 6 2 5 7 5 3" xfId="5962" xr:uid="{00000000-0005-0000-0000-000051170000}"/>
    <cellStyle name="Standard 6 2 5 7 5 3 2" xfId="17923" xr:uid="{E0DEC5AD-0BFF-426E-9661-C35A68F62EE1}"/>
    <cellStyle name="Standard 6 2 5 7 5 4" xfId="17920" xr:uid="{CED3045B-0FC7-4D82-B7C0-6B03758B073E}"/>
    <cellStyle name="Standard 6 2 5 7 6" xfId="5963" xr:uid="{00000000-0005-0000-0000-000052170000}"/>
    <cellStyle name="Standard 6 2 5 7 6 2" xfId="5964" xr:uid="{00000000-0005-0000-0000-000053170000}"/>
    <cellStyle name="Standard 6 2 5 7 6 2 2" xfId="5965" xr:uid="{00000000-0005-0000-0000-000054170000}"/>
    <cellStyle name="Standard 6 2 5 7 6 2 2 2" xfId="17926" xr:uid="{DD3AA8AC-85CF-40BD-8EAD-B0C5B038E77D}"/>
    <cellStyle name="Standard 6 2 5 7 6 2 3" xfId="17925" xr:uid="{6071B3E2-13DC-4B5D-A45C-550A6E9856ED}"/>
    <cellStyle name="Standard 6 2 5 7 6 3" xfId="5966" xr:uid="{00000000-0005-0000-0000-000055170000}"/>
    <cellStyle name="Standard 6 2 5 7 6 3 2" xfId="17927" xr:uid="{EC8609EE-6CA5-4DD6-A8AA-EF076071A3C1}"/>
    <cellStyle name="Standard 6 2 5 7 6 4" xfId="17924" xr:uid="{0C5269DC-5BD5-450C-9C53-EA4C5E1FB6F2}"/>
    <cellStyle name="Standard 6 2 5 7 7" xfId="5967" xr:uid="{00000000-0005-0000-0000-000056170000}"/>
    <cellStyle name="Standard 6 2 5 7 7 2" xfId="5968" xr:uid="{00000000-0005-0000-0000-000057170000}"/>
    <cellStyle name="Standard 6 2 5 7 7 2 2" xfId="5969" xr:uid="{00000000-0005-0000-0000-000058170000}"/>
    <cellStyle name="Standard 6 2 5 7 7 2 2 2" xfId="17930" xr:uid="{384F5A9D-98B9-405E-BA1E-824C5B6DC015}"/>
    <cellStyle name="Standard 6 2 5 7 7 2 3" xfId="17929" xr:uid="{6B8E7E47-FAA8-4AAC-923B-21F9D29639AB}"/>
    <cellStyle name="Standard 6 2 5 7 7 3" xfId="5970" xr:uid="{00000000-0005-0000-0000-000059170000}"/>
    <cellStyle name="Standard 6 2 5 7 7 3 2" xfId="17931" xr:uid="{8DF1587A-3B40-4EB4-A172-D8122C4A18E1}"/>
    <cellStyle name="Standard 6 2 5 7 7 4" xfId="17928" xr:uid="{B4A5011B-8F5E-4B29-BB44-17F92722FA48}"/>
    <cellStyle name="Standard 6 2 5 7 8" xfId="5971" xr:uid="{00000000-0005-0000-0000-00005A170000}"/>
    <cellStyle name="Standard 6 2 5 7 8 2" xfId="5972" xr:uid="{00000000-0005-0000-0000-00005B170000}"/>
    <cellStyle name="Standard 6 2 5 7 8 2 2" xfId="5973" xr:uid="{00000000-0005-0000-0000-00005C170000}"/>
    <cellStyle name="Standard 6 2 5 7 8 2 2 2" xfId="17934" xr:uid="{D3E7EB81-BE81-43E9-81E5-6344569FA001}"/>
    <cellStyle name="Standard 6 2 5 7 8 2 3" xfId="17933" xr:uid="{416B804F-282E-4EC7-BBED-91A93D7727B2}"/>
    <cellStyle name="Standard 6 2 5 7 8 3" xfId="5974" xr:uid="{00000000-0005-0000-0000-00005D170000}"/>
    <cellStyle name="Standard 6 2 5 7 8 3 2" xfId="17935" xr:uid="{1C31BD2E-504D-4B33-8495-5A441BF05B1A}"/>
    <cellStyle name="Standard 6 2 5 7 8 4" xfId="17932" xr:uid="{BC4C928D-1169-4555-B9CC-4877F422D457}"/>
    <cellStyle name="Standard 6 2 5 7 9" xfId="5975" xr:uid="{00000000-0005-0000-0000-00005E170000}"/>
    <cellStyle name="Standard 6 2 5 7 9 2" xfId="5976" xr:uid="{00000000-0005-0000-0000-00005F170000}"/>
    <cellStyle name="Standard 6 2 5 7 9 2 2" xfId="17937" xr:uid="{DF2D3981-4362-4022-BB71-B9A62A98F945}"/>
    <cellStyle name="Standard 6 2 5 7 9 3" xfId="17936" xr:uid="{D2C86BB6-7087-451F-BFBB-F28BB5E36F4F}"/>
    <cellStyle name="Standard 6 2 5 8" xfId="5977" xr:uid="{00000000-0005-0000-0000-000060170000}"/>
    <cellStyle name="Standard 6 2 5 8 10" xfId="17938" xr:uid="{7A4A4934-DDDC-4FE4-A59B-FA78546C4379}"/>
    <cellStyle name="Standard 6 2 5 8 2" xfId="5978" xr:uid="{00000000-0005-0000-0000-000061170000}"/>
    <cellStyle name="Standard 6 2 5 8 2 2" xfId="5979" xr:uid="{00000000-0005-0000-0000-000062170000}"/>
    <cellStyle name="Standard 6 2 5 8 2 2 2" xfId="5980" xr:uid="{00000000-0005-0000-0000-000063170000}"/>
    <cellStyle name="Standard 6 2 5 8 2 2 2 2" xfId="17941" xr:uid="{18232C82-A53C-480A-9F14-564113AC6408}"/>
    <cellStyle name="Standard 6 2 5 8 2 2 3" xfId="17940" xr:uid="{8B656B46-5EFD-4315-8B1C-084A55750C90}"/>
    <cellStyle name="Standard 6 2 5 8 2 3" xfId="5981" xr:uid="{00000000-0005-0000-0000-000064170000}"/>
    <cellStyle name="Standard 6 2 5 8 2 3 2" xfId="17942" xr:uid="{119303E4-F1A7-460F-9AE2-B3D6E3E87F0B}"/>
    <cellStyle name="Standard 6 2 5 8 2 4" xfId="17939" xr:uid="{6F09B781-BEB5-402B-B43B-58B4A3A06CDE}"/>
    <cellStyle name="Standard 6 2 5 8 3" xfId="5982" xr:uid="{00000000-0005-0000-0000-000065170000}"/>
    <cellStyle name="Standard 6 2 5 8 3 2" xfId="5983" xr:uid="{00000000-0005-0000-0000-000066170000}"/>
    <cellStyle name="Standard 6 2 5 8 3 2 2" xfId="5984" xr:uid="{00000000-0005-0000-0000-000067170000}"/>
    <cellStyle name="Standard 6 2 5 8 3 2 2 2" xfId="17945" xr:uid="{17A0183A-DAF3-4CB3-8B40-9915712A07EF}"/>
    <cellStyle name="Standard 6 2 5 8 3 2 3" xfId="17944" xr:uid="{F17271A9-5642-4F38-A136-D1637D245299}"/>
    <cellStyle name="Standard 6 2 5 8 3 3" xfId="5985" xr:uid="{00000000-0005-0000-0000-000068170000}"/>
    <cellStyle name="Standard 6 2 5 8 3 3 2" xfId="17946" xr:uid="{B78A8914-8A07-4DFC-A58A-92D01807B312}"/>
    <cellStyle name="Standard 6 2 5 8 3 4" xfId="17943" xr:uid="{12E9C937-B787-482E-984F-1B5CC629E2A4}"/>
    <cellStyle name="Standard 6 2 5 8 4" xfId="5986" xr:uid="{00000000-0005-0000-0000-000069170000}"/>
    <cellStyle name="Standard 6 2 5 8 4 2" xfId="5987" xr:uid="{00000000-0005-0000-0000-00006A170000}"/>
    <cellStyle name="Standard 6 2 5 8 4 2 2" xfId="5988" xr:uid="{00000000-0005-0000-0000-00006B170000}"/>
    <cellStyle name="Standard 6 2 5 8 4 2 2 2" xfId="17949" xr:uid="{F9D4C6A9-3A6C-4462-A03E-DA87D049E376}"/>
    <cellStyle name="Standard 6 2 5 8 4 2 3" xfId="17948" xr:uid="{238963D0-D643-4864-913E-A619B34174B7}"/>
    <cellStyle name="Standard 6 2 5 8 4 3" xfId="5989" xr:uid="{00000000-0005-0000-0000-00006C170000}"/>
    <cellStyle name="Standard 6 2 5 8 4 3 2" xfId="17950" xr:uid="{AFEB96AB-E276-4970-8CF9-044CBEA91563}"/>
    <cellStyle name="Standard 6 2 5 8 4 4" xfId="17947" xr:uid="{6F0144C6-8895-47A0-BAA6-8D6491B5F15A}"/>
    <cellStyle name="Standard 6 2 5 8 5" xfId="5990" xr:uid="{00000000-0005-0000-0000-00006D170000}"/>
    <cellStyle name="Standard 6 2 5 8 5 2" xfId="5991" xr:uid="{00000000-0005-0000-0000-00006E170000}"/>
    <cellStyle name="Standard 6 2 5 8 5 2 2" xfId="5992" xr:uid="{00000000-0005-0000-0000-00006F170000}"/>
    <cellStyle name="Standard 6 2 5 8 5 2 2 2" xfId="17953" xr:uid="{E79691F9-3D56-4129-8A5A-618EFB497D31}"/>
    <cellStyle name="Standard 6 2 5 8 5 2 3" xfId="17952" xr:uid="{413F2004-DC5B-451B-9968-53349E15C1FB}"/>
    <cellStyle name="Standard 6 2 5 8 5 3" xfId="5993" xr:uid="{00000000-0005-0000-0000-000070170000}"/>
    <cellStyle name="Standard 6 2 5 8 5 3 2" xfId="17954" xr:uid="{C94C3D87-36D5-4364-AD26-4E95C7037D97}"/>
    <cellStyle name="Standard 6 2 5 8 5 4" xfId="17951" xr:uid="{5BD4C20F-00F9-4965-8FDD-696B7B564DBD}"/>
    <cellStyle name="Standard 6 2 5 8 6" xfId="5994" xr:uid="{00000000-0005-0000-0000-000071170000}"/>
    <cellStyle name="Standard 6 2 5 8 6 2" xfId="5995" xr:uid="{00000000-0005-0000-0000-000072170000}"/>
    <cellStyle name="Standard 6 2 5 8 6 2 2" xfId="5996" xr:uid="{00000000-0005-0000-0000-000073170000}"/>
    <cellStyle name="Standard 6 2 5 8 6 2 2 2" xfId="17957" xr:uid="{EABC7DBD-1C8B-45C5-A77B-59F518709F16}"/>
    <cellStyle name="Standard 6 2 5 8 6 2 3" xfId="17956" xr:uid="{0C4433D2-29FA-4602-A4A2-99D93794C309}"/>
    <cellStyle name="Standard 6 2 5 8 6 3" xfId="5997" xr:uid="{00000000-0005-0000-0000-000074170000}"/>
    <cellStyle name="Standard 6 2 5 8 6 3 2" xfId="17958" xr:uid="{056E9C6B-8688-41FD-8462-DA774A9C220E}"/>
    <cellStyle name="Standard 6 2 5 8 6 4" xfId="17955" xr:uid="{AB8FCFF7-021F-4893-91A8-77418F491B9D}"/>
    <cellStyle name="Standard 6 2 5 8 7" xfId="5998" xr:uid="{00000000-0005-0000-0000-000075170000}"/>
    <cellStyle name="Standard 6 2 5 8 7 2" xfId="5999" xr:uid="{00000000-0005-0000-0000-000076170000}"/>
    <cellStyle name="Standard 6 2 5 8 7 2 2" xfId="6000" xr:uid="{00000000-0005-0000-0000-000077170000}"/>
    <cellStyle name="Standard 6 2 5 8 7 2 2 2" xfId="17961" xr:uid="{D35047D6-3F0C-4550-AC08-0C59316D9A3E}"/>
    <cellStyle name="Standard 6 2 5 8 7 2 3" xfId="17960" xr:uid="{D4847267-1ACD-4C6C-96BA-9CB25422086A}"/>
    <cellStyle name="Standard 6 2 5 8 7 3" xfId="6001" xr:uid="{00000000-0005-0000-0000-000078170000}"/>
    <cellStyle name="Standard 6 2 5 8 7 3 2" xfId="17962" xr:uid="{ECEBA869-2F78-4386-8049-B0405F765915}"/>
    <cellStyle name="Standard 6 2 5 8 7 4" xfId="17959" xr:uid="{00ED92F1-BC3D-48B0-A557-F44BC46DC389}"/>
    <cellStyle name="Standard 6 2 5 8 8" xfId="6002" xr:uid="{00000000-0005-0000-0000-000079170000}"/>
    <cellStyle name="Standard 6 2 5 8 8 2" xfId="6003" xr:uid="{00000000-0005-0000-0000-00007A170000}"/>
    <cellStyle name="Standard 6 2 5 8 8 2 2" xfId="17964" xr:uid="{1C3C1ACE-06A2-4EED-83C8-1B8A73877621}"/>
    <cellStyle name="Standard 6 2 5 8 8 3" xfId="17963" xr:uid="{A5D316DF-198B-4C95-955E-7F0761EE79C1}"/>
    <cellStyle name="Standard 6 2 5 8 9" xfId="6004" xr:uid="{00000000-0005-0000-0000-00007B170000}"/>
    <cellStyle name="Standard 6 2 5 8 9 2" xfId="17965" xr:uid="{BEC00AA5-AA2A-4F70-BEEC-EED8BBB570D2}"/>
    <cellStyle name="Standard 6 2 5 9" xfId="6005" xr:uid="{00000000-0005-0000-0000-00007C170000}"/>
    <cellStyle name="Standard 6 2 5 9 2" xfId="6006" xr:uid="{00000000-0005-0000-0000-00007D170000}"/>
    <cellStyle name="Standard 6 2 5 9 2 2" xfId="6007" xr:uid="{00000000-0005-0000-0000-00007E170000}"/>
    <cellStyle name="Standard 6 2 5 9 2 2 2" xfId="6008" xr:uid="{00000000-0005-0000-0000-00007F170000}"/>
    <cellStyle name="Standard 6 2 5 9 2 2 2 2" xfId="17969" xr:uid="{2082545D-2286-42AA-AC94-E72931AE8C2D}"/>
    <cellStyle name="Standard 6 2 5 9 2 2 3" xfId="17968" xr:uid="{4AFE1B57-6F5C-430E-B53D-378062F4B2AE}"/>
    <cellStyle name="Standard 6 2 5 9 2 3" xfId="6009" xr:uid="{00000000-0005-0000-0000-000080170000}"/>
    <cellStyle name="Standard 6 2 5 9 2 3 2" xfId="17970" xr:uid="{94CFB362-5806-4DB9-9924-3510DD6064E4}"/>
    <cellStyle name="Standard 6 2 5 9 2 4" xfId="17967" xr:uid="{668EA3DF-990C-40EB-AB4A-391A2C8130B6}"/>
    <cellStyle name="Standard 6 2 5 9 3" xfId="6010" xr:uid="{00000000-0005-0000-0000-000081170000}"/>
    <cellStyle name="Standard 6 2 5 9 3 2" xfId="6011" xr:uid="{00000000-0005-0000-0000-000082170000}"/>
    <cellStyle name="Standard 6 2 5 9 3 2 2" xfId="6012" xr:uid="{00000000-0005-0000-0000-000083170000}"/>
    <cellStyle name="Standard 6 2 5 9 3 2 2 2" xfId="17973" xr:uid="{85A8F7A0-CF35-49B7-8FB7-5BC98641C3F8}"/>
    <cellStyle name="Standard 6 2 5 9 3 2 3" xfId="17972" xr:uid="{F0007D47-3532-4823-811A-81E07DF973C1}"/>
    <cellStyle name="Standard 6 2 5 9 3 3" xfId="6013" xr:uid="{00000000-0005-0000-0000-000084170000}"/>
    <cellStyle name="Standard 6 2 5 9 3 3 2" xfId="17974" xr:uid="{E7943956-1182-4681-AC14-23B35096B075}"/>
    <cellStyle name="Standard 6 2 5 9 3 4" xfId="17971" xr:uid="{D663C4BF-145E-400C-8BA8-8E388FCC1F77}"/>
    <cellStyle name="Standard 6 2 5 9 4" xfId="6014" xr:uid="{00000000-0005-0000-0000-000085170000}"/>
    <cellStyle name="Standard 6 2 5 9 4 2" xfId="6015" xr:uid="{00000000-0005-0000-0000-000086170000}"/>
    <cellStyle name="Standard 6 2 5 9 4 2 2" xfId="6016" xr:uid="{00000000-0005-0000-0000-000087170000}"/>
    <cellStyle name="Standard 6 2 5 9 4 2 2 2" xfId="17977" xr:uid="{238DA99A-2CBD-451E-A38A-6E843543A93A}"/>
    <cellStyle name="Standard 6 2 5 9 4 2 3" xfId="17976" xr:uid="{FE2D8876-B2DE-4EBD-BB8F-F655D5E75B3F}"/>
    <cellStyle name="Standard 6 2 5 9 4 3" xfId="6017" xr:uid="{00000000-0005-0000-0000-000088170000}"/>
    <cellStyle name="Standard 6 2 5 9 4 3 2" xfId="17978" xr:uid="{A9F1182D-0C01-4968-869E-197E23F13461}"/>
    <cellStyle name="Standard 6 2 5 9 4 4" xfId="17975" xr:uid="{E50D3160-F042-4A00-9B7E-111F8E525AE7}"/>
    <cellStyle name="Standard 6 2 5 9 5" xfId="6018" xr:uid="{00000000-0005-0000-0000-000089170000}"/>
    <cellStyle name="Standard 6 2 5 9 5 2" xfId="6019" xr:uid="{00000000-0005-0000-0000-00008A170000}"/>
    <cellStyle name="Standard 6 2 5 9 5 2 2" xfId="6020" xr:uid="{00000000-0005-0000-0000-00008B170000}"/>
    <cellStyle name="Standard 6 2 5 9 5 2 2 2" xfId="17981" xr:uid="{6A0B7E95-1752-473E-A398-474D37FA8399}"/>
    <cellStyle name="Standard 6 2 5 9 5 2 3" xfId="17980" xr:uid="{1385FC5A-2FD7-46B4-8EFB-3486C9CE9D25}"/>
    <cellStyle name="Standard 6 2 5 9 5 3" xfId="6021" xr:uid="{00000000-0005-0000-0000-00008C170000}"/>
    <cellStyle name="Standard 6 2 5 9 5 3 2" xfId="17982" xr:uid="{2C94A112-E675-46B7-B5E5-FECA11C8983D}"/>
    <cellStyle name="Standard 6 2 5 9 5 4" xfId="17979" xr:uid="{89B1D963-D261-4D4D-9299-E01D12F8AE14}"/>
    <cellStyle name="Standard 6 2 5 9 6" xfId="6022" xr:uid="{00000000-0005-0000-0000-00008D170000}"/>
    <cellStyle name="Standard 6 2 5 9 6 2" xfId="6023" xr:uid="{00000000-0005-0000-0000-00008E170000}"/>
    <cellStyle name="Standard 6 2 5 9 6 2 2" xfId="6024" xr:uid="{00000000-0005-0000-0000-00008F170000}"/>
    <cellStyle name="Standard 6 2 5 9 6 2 2 2" xfId="17985" xr:uid="{818980DD-5925-458F-B5DF-D60F1BE6D452}"/>
    <cellStyle name="Standard 6 2 5 9 6 2 3" xfId="17984" xr:uid="{9D097B74-602F-4A16-A1FB-469E8D2B6F54}"/>
    <cellStyle name="Standard 6 2 5 9 6 3" xfId="6025" xr:uid="{00000000-0005-0000-0000-000090170000}"/>
    <cellStyle name="Standard 6 2 5 9 6 3 2" xfId="17986" xr:uid="{FA4FFDD3-675D-4C85-A4A9-1D3178DAA36D}"/>
    <cellStyle name="Standard 6 2 5 9 6 4" xfId="17983" xr:uid="{4A8D1775-F0C1-4F3C-9816-D9F524298683}"/>
    <cellStyle name="Standard 6 2 5 9 7" xfId="6026" xr:uid="{00000000-0005-0000-0000-000091170000}"/>
    <cellStyle name="Standard 6 2 5 9 7 2" xfId="6027" xr:uid="{00000000-0005-0000-0000-000092170000}"/>
    <cellStyle name="Standard 6 2 5 9 7 2 2" xfId="17988" xr:uid="{6D916E6B-0E83-4C38-A142-12E5EE7B8B03}"/>
    <cellStyle name="Standard 6 2 5 9 7 3" xfId="17987" xr:uid="{35BB9AF3-2790-40E4-9293-C39EBD6DD6AA}"/>
    <cellStyle name="Standard 6 2 5 9 8" xfId="6028" xr:uid="{00000000-0005-0000-0000-000093170000}"/>
    <cellStyle name="Standard 6 2 5 9 8 2" xfId="17989" xr:uid="{132F1A5C-B219-4E3D-82C5-7600C8FB5809}"/>
    <cellStyle name="Standard 6 2 5 9 9" xfId="17966" xr:uid="{46BCCE67-4EC7-4003-9F16-29E8280C0742}"/>
    <cellStyle name="Standard 6 2 6" xfId="6029" xr:uid="{00000000-0005-0000-0000-000094170000}"/>
    <cellStyle name="Standard 6 2 6 10" xfId="6030" xr:uid="{00000000-0005-0000-0000-000095170000}"/>
    <cellStyle name="Standard 6 2 6 10 2" xfId="6031" xr:uid="{00000000-0005-0000-0000-000096170000}"/>
    <cellStyle name="Standard 6 2 6 10 2 2" xfId="17992" xr:uid="{7F171652-4D18-424F-B25A-2132608C6B58}"/>
    <cellStyle name="Standard 6 2 6 10 3" xfId="17991" xr:uid="{D86BC636-15E0-48FB-B61B-4884B9772B0F}"/>
    <cellStyle name="Standard 6 2 6 11" xfId="6032" xr:uid="{00000000-0005-0000-0000-000097170000}"/>
    <cellStyle name="Standard 6 2 6 11 2" xfId="17993" xr:uid="{C227F53A-3CE2-44DA-97CD-B8F7BED62826}"/>
    <cellStyle name="Standard 6 2 6 12" xfId="17990" xr:uid="{AC976C0A-44D1-4B22-B218-B14B9C207408}"/>
    <cellStyle name="Standard 6 2 6 2" xfId="6033" xr:uid="{00000000-0005-0000-0000-000098170000}"/>
    <cellStyle name="Standard 6 2 6 2 10" xfId="6034" xr:uid="{00000000-0005-0000-0000-000099170000}"/>
    <cellStyle name="Standard 6 2 6 2 10 2" xfId="17995" xr:uid="{D8C17DE1-DD61-4251-8117-3215DDF228B3}"/>
    <cellStyle name="Standard 6 2 6 2 11" xfId="17994" xr:uid="{AECEFF8F-12C9-4B8B-91BF-AF4F91AF03B9}"/>
    <cellStyle name="Standard 6 2 6 2 2" xfId="6035" xr:uid="{00000000-0005-0000-0000-00009A170000}"/>
    <cellStyle name="Standard 6 2 6 2 2 10" xfId="17996" xr:uid="{75C5157C-0F14-411B-B57E-76984464B5E7}"/>
    <cellStyle name="Standard 6 2 6 2 2 2" xfId="6036" xr:uid="{00000000-0005-0000-0000-00009B170000}"/>
    <cellStyle name="Standard 6 2 6 2 2 2 2" xfId="6037" xr:uid="{00000000-0005-0000-0000-00009C170000}"/>
    <cellStyle name="Standard 6 2 6 2 2 2 2 2" xfId="6038" xr:uid="{00000000-0005-0000-0000-00009D170000}"/>
    <cellStyle name="Standard 6 2 6 2 2 2 2 2 2" xfId="17999" xr:uid="{76E67753-8AAC-479C-AEDB-70FA85994840}"/>
    <cellStyle name="Standard 6 2 6 2 2 2 2 3" xfId="17998" xr:uid="{2B1F84EB-A571-4182-A07A-B83FD8CB514C}"/>
    <cellStyle name="Standard 6 2 6 2 2 2 3" xfId="6039" xr:uid="{00000000-0005-0000-0000-00009E170000}"/>
    <cellStyle name="Standard 6 2 6 2 2 2 3 2" xfId="18000" xr:uid="{188442A4-488D-4004-A6FA-E096B93D08AD}"/>
    <cellStyle name="Standard 6 2 6 2 2 2 4" xfId="17997" xr:uid="{5C691781-254F-491A-80AA-0F798E7D8F0C}"/>
    <cellStyle name="Standard 6 2 6 2 2 3" xfId="6040" xr:uid="{00000000-0005-0000-0000-00009F170000}"/>
    <cellStyle name="Standard 6 2 6 2 2 3 2" xfId="6041" xr:uid="{00000000-0005-0000-0000-0000A0170000}"/>
    <cellStyle name="Standard 6 2 6 2 2 3 2 2" xfId="6042" xr:uid="{00000000-0005-0000-0000-0000A1170000}"/>
    <cellStyle name="Standard 6 2 6 2 2 3 2 2 2" xfId="18003" xr:uid="{B84838C8-C448-4E34-A59E-C32C6AC55269}"/>
    <cellStyle name="Standard 6 2 6 2 2 3 2 3" xfId="18002" xr:uid="{FE9706A2-9B02-409D-8E18-695CFAAAAEBA}"/>
    <cellStyle name="Standard 6 2 6 2 2 3 3" xfId="6043" xr:uid="{00000000-0005-0000-0000-0000A2170000}"/>
    <cellStyle name="Standard 6 2 6 2 2 3 3 2" xfId="18004" xr:uid="{1F4733B5-9647-4430-966C-67BFB6D2CDFC}"/>
    <cellStyle name="Standard 6 2 6 2 2 3 4" xfId="18001" xr:uid="{6D6F253B-7C2B-456F-822E-B630A4145420}"/>
    <cellStyle name="Standard 6 2 6 2 2 4" xfId="6044" xr:uid="{00000000-0005-0000-0000-0000A3170000}"/>
    <cellStyle name="Standard 6 2 6 2 2 4 2" xfId="6045" xr:uid="{00000000-0005-0000-0000-0000A4170000}"/>
    <cellStyle name="Standard 6 2 6 2 2 4 2 2" xfId="6046" xr:uid="{00000000-0005-0000-0000-0000A5170000}"/>
    <cellStyle name="Standard 6 2 6 2 2 4 2 2 2" xfId="18007" xr:uid="{D5841285-BB93-4D54-AA9B-1F38CAF185EA}"/>
    <cellStyle name="Standard 6 2 6 2 2 4 2 3" xfId="18006" xr:uid="{F7AD3F1A-51CB-4426-8D99-0BD242210A69}"/>
    <cellStyle name="Standard 6 2 6 2 2 4 3" xfId="6047" xr:uid="{00000000-0005-0000-0000-0000A6170000}"/>
    <cellStyle name="Standard 6 2 6 2 2 4 3 2" xfId="18008" xr:uid="{7464FB11-A807-43C0-917F-60B237933A65}"/>
    <cellStyle name="Standard 6 2 6 2 2 4 4" xfId="18005" xr:uid="{F25FA8D7-72BD-4F9C-8CFE-5C08C4DED01E}"/>
    <cellStyle name="Standard 6 2 6 2 2 5" xfId="6048" xr:uid="{00000000-0005-0000-0000-0000A7170000}"/>
    <cellStyle name="Standard 6 2 6 2 2 5 2" xfId="6049" xr:uid="{00000000-0005-0000-0000-0000A8170000}"/>
    <cellStyle name="Standard 6 2 6 2 2 5 2 2" xfId="6050" xr:uid="{00000000-0005-0000-0000-0000A9170000}"/>
    <cellStyle name="Standard 6 2 6 2 2 5 2 2 2" xfId="18011" xr:uid="{4A447B73-FBEF-4E1D-96D1-CE1B0807760E}"/>
    <cellStyle name="Standard 6 2 6 2 2 5 2 3" xfId="18010" xr:uid="{EF7CF6CA-286F-481F-A62E-FC6AED9C455A}"/>
    <cellStyle name="Standard 6 2 6 2 2 5 3" xfId="6051" xr:uid="{00000000-0005-0000-0000-0000AA170000}"/>
    <cellStyle name="Standard 6 2 6 2 2 5 3 2" xfId="18012" xr:uid="{1D91C57F-C32D-4A16-B560-27D28ED965FF}"/>
    <cellStyle name="Standard 6 2 6 2 2 5 4" xfId="18009" xr:uid="{93487937-B039-430C-90A9-0CD7F9E54299}"/>
    <cellStyle name="Standard 6 2 6 2 2 6" xfId="6052" xr:uid="{00000000-0005-0000-0000-0000AB170000}"/>
    <cellStyle name="Standard 6 2 6 2 2 6 2" xfId="6053" xr:uid="{00000000-0005-0000-0000-0000AC170000}"/>
    <cellStyle name="Standard 6 2 6 2 2 6 2 2" xfId="6054" xr:uid="{00000000-0005-0000-0000-0000AD170000}"/>
    <cellStyle name="Standard 6 2 6 2 2 6 2 2 2" xfId="18015" xr:uid="{F5B0DB45-5499-4398-B0BC-C0E77E735011}"/>
    <cellStyle name="Standard 6 2 6 2 2 6 2 3" xfId="18014" xr:uid="{2024D870-94B9-41DA-827B-175A23664981}"/>
    <cellStyle name="Standard 6 2 6 2 2 6 3" xfId="6055" xr:uid="{00000000-0005-0000-0000-0000AE170000}"/>
    <cellStyle name="Standard 6 2 6 2 2 6 3 2" xfId="18016" xr:uid="{3599F62B-456C-4E3E-9680-DBAF301117BC}"/>
    <cellStyle name="Standard 6 2 6 2 2 6 4" xfId="18013" xr:uid="{1167F4EF-BAE7-466D-9910-B1AC8357650E}"/>
    <cellStyle name="Standard 6 2 6 2 2 7" xfId="6056" xr:uid="{00000000-0005-0000-0000-0000AF170000}"/>
    <cellStyle name="Standard 6 2 6 2 2 7 2" xfId="6057" xr:uid="{00000000-0005-0000-0000-0000B0170000}"/>
    <cellStyle name="Standard 6 2 6 2 2 7 2 2" xfId="6058" xr:uid="{00000000-0005-0000-0000-0000B1170000}"/>
    <cellStyle name="Standard 6 2 6 2 2 7 2 2 2" xfId="18019" xr:uid="{9D835A48-1CC4-4271-A868-532B901C7A8B}"/>
    <cellStyle name="Standard 6 2 6 2 2 7 2 3" xfId="18018" xr:uid="{5570CD8B-FB3E-4C56-8051-78F36D7487B1}"/>
    <cellStyle name="Standard 6 2 6 2 2 7 3" xfId="6059" xr:uid="{00000000-0005-0000-0000-0000B2170000}"/>
    <cellStyle name="Standard 6 2 6 2 2 7 3 2" xfId="18020" xr:uid="{D3CF4F5D-043D-4E74-8B5A-50A4AF658FEB}"/>
    <cellStyle name="Standard 6 2 6 2 2 7 4" xfId="18017" xr:uid="{F73CF6BD-F268-4743-B0C7-088D3ED27F2A}"/>
    <cellStyle name="Standard 6 2 6 2 2 8" xfId="6060" xr:uid="{00000000-0005-0000-0000-0000B3170000}"/>
    <cellStyle name="Standard 6 2 6 2 2 8 2" xfId="6061" xr:uid="{00000000-0005-0000-0000-0000B4170000}"/>
    <cellStyle name="Standard 6 2 6 2 2 8 2 2" xfId="18022" xr:uid="{CE2D291C-6A9E-4B67-AE3F-B7B23E2FD553}"/>
    <cellStyle name="Standard 6 2 6 2 2 8 3" xfId="18021" xr:uid="{E4B1C67D-6A23-4D4D-BB95-3219ECC6BF78}"/>
    <cellStyle name="Standard 6 2 6 2 2 9" xfId="6062" xr:uid="{00000000-0005-0000-0000-0000B5170000}"/>
    <cellStyle name="Standard 6 2 6 2 2 9 2" xfId="18023" xr:uid="{C485CBB0-33AA-4868-B25B-CC2ADF349DFC}"/>
    <cellStyle name="Standard 6 2 6 2 3" xfId="6063" xr:uid="{00000000-0005-0000-0000-0000B6170000}"/>
    <cellStyle name="Standard 6 2 6 2 3 2" xfId="6064" xr:uid="{00000000-0005-0000-0000-0000B7170000}"/>
    <cellStyle name="Standard 6 2 6 2 3 2 2" xfId="6065" xr:uid="{00000000-0005-0000-0000-0000B8170000}"/>
    <cellStyle name="Standard 6 2 6 2 3 2 2 2" xfId="18026" xr:uid="{D5134A29-A4C5-4959-8057-92001136E37C}"/>
    <cellStyle name="Standard 6 2 6 2 3 2 3" xfId="18025" xr:uid="{1130C5B3-D5E1-4E76-8ADE-EBDB51804D80}"/>
    <cellStyle name="Standard 6 2 6 2 3 3" xfId="6066" xr:uid="{00000000-0005-0000-0000-0000B9170000}"/>
    <cellStyle name="Standard 6 2 6 2 3 3 2" xfId="18027" xr:uid="{9778AF05-0FBC-4A5D-ABA0-92DC96A32D13}"/>
    <cellStyle name="Standard 6 2 6 2 3 4" xfId="18024" xr:uid="{6C92EAB5-2038-4F08-97C5-909F3CDF8454}"/>
    <cellStyle name="Standard 6 2 6 2 4" xfId="6067" xr:uid="{00000000-0005-0000-0000-0000BA170000}"/>
    <cellStyle name="Standard 6 2 6 2 4 2" xfId="6068" xr:uid="{00000000-0005-0000-0000-0000BB170000}"/>
    <cellStyle name="Standard 6 2 6 2 4 2 2" xfId="6069" xr:uid="{00000000-0005-0000-0000-0000BC170000}"/>
    <cellStyle name="Standard 6 2 6 2 4 2 2 2" xfId="18030" xr:uid="{B064CBD1-5C05-4F72-A679-54E4D012BBA5}"/>
    <cellStyle name="Standard 6 2 6 2 4 2 3" xfId="18029" xr:uid="{9DEB472A-0567-41D2-89E0-3FF84BA0E6B0}"/>
    <cellStyle name="Standard 6 2 6 2 4 3" xfId="6070" xr:uid="{00000000-0005-0000-0000-0000BD170000}"/>
    <cellStyle name="Standard 6 2 6 2 4 3 2" xfId="18031" xr:uid="{77321380-5514-4CC5-8A00-DC684A7FCEFA}"/>
    <cellStyle name="Standard 6 2 6 2 4 4" xfId="18028" xr:uid="{BE8F87C7-B07F-4DC9-AE91-40674A3B4AE1}"/>
    <cellStyle name="Standard 6 2 6 2 5" xfId="6071" xr:uid="{00000000-0005-0000-0000-0000BE170000}"/>
    <cellStyle name="Standard 6 2 6 2 5 2" xfId="6072" xr:uid="{00000000-0005-0000-0000-0000BF170000}"/>
    <cellStyle name="Standard 6 2 6 2 5 2 2" xfId="6073" xr:uid="{00000000-0005-0000-0000-0000C0170000}"/>
    <cellStyle name="Standard 6 2 6 2 5 2 2 2" xfId="18034" xr:uid="{E845B498-91BD-48F9-AC5A-18151C9B5CD0}"/>
    <cellStyle name="Standard 6 2 6 2 5 2 3" xfId="18033" xr:uid="{D2F319E5-0279-4D17-8446-8E14B3EE2014}"/>
    <cellStyle name="Standard 6 2 6 2 5 3" xfId="6074" xr:uid="{00000000-0005-0000-0000-0000C1170000}"/>
    <cellStyle name="Standard 6 2 6 2 5 3 2" xfId="18035" xr:uid="{B50A25D1-C8B1-42FD-9B03-5DCCD901A8FF}"/>
    <cellStyle name="Standard 6 2 6 2 5 4" xfId="18032" xr:uid="{255BC78F-5026-4CAC-AB94-07ED32BCAC53}"/>
    <cellStyle name="Standard 6 2 6 2 6" xfId="6075" xr:uid="{00000000-0005-0000-0000-0000C2170000}"/>
    <cellStyle name="Standard 6 2 6 2 6 2" xfId="6076" xr:uid="{00000000-0005-0000-0000-0000C3170000}"/>
    <cellStyle name="Standard 6 2 6 2 6 2 2" xfId="6077" xr:uid="{00000000-0005-0000-0000-0000C4170000}"/>
    <cellStyle name="Standard 6 2 6 2 6 2 2 2" xfId="18038" xr:uid="{01B42FE7-5233-4A01-A652-676296310D8A}"/>
    <cellStyle name="Standard 6 2 6 2 6 2 3" xfId="18037" xr:uid="{BD8C43FE-3561-4295-944D-3308AFEE1DDD}"/>
    <cellStyle name="Standard 6 2 6 2 6 3" xfId="6078" xr:uid="{00000000-0005-0000-0000-0000C5170000}"/>
    <cellStyle name="Standard 6 2 6 2 6 3 2" xfId="18039" xr:uid="{FB9CCB03-48EB-408D-9F5D-6D9AF1A8ADEC}"/>
    <cellStyle name="Standard 6 2 6 2 6 4" xfId="18036" xr:uid="{BBAC2384-FDD5-4A2C-93F6-B9CE1105D8B4}"/>
    <cellStyle name="Standard 6 2 6 2 7" xfId="6079" xr:uid="{00000000-0005-0000-0000-0000C6170000}"/>
    <cellStyle name="Standard 6 2 6 2 7 2" xfId="6080" xr:uid="{00000000-0005-0000-0000-0000C7170000}"/>
    <cellStyle name="Standard 6 2 6 2 7 2 2" xfId="6081" xr:uid="{00000000-0005-0000-0000-0000C8170000}"/>
    <cellStyle name="Standard 6 2 6 2 7 2 2 2" xfId="18042" xr:uid="{23D1C1C8-24EC-47C5-81FB-0031005FC415}"/>
    <cellStyle name="Standard 6 2 6 2 7 2 3" xfId="18041" xr:uid="{A2210E91-FF2C-44D9-BC6C-95FF2621CB68}"/>
    <cellStyle name="Standard 6 2 6 2 7 3" xfId="6082" xr:uid="{00000000-0005-0000-0000-0000C9170000}"/>
    <cellStyle name="Standard 6 2 6 2 7 3 2" xfId="18043" xr:uid="{E5C979C8-9B90-4349-85A1-C27796B73F54}"/>
    <cellStyle name="Standard 6 2 6 2 7 4" xfId="18040" xr:uid="{474865B1-D39E-45A4-A4DB-CF551E97E1AB}"/>
    <cellStyle name="Standard 6 2 6 2 8" xfId="6083" xr:uid="{00000000-0005-0000-0000-0000CA170000}"/>
    <cellStyle name="Standard 6 2 6 2 8 2" xfId="6084" xr:uid="{00000000-0005-0000-0000-0000CB170000}"/>
    <cellStyle name="Standard 6 2 6 2 8 2 2" xfId="6085" xr:uid="{00000000-0005-0000-0000-0000CC170000}"/>
    <cellStyle name="Standard 6 2 6 2 8 2 2 2" xfId="18046" xr:uid="{1B866376-DFEB-41BE-9879-FD865DB54A39}"/>
    <cellStyle name="Standard 6 2 6 2 8 2 3" xfId="18045" xr:uid="{D6A62BF3-C88E-48FE-9341-857D33E45AA8}"/>
    <cellStyle name="Standard 6 2 6 2 8 3" xfId="6086" xr:uid="{00000000-0005-0000-0000-0000CD170000}"/>
    <cellStyle name="Standard 6 2 6 2 8 3 2" xfId="18047" xr:uid="{F6AD9473-3B92-4170-A7A4-30677EB3F126}"/>
    <cellStyle name="Standard 6 2 6 2 8 4" xfId="18044" xr:uid="{E821F736-714C-4088-8A3B-DDD5365A2D9F}"/>
    <cellStyle name="Standard 6 2 6 2 9" xfId="6087" xr:uid="{00000000-0005-0000-0000-0000CE170000}"/>
    <cellStyle name="Standard 6 2 6 2 9 2" xfId="6088" xr:uid="{00000000-0005-0000-0000-0000CF170000}"/>
    <cellStyle name="Standard 6 2 6 2 9 2 2" xfId="18049" xr:uid="{679CFF5F-75D5-4566-B825-94FB62DE5BEE}"/>
    <cellStyle name="Standard 6 2 6 2 9 3" xfId="18048" xr:uid="{097336F2-616D-4275-A402-9B0263A5952F}"/>
    <cellStyle name="Standard 6 2 6 3" xfId="6089" xr:uid="{00000000-0005-0000-0000-0000D0170000}"/>
    <cellStyle name="Standard 6 2 6 3 10" xfId="18050" xr:uid="{2E580731-3033-4F20-91D4-35E2BCC3514B}"/>
    <cellStyle name="Standard 6 2 6 3 2" xfId="6090" xr:uid="{00000000-0005-0000-0000-0000D1170000}"/>
    <cellStyle name="Standard 6 2 6 3 2 2" xfId="6091" xr:uid="{00000000-0005-0000-0000-0000D2170000}"/>
    <cellStyle name="Standard 6 2 6 3 2 2 2" xfId="6092" xr:uid="{00000000-0005-0000-0000-0000D3170000}"/>
    <cellStyle name="Standard 6 2 6 3 2 2 2 2" xfId="18053" xr:uid="{B0EA3058-BEB7-4FA3-B0DB-C5C60A6B3017}"/>
    <cellStyle name="Standard 6 2 6 3 2 2 3" xfId="18052" xr:uid="{43C4AB4B-0BCC-4AB5-804F-04C225666C50}"/>
    <cellStyle name="Standard 6 2 6 3 2 3" xfId="6093" xr:uid="{00000000-0005-0000-0000-0000D4170000}"/>
    <cellStyle name="Standard 6 2 6 3 2 3 2" xfId="18054" xr:uid="{509EFF52-3A29-4136-808E-5E2157950FEF}"/>
    <cellStyle name="Standard 6 2 6 3 2 4" xfId="18051" xr:uid="{D622B7BE-C663-45FB-8A1C-EEBCACFE8648}"/>
    <cellStyle name="Standard 6 2 6 3 3" xfId="6094" xr:uid="{00000000-0005-0000-0000-0000D5170000}"/>
    <cellStyle name="Standard 6 2 6 3 3 2" xfId="6095" xr:uid="{00000000-0005-0000-0000-0000D6170000}"/>
    <cellStyle name="Standard 6 2 6 3 3 2 2" xfId="6096" xr:uid="{00000000-0005-0000-0000-0000D7170000}"/>
    <cellStyle name="Standard 6 2 6 3 3 2 2 2" xfId="18057" xr:uid="{3D513CDA-E194-4782-ABBD-4A10C3E64FC6}"/>
    <cellStyle name="Standard 6 2 6 3 3 2 3" xfId="18056" xr:uid="{8C3BF7FA-6AE3-4C16-8E57-2EF9BFFBE3CE}"/>
    <cellStyle name="Standard 6 2 6 3 3 3" xfId="6097" xr:uid="{00000000-0005-0000-0000-0000D8170000}"/>
    <cellStyle name="Standard 6 2 6 3 3 3 2" xfId="18058" xr:uid="{0BE79905-5A45-4476-B262-8DB04BA3B212}"/>
    <cellStyle name="Standard 6 2 6 3 3 4" xfId="18055" xr:uid="{094371A0-E7FF-421B-8DCA-0B4456BE4623}"/>
    <cellStyle name="Standard 6 2 6 3 4" xfId="6098" xr:uid="{00000000-0005-0000-0000-0000D9170000}"/>
    <cellStyle name="Standard 6 2 6 3 4 2" xfId="6099" xr:uid="{00000000-0005-0000-0000-0000DA170000}"/>
    <cellStyle name="Standard 6 2 6 3 4 2 2" xfId="6100" xr:uid="{00000000-0005-0000-0000-0000DB170000}"/>
    <cellStyle name="Standard 6 2 6 3 4 2 2 2" xfId="18061" xr:uid="{91A6F236-F04A-4EF1-881B-0817819D774E}"/>
    <cellStyle name="Standard 6 2 6 3 4 2 3" xfId="18060" xr:uid="{C99A2CFF-270F-41CC-9CD0-0F08ED3E6266}"/>
    <cellStyle name="Standard 6 2 6 3 4 3" xfId="6101" xr:uid="{00000000-0005-0000-0000-0000DC170000}"/>
    <cellStyle name="Standard 6 2 6 3 4 3 2" xfId="18062" xr:uid="{9A9528B0-B74A-44B2-BE16-1EBD2DE1C106}"/>
    <cellStyle name="Standard 6 2 6 3 4 4" xfId="18059" xr:uid="{C29C3947-DCDE-4DCF-8FB5-C4502FEE41B2}"/>
    <cellStyle name="Standard 6 2 6 3 5" xfId="6102" xr:uid="{00000000-0005-0000-0000-0000DD170000}"/>
    <cellStyle name="Standard 6 2 6 3 5 2" xfId="6103" xr:uid="{00000000-0005-0000-0000-0000DE170000}"/>
    <cellStyle name="Standard 6 2 6 3 5 2 2" xfId="6104" xr:uid="{00000000-0005-0000-0000-0000DF170000}"/>
    <cellStyle name="Standard 6 2 6 3 5 2 2 2" xfId="18065" xr:uid="{E5D645B7-615A-41EE-93ED-06EE09C0AA33}"/>
    <cellStyle name="Standard 6 2 6 3 5 2 3" xfId="18064" xr:uid="{50B058BF-2090-4194-BFA4-6A8F7B8A9728}"/>
    <cellStyle name="Standard 6 2 6 3 5 3" xfId="6105" xr:uid="{00000000-0005-0000-0000-0000E0170000}"/>
    <cellStyle name="Standard 6 2 6 3 5 3 2" xfId="18066" xr:uid="{41621404-9701-4E29-A04C-594CC20CF646}"/>
    <cellStyle name="Standard 6 2 6 3 5 4" xfId="18063" xr:uid="{0BD4C94C-8443-41D7-A601-4F0234E281DD}"/>
    <cellStyle name="Standard 6 2 6 3 6" xfId="6106" xr:uid="{00000000-0005-0000-0000-0000E1170000}"/>
    <cellStyle name="Standard 6 2 6 3 6 2" xfId="6107" xr:uid="{00000000-0005-0000-0000-0000E2170000}"/>
    <cellStyle name="Standard 6 2 6 3 6 2 2" xfId="6108" xr:uid="{00000000-0005-0000-0000-0000E3170000}"/>
    <cellStyle name="Standard 6 2 6 3 6 2 2 2" xfId="18069" xr:uid="{EA50A476-D9AD-49B6-A682-795054B76C90}"/>
    <cellStyle name="Standard 6 2 6 3 6 2 3" xfId="18068" xr:uid="{0888DA4C-EDBE-431A-A0F4-2577C22EE3A6}"/>
    <cellStyle name="Standard 6 2 6 3 6 3" xfId="6109" xr:uid="{00000000-0005-0000-0000-0000E4170000}"/>
    <cellStyle name="Standard 6 2 6 3 6 3 2" xfId="18070" xr:uid="{D98262E8-D21A-48BB-B5AA-9BB5A0241C80}"/>
    <cellStyle name="Standard 6 2 6 3 6 4" xfId="18067" xr:uid="{1D8AAF69-F3BC-470D-AE7E-313F31228641}"/>
    <cellStyle name="Standard 6 2 6 3 7" xfId="6110" xr:uid="{00000000-0005-0000-0000-0000E5170000}"/>
    <cellStyle name="Standard 6 2 6 3 7 2" xfId="6111" xr:uid="{00000000-0005-0000-0000-0000E6170000}"/>
    <cellStyle name="Standard 6 2 6 3 7 2 2" xfId="6112" xr:uid="{00000000-0005-0000-0000-0000E7170000}"/>
    <cellStyle name="Standard 6 2 6 3 7 2 2 2" xfId="18073" xr:uid="{5B39E724-81FE-4F06-8336-90F4525A26A3}"/>
    <cellStyle name="Standard 6 2 6 3 7 2 3" xfId="18072" xr:uid="{6D2F4D72-573F-4948-ABD5-2C2F4F9A1C28}"/>
    <cellStyle name="Standard 6 2 6 3 7 3" xfId="6113" xr:uid="{00000000-0005-0000-0000-0000E8170000}"/>
    <cellStyle name="Standard 6 2 6 3 7 3 2" xfId="18074" xr:uid="{7D4E6E46-4FE7-469C-BB4A-5AA0A0B278F3}"/>
    <cellStyle name="Standard 6 2 6 3 7 4" xfId="18071" xr:uid="{B9FF4113-F1ED-41AE-8BD0-706E8C95C6F8}"/>
    <cellStyle name="Standard 6 2 6 3 8" xfId="6114" xr:uid="{00000000-0005-0000-0000-0000E9170000}"/>
    <cellStyle name="Standard 6 2 6 3 8 2" xfId="6115" xr:uid="{00000000-0005-0000-0000-0000EA170000}"/>
    <cellStyle name="Standard 6 2 6 3 8 2 2" xfId="18076" xr:uid="{83D12F0C-0018-4636-A675-81E60C0EEB39}"/>
    <cellStyle name="Standard 6 2 6 3 8 3" xfId="18075" xr:uid="{E990C453-F50C-4F2B-B597-25035A395F26}"/>
    <cellStyle name="Standard 6 2 6 3 9" xfId="6116" xr:uid="{00000000-0005-0000-0000-0000EB170000}"/>
    <cellStyle name="Standard 6 2 6 3 9 2" xfId="18077" xr:uid="{30271C2E-7A76-406E-A761-E4DE58CBE4CD}"/>
    <cellStyle name="Standard 6 2 6 4" xfId="6117" xr:uid="{00000000-0005-0000-0000-0000EC170000}"/>
    <cellStyle name="Standard 6 2 6 4 2" xfId="6118" xr:uid="{00000000-0005-0000-0000-0000ED170000}"/>
    <cellStyle name="Standard 6 2 6 4 2 2" xfId="6119" xr:uid="{00000000-0005-0000-0000-0000EE170000}"/>
    <cellStyle name="Standard 6 2 6 4 2 2 2" xfId="18080" xr:uid="{4F955E84-9056-4C24-A19D-6D08A7229D5E}"/>
    <cellStyle name="Standard 6 2 6 4 2 3" xfId="18079" xr:uid="{21267081-A8E6-4D6A-81CD-7EC322D6FD0F}"/>
    <cellStyle name="Standard 6 2 6 4 3" xfId="6120" xr:uid="{00000000-0005-0000-0000-0000EF170000}"/>
    <cellStyle name="Standard 6 2 6 4 3 2" xfId="18081" xr:uid="{77AA200A-5B37-46DC-915D-82DBBCF20F0D}"/>
    <cellStyle name="Standard 6 2 6 4 4" xfId="18078" xr:uid="{3CFBD3BA-DC68-4342-BA26-017183E36887}"/>
    <cellStyle name="Standard 6 2 6 5" xfId="6121" xr:uid="{00000000-0005-0000-0000-0000F0170000}"/>
    <cellStyle name="Standard 6 2 6 5 2" xfId="6122" xr:uid="{00000000-0005-0000-0000-0000F1170000}"/>
    <cellStyle name="Standard 6 2 6 5 2 2" xfId="6123" xr:uid="{00000000-0005-0000-0000-0000F2170000}"/>
    <cellStyle name="Standard 6 2 6 5 2 2 2" xfId="18084" xr:uid="{F1371F45-BED2-4D54-BC19-43CCB9AD6EB4}"/>
    <cellStyle name="Standard 6 2 6 5 2 3" xfId="18083" xr:uid="{AA566A93-2A15-4AB1-81E8-A3645D7522AF}"/>
    <cellStyle name="Standard 6 2 6 5 3" xfId="6124" xr:uid="{00000000-0005-0000-0000-0000F3170000}"/>
    <cellStyle name="Standard 6 2 6 5 3 2" xfId="18085" xr:uid="{8B522FA5-1AF8-4961-8D4F-EE00BAD06492}"/>
    <cellStyle name="Standard 6 2 6 5 4" xfId="18082" xr:uid="{2E6381B7-18A6-4D20-8473-36A788132B11}"/>
    <cellStyle name="Standard 6 2 6 6" xfId="6125" xr:uid="{00000000-0005-0000-0000-0000F4170000}"/>
    <cellStyle name="Standard 6 2 6 6 2" xfId="6126" xr:uid="{00000000-0005-0000-0000-0000F5170000}"/>
    <cellStyle name="Standard 6 2 6 6 2 2" xfId="6127" xr:uid="{00000000-0005-0000-0000-0000F6170000}"/>
    <cellStyle name="Standard 6 2 6 6 2 2 2" xfId="18088" xr:uid="{C97BF393-BA8A-4BC6-9F09-86067993FCF9}"/>
    <cellStyle name="Standard 6 2 6 6 2 3" xfId="18087" xr:uid="{EBE1EDE5-9C86-4D32-AE8C-A37FA5987D06}"/>
    <cellStyle name="Standard 6 2 6 6 3" xfId="6128" xr:uid="{00000000-0005-0000-0000-0000F7170000}"/>
    <cellStyle name="Standard 6 2 6 6 3 2" xfId="18089" xr:uid="{9B90758F-AE53-45C7-9CF6-80BBD531F827}"/>
    <cellStyle name="Standard 6 2 6 6 4" xfId="18086" xr:uid="{EF6B5FFC-1D49-4F09-87CE-230FF58CC857}"/>
    <cellStyle name="Standard 6 2 6 7" xfId="6129" xr:uid="{00000000-0005-0000-0000-0000F8170000}"/>
    <cellStyle name="Standard 6 2 6 7 2" xfId="6130" xr:uid="{00000000-0005-0000-0000-0000F9170000}"/>
    <cellStyle name="Standard 6 2 6 7 2 2" xfId="6131" xr:uid="{00000000-0005-0000-0000-0000FA170000}"/>
    <cellStyle name="Standard 6 2 6 7 2 2 2" xfId="18092" xr:uid="{3557E4BE-4C85-4410-8443-F12429462E15}"/>
    <cellStyle name="Standard 6 2 6 7 2 3" xfId="18091" xr:uid="{61DA7A26-0D86-49A6-95F8-41609367E20C}"/>
    <cellStyle name="Standard 6 2 6 7 3" xfId="6132" xr:uid="{00000000-0005-0000-0000-0000FB170000}"/>
    <cellStyle name="Standard 6 2 6 7 3 2" xfId="18093" xr:uid="{69B8A86B-0A5F-408C-AB75-21740F846B18}"/>
    <cellStyle name="Standard 6 2 6 7 4" xfId="18090" xr:uid="{98C5FB9C-9E2C-44D8-A6F2-34D0488F5807}"/>
    <cellStyle name="Standard 6 2 6 8" xfId="6133" xr:uid="{00000000-0005-0000-0000-0000FC170000}"/>
    <cellStyle name="Standard 6 2 6 8 2" xfId="6134" xr:uid="{00000000-0005-0000-0000-0000FD170000}"/>
    <cellStyle name="Standard 6 2 6 8 2 2" xfId="6135" xr:uid="{00000000-0005-0000-0000-0000FE170000}"/>
    <cellStyle name="Standard 6 2 6 8 2 2 2" xfId="18096" xr:uid="{6D7288E1-C02F-4E23-A9FF-875ED7137D4B}"/>
    <cellStyle name="Standard 6 2 6 8 2 3" xfId="18095" xr:uid="{F385F56A-4158-44D3-870E-69D6221CB1B7}"/>
    <cellStyle name="Standard 6 2 6 8 3" xfId="6136" xr:uid="{00000000-0005-0000-0000-0000FF170000}"/>
    <cellStyle name="Standard 6 2 6 8 3 2" xfId="18097" xr:uid="{090E4D9A-D514-40BD-B393-35E17C3A2D3E}"/>
    <cellStyle name="Standard 6 2 6 8 4" xfId="18094" xr:uid="{51370B6C-AE93-4FA0-B38F-9FFA2A23DEC6}"/>
    <cellStyle name="Standard 6 2 6 9" xfId="6137" xr:uid="{00000000-0005-0000-0000-000000180000}"/>
    <cellStyle name="Standard 6 2 6 9 2" xfId="6138" xr:uid="{00000000-0005-0000-0000-000001180000}"/>
    <cellStyle name="Standard 6 2 6 9 2 2" xfId="6139" xr:uid="{00000000-0005-0000-0000-000002180000}"/>
    <cellStyle name="Standard 6 2 6 9 2 2 2" xfId="18100" xr:uid="{05888EAC-581E-48F5-9D30-623EC03164AD}"/>
    <cellStyle name="Standard 6 2 6 9 2 3" xfId="18099" xr:uid="{C218F8AA-07C6-451F-B9E1-3CF8EFDD6F37}"/>
    <cellStyle name="Standard 6 2 6 9 3" xfId="6140" xr:uid="{00000000-0005-0000-0000-000003180000}"/>
    <cellStyle name="Standard 6 2 6 9 3 2" xfId="18101" xr:uid="{88783947-CB7B-4753-9BDA-F6F378734297}"/>
    <cellStyle name="Standard 6 2 6 9 4" xfId="18098" xr:uid="{2B900DCF-64E2-439E-9F9B-8F65740636BB}"/>
    <cellStyle name="Standard 6 2 7" xfId="6141" xr:uid="{00000000-0005-0000-0000-000004180000}"/>
    <cellStyle name="Standard 6 2 7 10" xfId="6142" xr:uid="{00000000-0005-0000-0000-000005180000}"/>
    <cellStyle name="Standard 6 2 7 10 2" xfId="18103" xr:uid="{36FF031A-981C-4326-BEF8-657AAAF38BA8}"/>
    <cellStyle name="Standard 6 2 7 11" xfId="18102" xr:uid="{DA0E66EC-57A7-4F7C-BE75-EEA4EFF135BC}"/>
    <cellStyle name="Standard 6 2 7 2" xfId="6143" xr:uid="{00000000-0005-0000-0000-000006180000}"/>
    <cellStyle name="Standard 6 2 7 2 10" xfId="18104" xr:uid="{1983C2C0-1050-4ED3-9083-91879328350D}"/>
    <cellStyle name="Standard 6 2 7 2 2" xfId="6144" xr:uid="{00000000-0005-0000-0000-000007180000}"/>
    <cellStyle name="Standard 6 2 7 2 2 2" xfId="6145" xr:uid="{00000000-0005-0000-0000-000008180000}"/>
    <cellStyle name="Standard 6 2 7 2 2 2 2" xfId="6146" xr:uid="{00000000-0005-0000-0000-000009180000}"/>
    <cellStyle name="Standard 6 2 7 2 2 2 2 2" xfId="18107" xr:uid="{0D0F9313-3A67-4BA8-BE29-39AAD5849B3B}"/>
    <cellStyle name="Standard 6 2 7 2 2 2 3" xfId="18106" xr:uid="{6CE12EDE-0F9B-408A-9CB2-734C4A287E52}"/>
    <cellStyle name="Standard 6 2 7 2 2 3" xfId="6147" xr:uid="{00000000-0005-0000-0000-00000A180000}"/>
    <cellStyle name="Standard 6 2 7 2 2 3 2" xfId="18108" xr:uid="{1F20B9BB-1B8A-43AB-A35D-938D0138345E}"/>
    <cellStyle name="Standard 6 2 7 2 2 4" xfId="18105" xr:uid="{DCDB6A2E-A976-42B0-AADC-D177755C3704}"/>
    <cellStyle name="Standard 6 2 7 2 3" xfId="6148" xr:uid="{00000000-0005-0000-0000-00000B180000}"/>
    <cellStyle name="Standard 6 2 7 2 3 2" xfId="6149" xr:uid="{00000000-0005-0000-0000-00000C180000}"/>
    <cellStyle name="Standard 6 2 7 2 3 2 2" xfId="6150" xr:uid="{00000000-0005-0000-0000-00000D180000}"/>
    <cellStyle name="Standard 6 2 7 2 3 2 2 2" xfId="18111" xr:uid="{08AF97BC-56AF-4E38-A4A7-8B89F1905D0B}"/>
    <cellStyle name="Standard 6 2 7 2 3 2 3" xfId="18110" xr:uid="{85D37DA4-8E21-47AE-A09A-F62423EA0532}"/>
    <cellStyle name="Standard 6 2 7 2 3 3" xfId="6151" xr:uid="{00000000-0005-0000-0000-00000E180000}"/>
    <cellStyle name="Standard 6 2 7 2 3 3 2" xfId="18112" xr:uid="{587A697E-BD90-4664-AEFC-A7C84417433F}"/>
    <cellStyle name="Standard 6 2 7 2 3 4" xfId="18109" xr:uid="{E42F4AFE-222B-45C5-9641-D252E5D05550}"/>
    <cellStyle name="Standard 6 2 7 2 4" xfId="6152" xr:uid="{00000000-0005-0000-0000-00000F180000}"/>
    <cellStyle name="Standard 6 2 7 2 4 2" xfId="6153" xr:uid="{00000000-0005-0000-0000-000010180000}"/>
    <cellStyle name="Standard 6 2 7 2 4 2 2" xfId="6154" xr:uid="{00000000-0005-0000-0000-000011180000}"/>
    <cellStyle name="Standard 6 2 7 2 4 2 2 2" xfId="18115" xr:uid="{C1AB5D98-73D8-4848-B610-9F79F786BFEC}"/>
    <cellStyle name="Standard 6 2 7 2 4 2 3" xfId="18114" xr:uid="{C3770D7B-C384-4D4F-B47F-9C6A118B3581}"/>
    <cellStyle name="Standard 6 2 7 2 4 3" xfId="6155" xr:uid="{00000000-0005-0000-0000-000012180000}"/>
    <cellStyle name="Standard 6 2 7 2 4 3 2" xfId="18116" xr:uid="{D85CDA2D-3BE4-41C4-ACF8-40E3F0FAC3B8}"/>
    <cellStyle name="Standard 6 2 7 2 4 4" xfId="18113" xr:uid="{1399E5C0-67F1-4F36-8E83-E3C837F07032}"/>
    <cellStyle name="Standard 6 2 7 2 5" xfId="6156" xr:uid="{00000000-0005-0000-0000-000013180000}"/>
    <cellStyle name="Standard 6 2 7 2 5 2" xfId="6157" xr:uid="{00000000-0005-0000-0000-000014180000}"/>
    <cellStyle name="Standard 6 2 7 2 5 2 2" xfId="6158" xr:uid="{00000000-0005-0000-0000-000015180000}"/>
    <cellStyle name="Standard 6 2 7 2 5 2 2 2" xfId="18119" xr:uid="{E73C41A6-7996-4539-8291-9D580EF9B54B}"/>
    <cellStyle name="Standard 6 2 7 2 5 2 3" xfId="18118" xr:uid="{AD921282-3EAA-43F4-842E-E43432C6033C}"/>
    <cellStyle name="Standard 6 2 7 2 5 3" xfId="6159" xr:uid="{00000000-0005-0000-0000-000016180000}"/>
    <cellStyle name="Standard 6 2 7 2 5 3 2" xfId="18120" xr:uid="{CCFD4D3A-ED26-46D5-B0EB-99F58992FBF6}"/>
    <cellStyle name="Standard 6 2 7 2 5 4" xfId="18117" xr:uid="{81D1F079-8AE9-4A01-8BEA-78A72CB57415}"/>
    <cellStyle name="Standard 6 2 7 2 6" xfId="6160" xr:uid="{00000000-0005-0000-0000-000017180000}"/>
    <cellStyle name="Standard 6 2 7 2 6 2" xfId="6161" xr:uid="{00000000-0005-0000-0000-000018180000}"/>
    <cellStyle name="Standard 6 2 7 2 6 2 2" xfId="6162" xr:uid="{00000000-0005-0000-0000-000019180000}"/>
    <cellStyle name="Standard 6 2 7 2 6 2 2 2" xfId="18123" xr:uid="{23586305-0BDE-44FA-A991-FD12039FA55D}"/>
    <cellStyle name="Standard 6 2 7 2 6 2 3" xfId="18122" xr:uid="{758FDF42-7F8C-48C7-B56A-0B779FA0D68E}"/>
    <cellStyle name="Standard 6 2 7 2 6 3" xfId="6163" xr:uid="{00000000-0005-0000-0000-00001A180000}"/>
    <cellStyle name="Standard 6 2 7 2 6 3 2" xfId="18124" xr:uid="{50E22FFB-7BCD-449E-8A14-283CF4477FE8}"/>
    <cellStyle name="Standard 6 2 7 2 6 4" xfId="18121" xr:uid="{4879889D-F603-4792-BE96-A0E5A676D7DD}"/>
    <cellStyle name="Standard 6 2 7 2 7" xfId="6164" xr:uid="{00000000-0005-0000-0000-00001B180000}"/>
    <cellStyle name="Standard 6 2 7 2 7 2" xfId="6165" xr:uid="{00000000-0005-0000-0000-00001C180000}"/>
    <cellStyle name="Standard 6 2 7 2 7 2 2" xfId="6166" xr:uid="{00000000-0005-0000-0000-00001D180000}"/>
    <cellStyle name="Standard 6 2 7 2 7 2 2 2" xfId="18127" xr:uid="{AE6EA1F3-D85F-4A90-956D-AA6644D7505C}"/>
    <cellStyle name="Standard 6 2 7 2 7 2 3" xfId="18126" xr:uid="{E6E78629-7D39-4B5E-A7B9-9EC4B76A840B}"/>
    <cellStyle name="Standard 6 2 7 2 7 3" xfId="6167" xr:uid="{00000000-0005-0000-0000-00001E180000}"/>
    <cellStyle name="Standard 6 2 7 2 7 3 2" xfId="18128" xr:uid="{B4D34901-34A4-42C4-923B-1A9C00596E30}"/>
    <cellStyle name="Standard 6 2 7 2 7 4" xfId="18125" xr:uid="{CADA4EBC-8897-47F9-8452-BE1D437EAC53}"/>
    <cellStyle name="Standard 6 2 7 2 8" xfId="6168" xr:uid="{00000000-0005-0000-0000-00001F180000}"/>
    <cellStyle name="Standard 6 2 7 2 8 2" xfId="6169" xr:uid="{00000000-0005-0000-0000-000020180000}"/>
    <cellStyle name="Standard 6 2 7 2 8 2 2" xfId="18130" xr:uid="{AEDF7463-C965-41B8-AC0F-55D5D4B3F4D6}"/>
    <cellStyle name="Standard 6 2 7 2 8 3" xfId="18129" xr:uid="{EF36CB2C-6818-46A7-BACE-D200284515C4}"/>
    <cellStyle name="Standard 6 2 7 2 9" xfId="6170" xr:uid="{00000000-0005-0000-0000-000021180000}"/>
    <cellStyle name="Standard 6 2 7 2 9 2" xfId="18131" xr:uid="{68826C41-2345-4662-A61C-D699900B2639}"/>
    <cellStyle name="Standard 6 2 7 3" xfId="6171" xr:uid="{00000000-0005-0000-0000-000022180000}"/>
    <cellStyle name="Standard 6 2 7 3 2" xfId="6172" xr:uid="{00000000-0005-0000-0000-000023180000}"/>
    <cellStyle name="Standard 6 2 7 3 2 2" xfId="6173" xr:uid="{00000000-0005-0000-0000-000024180000}"/>
    <cellStyle name="Standard 6 2 7 3 2 2 2" xfId="18134" xr:uid="{B88B2688-9159-498E-88B8-662169DD33CA}"/>
    <cellStyle name="Standard 6 2 7 3 2 3" xfId="18133" xr:uid="{E5BDF8F1-6F16-4818-9A81-4E4D0D248412}"/>
    <cellStyle name="Standard 6 2 7 3 3" xfId="6174" xr:uid="{00000000-0005-0000-0000-000025180000}"/>
    <cellStyle name="Standard 6 2 7 3 3 2" xfId="18135" xr:uid="{2FB09339-F74D-4394-96EF-88B3382E9C1C}"/>
    <cellStyle name="Standard 6 2 7 3 4" xfId="18132" xr:uid="{E5CC3C04-771E-4450-B1EC-B0339666B0A5}"/>
    <cellStyle name="Standard 6 2 7 4" xfId="6175" xr:uid="{00000000-0005-0000-0000-000026180000}"/>
    <cellStyle name="Standard 6 2 7 4 2" xfId="6176" xr:uid="{00000000-0005-0000-0000-000027180000}"/>
    <cellStyle name="Standard 6 2 7 4 2 2" xfId="6177" xr:uid="{00000000-0005-0000-0000-000028180000}"/>
    <cellStyle name="Standard 6 2 7 4 2 2 2" xfId="18138" xr:uid="{10EECB61-5BD2-4D01-B4EF-0E3418F26669}"/>
    <cellStyle name="Standard 6 2 7 4 2 3" xfId="18137" xr:uid="{3755E610-1D76-4EF6-9681-FD5F83FCC8DD}"/>
    <cellStyle name="Standard 6 2 7 4 3" xfId="6178" xr:uid="{00000000-0005-0000-0000-000029180000}"/>
    <cellStyle name="Standard 6 2 7 4 3 2" xfId="18139" xr:uid="{36DD48F5-83E7-4889-AD76-0793D72EAC41}"/>
    <cellStyle name="Standard 6 2 7 4 4" xfId="18136" xr:uid="{7BB6AA8C-33D3-4CCD-88D9-6E1778ABCC0E}"/>
    <cellStyle name="Standard 6 2 7 5" xfId="6179" xr:uid="{00000000-0005-0000-0000-00002A180000}"/>
    <cellStyle name="Standard 6 2 7 5 2" xfId="6180" xr:uid="{00000000-0005-0000-0000-00002B180000}"/>
    <cellStyle name="Standard 6 2 7 5 2 2" xfId="6181" xr:uid="{00000000-0005-0000-0000-00002C180000}"/>
    <cellStyle name="Standard 6 2 7 5 2 2 2" xfId="18142" xr:uid="{D06FA1BD-BAFE-4CD2-A04A-D728A66C02F8}"/>
    <cellStyle name="Standard 6 2 7 5 2 3" xfId="18141" xr:uid="{E8C883FE-10AB-4382-ABED-1FD5CE3784DD}"/>
    <cellStyle name="Standard 6 2 7 5 3" xfId="6182" xr:uid="{00000000-0005-0000-0000-00002D180000}"/>
    <cellStyle name="Standard 6 2 7 5 3 2" xfId="18143" xr:uid="{38938C94-7660-4B35-B47C-5D49B8AC3335}"/>
    <cellStyle name="Standard 6 2 7 5 4" xfId="18140" xr:uid="{DE418EB3-C8CC-4C7B-B192-FA33059E87B7}"/>
    <cellStyle name="Standard 6 2 7 6" xfId="6183" xr:uid="{00000000-0005-0000-0000-00002E180000}"/>
    <cellStyle name="Standard 6 2 7 6 2" xfId="6184" xr:uid="{00000000-0005-0000-0000-00002F180000}"/>
    <cellStyle name="Standard 6 2 7 6 2 2" xfId="6185" xr:uid="{00000000-0005-0000-0000-000030180000}"/>
    <cellStyle name="Standard 6 2 7 6 2 2 2" xfId="18146" xr:uid="{A1B899C0-82D7-4B4A-84FF-74DB1329C406}"/>
    <cellStyle name="Standard 6 2 7 6 2 3" xfId="18145" xr:uid="{63865227-B5F5-4682-9BDC-19F3AC19345B}"/>
    <cellStyle name="Standard 6 2 7 6 3" xfId="6186" xr:uid="{00000000-0005-0000-0000-000031180000}"/>
    <cellStyle name="Standard 6 2 7 6 3 2" xfId="18147" xr:uid="{8758B61A-532A-4034-A8D3-A05DDAC29476}"/>
    <cellStyle name="Standard 6 2 7 6 4" xfId="18144" xr:uid="{8012309E-0991-4943-926E-BA2BE7DE35DF}"/>
    <cellStyle name="Standard 6 2 7 7" xfId="6187" xr:uid="{00000000-0005-0000-0000-000032180000}"/>
    <cellStyle name="Standard 6 2 7 7 2" xfId="6188" xr:uid="{00000000-0005-0000-0000-000033180000}"/>
    <cellStyle name="Standard 6 2 7 7 2 2" xfId="6189" xr:uid="{00000000-0005-0000-0000-000034180000}"/>
    <cellStyle name="Standard 6 2 7 7 2 2 2" xfId="18150" xr:uid="{14E3FABC-295F-4CEA-9C21-0F689F77AC9A}"/>
    <cellStyle name="Standard 6 2 7 7 2 3" xfId="18149" xr:uid="{6625A22B-FD50-40B2-9C22-248C73FECF87}"/>
    <cellStyle name="Standard 6 2 7 7 3" xfId="6190" xr:uid="{00000000-0005-0000-0000-000035180000}"/>
    <cellStyle name="Standard 6 2 7 7 3 2" xfId="18151" xr:uid="{9AE861C4-2ACA-4802-B582-360436E1B6C4}"/>
    <cellStyle name="Standard 6 2 7 7 4" xfId="18148" xr:uid="{FE753A57-946E-4BBB-BD53-DEF79EDCAFFC}"/>
    <cellStyle name="Standard 6 2 7 8" xfId="6191" xr:uid="{00000000-0005-0000-0000-000036180000}"/>
    <cellStyle name="Standard 6 2 7 8 2" xfId="6192" xr:uid="{00000000-0005-0000-0000-000037180000}"/>
    <cellStyle name="Standard 6 2 7 8 2 2" xfId="6193" xr:uid="{00000000-0005-0000-0000-000038180000}"/>
    <cellStyle name="Standard 6 2 7 8 2 2 2" xfId="18154" xr:uid="{C7543CAB-6AC9-4298-9FAD-8E554376BFD1}"/>
    <cellStyle name="Standard 6 2 7 8 2 3" xfId="18153" xr:uid="{0E6C600D-997B-4611-BD28-0B59D47F9E7D}"/>
    <cellStyle name="Standard 6 2 7 8 3" xfId="6194" xr:uid="{00000000-0005-0000-0000-000039180000}"/>
    <cellStyle name="Standard 6 2 7 8 3 2" xfId="18155" xr:uid="{7CF3FDE9-D9FE-4093-A5AB-B94078B5FAA4}"/>
    <cellStyle name="Standard 6 2 7 8 4" xfId="18152" xr:uid="{9B1E2D32-905D-421D-877B-F0D5BD85992D}"/>
    <cellStyle name="Standard 6 2 7 9" xfId="6195" xr:uid="{00000000-0005-0000-0000-00003A180000}"/>
    <cellStyle name="Standard 6 2 7 9 2" xfId="6196" xr:uid="{00000000-0005-0000-0000-00003B180000}"/>
    <cellStyle name="Standard 6 2 7 9 2 2" xfId="18157" xr:uid="{3BB3C53A-19CC-40E8-B059-860AC60378FD}"/>
    <cellStyle name="Standard 6 2 7 9 3" xfId="18156" xr:uid="{75D510A1-94FE-4ACD-AED5-16CA5F5C3500}"/>
    <cellStyle name="Standard 6 2 8" xfId="6197" xr:uid="{00000000-0005-0000-0000-00003C180000}"/>
    <cellStyle name="Standard 6 2 8 10" xfId="6198" xr:uid="{00000000-0005-0000-0000-00003D180000}"/>
    <cellStyle name="Standard 6 2 8 10 2" xfId="18159" xr:uid="{A0DE7C8E-4742-4C30-9D0E-84F2FB6D2B1B}"/>
    <cellStyle name="Standard 6 2 8 11" xfId="18158" xr:uid="{70B25C9C-009C-4859-8879-691144F637F3}"/>
    <cellStyle name="Standard 6 2 8 2" xfId="6199" xr:uid="{00000000-0005-0000-0000-00003E180000}"/>
    <cellStyle name="Standard 6 2 8 2 10" xfId="18160" xr:uid="{C74C96E6-4DC2-4014-B967-9A2A7729121A}"/>
    <cellStyle name="Standard 6 2 8 2 2" xfId="6200" xr:uid="{00000000-0005-0000-0000-00003F180000}"/>
    <cellStyle name="Standard 6 2 8 2 2 2" xfId="6201" xr:uid="{00000000-0005-0000-0000-000040180000}"/>
    <cellStyle name="Standard 6 2 8 2 2 2 2" xfId="6202" xr:uid="{00000000-0005-0000-0000-000041180000}"/>
    <cellStyle name="Standard 6 2 8 2 2 2 2 2" xfId="18163" xr:uid="{4779310B-370E-4D5E-B496-30FFB055E0E4}"/>
    <cellStyle name="Standard 6 2 8 2 2 2 3" xfId="18162" xr:uid="{E4871B87-EA11-4EE0-96ED-3A3C32901A7D}"/>
    <cellStyle name="Standard 6 2 8 2 2 3" xfId="6203" xr:uid="{00000000-0005-0000-0000-000042180000}"/>
    <cellStyle name="Standard 6 2 8 2 2 3 2" xfId="18164" xr:uid="{E7AEFE00-16BC-4942-A718-49A41314BE23}"/>
    <cellStyle name="Standard 6 2 8 2 2 4" xfId="18161" xr:uid="{6C56BE52-670C-4EDF-ADCE-ADAE523F4548}"/>
    <cellStyle name="Standard 6 2 8 2 3" xfId="6204" xr:uid="{00000000-0005-0000-0000-000043180000}"/>
    <cellStyle name="Standard 6 2 8 2 3 2" xfId="6205" xr:uid="{00000000-0005-0000-0000-000044180000}"/>
    <cellStyle name="Standard 6 2 8 2 3 2 2" xfId="6206" xr:uid="{00000000-0005-0000-0000-000045180000}"/>
    <cellStyle name="Standard 6 2 8 2 3 2 2 2" xfId="18167" xr:uid="{A9090A4D-39FF-4F38-81E9-2B3910182A12}"/>
    <cellStyle name="Standard 6 2 8 2 3 2 3" xfId="18166" xr:uid="{2D31BF80-B210-4727-8811-3F7710FFC61C}"/>
    <cellStyle name="Standard 6 2 8 2 3 3" xfId="6207" xr:uid="{00000000-0005-0000-0000-000046180000}"/>
    <cellStyle name="Standard 6 2 8 2 3 3 2" xfId="18168" xr:uid="{358B5EAD-8A87-454B-A232-BBB1890AE6FF}"/>
    <cellStyle name="Standard 6 2 8 2 3 4" xfId="18165" xr:uid="{E14CBEE1-E7E2-421F-A147-FF093555774F}"/>
    <cellStyle name="Standard 6 2 8 2 4" xfId="6208" xr:uid="{00000000-0005-0000-0000-000047180000}"/>
    <cellStyle name="Standard 6 2 8 2 4 2" xfId="6209" xr:uid="{00000000-0005-0000-0000-000048180000}"/>
    <cellStyle name="Standard 6 2 8 2 4 2 2" xfId="6210" xr:uid="{00000000-0005-0000-0000-000049180000}"/>
    <cellStyle name="Standard 6 2 8 2 4 2 2 2" xfId="18171" xr:uid="{BD32C245-E7AA-4FA8-83D1-721C8B34C640}"/>
    <cellStyle name="Standard 6 2 8 2 4 2 3" xfId="18170" xr:uid="{843DAFB0-8475-4ED0-9022-50AA77953D58}"/>
    <cellStyle name="Standard 6 2 8 2 4 3" xfId="6211" xr:uid="{00000000-0005-0000-0000-00004A180000}"/>
    <cellStyle name="Standard 6 2 8 2 4 3 2" xfId="18172" xr:uid="{91D8BE80-A0B0-4058-8E21-1B47F3EBE9E3}"/>
    <cellStyle name="Standard 6 2 8 2 4 4" xfId="18169" xr:uid="{8A367ACD-534C-4A69-A635-8DF643A3678D}"/>
    <cellStyle name="Standard 6 2 8 2 5" xfId="6212" xr:uid="{00000000-0005-0000-0000-00004B180000}"/>
    <cellStyle name="Standard 6 2 8 2 5 2" xfId="6213" xr:uid="{00000000-0005-0000-0000-00004C180000}"/>
    <cellStyle name="Standard 6 2 8 2 5 2 2" xfId="6214" xr:uid="{00000000-0005-0000-0000-00004D180000}"/>
    <cellStyle name="Standard 6 2 8 2 5 2 2 2" xfId="18175" xr:uid="{78779314-9BD0-4E9B-B0B1-461FDFA3305E}"/>
    <cellStyle name="Standard 6 2 8 2 5 2 3" xfId="18174" xr:uid="{63A71D33-6249-4CE4-BD9B-B3F31587B6E2}"/>
    <cellStyle name="Standard 6 2 8 2 5 3" xfId="6215" xr:uid="{00000000-0005-0000-0000-00004E180000}"/>
    <cellStyle name="Standard 6 2 8 2 5 3 2" xfId="18176" xr:uid="{68BE58C2-E189-4350-8BE3-015161577B35}"/>
    <cellStyle name="Standard 6 2 8 2 5 4" xfId="18173" xr:uid="{B8D2A479-79C1-48E2-89E9-E1ABB0B9B905}"/>
    <cellStyle name="Standard 6 2 8 2 6" xfId="6216" xr:uid="{00000000-0005-0000-0000-00004F180000}"/>
    <cellStyle name="Standard 6 2 8 2 6 2" xfId="6217" xr:uid="{00000000-0005-0000-0000-000050180000}"/>
    <cellStyle name="Standard 6 2 8 2 6 2 2" xfId="6218" xr:uid="{00000000-0005-0000-0000-000051180000}"/>
    <cellStyle name="Standard 6 2 8 2 6 2 2 2" xfId="18179" xr:uid="{2083ACB3-C78D-47AD-9953-72B2A0AD0D7B}"/>
    <cellStyle name="Standard 6 2 8 2 6 2 3" xfId="18178" xr:uid="{BA1B1515-FA01-4DDE-960E-26A4C8B5A3D9}"/>
    <cellStyle name="Standard 6 2 8 2 6 3" xfId="6219" xr:uid="{00000000-0005-0000-0000-000052180000}"/>
    <cellStyle name="Standard 6 2 8 2 6 3 2" xfId="18180" xr:uid="{0EF61203-FE9A-4F69-AC4D-72E356280A5C}"/>
    <cellStyle name="Standard 6 2 8 2 6 4" xfId="18177" xr:uid="{A27CE047-F833-46DD-ABB2-7181ED943AE6}"/>
    <cellStyle name="Standard 6 2 8 2 7" xfId="6220" xr:uid="{00000000-0005-0000-0000-000053180000}"/>
    <cellStyle name="Standard 6 2 8 2 7 2" xfId="6221" xr:uid="{00000000-0005-0000-0000-000054180000}"/>
    <cellStyle name="Standard 6 2 8 2 7 2 2" xfId="6222" xr:uid="{00000000-0005-0000-0000-000055180000}"/>
    <cellStyle name="Standard 6 2 8 2 7 2 2 2" xfId="18183" xr:uid="{AC6259B6-C5C4-4610-ACD4-B69A1FE858FC}"/>
    <cellStyle name="Standard 6 2 8 2 7 2 3" xfId="18182" xr:uid="{83D35173-E06B-4393-8DF1-0797C9665F92}"/>
    <cellStyle name="Standard 6 2 8 2 7 3" xfId="6223" xr:uid="{00000000-0005-0000-0000-000056180000}"/>
    <cellStyle name="Standard 6 2 8 2 7 3 2" xfId="18184" xr:uid="{9818DD97-A249-4E1C-B3E7-01297353F079}"/>
    <cellStyle name="Standard 6 2 8 2 7 4" xfId="18181" xr:uid="{36BC8077-89E7-4AB7-BECD-E518128E0083}"/>
    <cellStyle name="Standard 6 2 8 2 8" xfId="6224" xr:uid="{00000000-0005-0000-0000-000057180000}"/>
    <cellStyle name="Standard 6 2 8 2 8 2" xfId="6225" xr:uid="{00000000-0005-0000-0000-000058180000}"/>
    <cellStyle name="Standard 6 2 8 2 8 2 2" xfId="18186" xr:uid="{63F24E7E-4A35-43D2-8748-C986F5E28B8F}"/>
    <cellStyle name="Standard 6 2 8 2 8 3" xfId="18185" xr:uid="{20A1E922-6E07-4752-BC7C-B7700422FD04}"/>
    <cellStyle name="Standard 6 2 8 2 9" xfId="6226" xr:uid="{00000000-0005-0000-0000-000059180000}"/>
    <cellStyle name="Standard 6 2 8 2 9 2" xfId="18187" xr:uid="{288FE65D-4B61-46CA-B3E8-928E023A46D3}"/>
    <cellStyle name="Standard 6 2 8 3" xfId="6227" xr:uid="{00000000-0005-0000-0000-00005A180000}"/>
    <cellStyle name="Standard 6 2 8 3 2" xfId="6228" xr:uid="{00000000-0005-0000-0000-00005B180000}"/>
    <cellStyle name="Standard 6 2 8 3 2 2" xfId="6229" xr:uid="{00000000-0005-0000-0000-00005C180000}"/>
    <cellStyle name="Standard 6 2 8 3 2 2 2" xfId="18190" xr:uid="{38C99629-8724-4DF5-B5B8-F07D21A4A6EB}"/>
    <cellStyle name="Standard 6 2 8 3 2 3" xfId="18189" xr:uid="{B9191C07-47DB-4798-A0DE-5B03C8C2112A}"/>
    <cellStyle name="Standard 6 2 8 3 3" xfId="6230" xr:uid="{00000000-0005-0000-0000-00005D180000}"/>
    <cellStyle name="Standard 6 2 8 3 3 2" xfId="18191" xr:uid="{10F15A83-96F6-4EFD-8AC2-6E473ADF81FE}"/>
    <cellStyle name="Standard 6 2 8 3 4" xfId="18188" xr:uid="{432D5F14-AF6F-454A-854E-225FD915F1E8}"/>
    <cellStyle name="Standard 6 2 8 4" xfId="6231" xr:uid="{00000000-0005-0000-0000-00005E180000}"/>
    <cellStyle name="Standard 6 2 8 4 2" xfId="6232" xr:uid="{00000000-0005-0000-0000-00005F180000}"/>
    <cellStyle name="Standard 6 2 8 4 2 2" xfId="6233" xr:uid="{00000000-0005-0000-0000-000060180000}"/>
    <cellStyle name="Standard 6 2 8 4 2 2 2" xfId="18194" xr:uid="{15D5453F-E304-4AC1-AA54-A1440646E940}"/>
    <cellStyle name="Standard 6 2 8 4 2 3" xfId="18193" xr:uid="{ABD399BF-8FA8-4CCB-8555-CE1B72B8D76B}"/>
    <cellStyle name="Standard 6 2 8 4 3" xfId="6234" xr:uid="{00000000-0005-0000-0000-000061180000}"/>
    <cellStyle name="Standard 6 2 8 4 3 2" xfId="18195" xr:uid="{73401077-F629-47C8-B697-8B8CB38A2CDF}"/>
    <cellStyle name="Standard 6 2 8 4 4" xfId="18192" xr:uid="{3C7D666A-9491-47E3-BABD-3F34BEA08C89}"/>
    <cellStyle name="Standard 6 2 8 5" xfId="6235" xr:uid="{00000000-0005-0000-0000-000062180000}"/>
    <cellStyle name="Standard 6 2 8 5 2" xfId="6236" xr:uid="{00000000-0005-0000-0000-000063180000}"/>
    <cellStyle name="Standard 6 2 8 5 2 2" xfId="6237" xr:uid="{00000000-0005-0000-0000-000064180000}"/>
    <cellStyle name="Standard 6 2 8 5 2 2 2" xfId="18198" xr:uid="{530B18D5-041C-4526-934C-05DC63D96787}"/>
    <cellStyle name="Standard 6 2 8 5 2 3" xfId="18197" xr:uid="{8D838A4B-DBAF-4D51-86F4-099CD57D8D79}"/>
    <cellStyle name="Standard 6 2 8 5 3" xfId="6238" xr:uid="{00000000-0005-0000-0000-000065180000}"/>
    <cellStyle name="Standard 6 2 8 5 3 2" xfId="18199" xr:uid="{28FECC7B-A2C4-46EE-8BDC-C4FD4847E349}"/>
    <cellStyle name="Standard 6 2 8 5 4" xfId="18196" xr:uid="{4E3548FD-E1E3-496F-99A9-982CC27FDCCF}"/>
    <cellStyle name="Standard 6 2 8 6" xfId="6239" xr:uid="{00000000-0005-0000-0000-000066180000}"/>
    <cellStyle name="Standard 6 2 8 6 2" xfId="6240" xr:uid="{00000000-0005-0000-0000-000067180000}"/>
    <cellStyle name="Standard 6 2 8 6 2 2" xfId="6241" xr:uid="{00000000-0005-0000-0000-000068180000}"/>
    <cellStyle name="Standard 6 2 8 6 2 2 2" xfId="18202" xr:uid="{7CE20A15-8679-481E-8C89-D3F35A65E7AC}"/>
    <cellStyle name="Standard 6 2 8 6 2 3" xfId="18201" xr:uid="{9409BEA6-9F45-45DA-8737-6FB0C3DB1A4D}"/>
    <cellStyle name="Standard 6 2 8 6 3" xfId="6242" xr:uid="{00000000-0005-0000-0000-000069180000}"/>
    <cellStyle name="Standard 6 2 8 6 3 2" xfId="18203" xr:uid="{3BDCBFD8-B483-4255-BA5D-EA316C0F2538}"/>
    <cellStyle name="Standard 6 2 8 6 4" xfId="18200" xr:uid="{DD14B56C-C97F-43FF-94C1-08D768405A54}"/>
    <cellStyle name="Standard 6 2 8 7" xfId="6243" xr:uid="{00000000-0005-0000-0000-00006A180000}"/>
    <cellStyle name="Standard 6 2 8 7 2" xfId="6244" xr:uid="{00000000-0005-0000-0000-00006B180000}"/>
    <cellStyle name="Standard 6 2 8 7 2 2" xfId="6245" xr:uid="{00000000-0005-0000-0000-00006C180000}"/>
    <cellStyle name="Standard 6 2 8 7 2 2 2" xfId="18206" xr:uid="{E001389D-7691-454A-B2E4-70C614874699}"/>
    <cellStyle name="Standard 6 2 8 7 2 3" xfId="18205" xr:uid="{B1F799F2-6E0C-451C-85D4-F2B263CABDB8}"/>
    <cellStyle name="Standard 6 2 8 7 3" xfId="6246" xr:uid="{00000000-0005-0000-0000-00006D180000}"/>
    <cellStyle name="Standard 6 2 8 7 3 2" xfId="18207" xr:uid="{06508D95-E4F0-49E8-85C8-4078F3B4BC91}"/>
    <cellStyle name="Standard 6 2 8 7 4" xfId="18204" xr:uid="{9E2F05AD-AD01-4372-BC0B-D56537DAB060}"/>
    <cellStyle name="Standard 6 2 8 8" xfId="6247" xr:uid="{00000000-0005-0000-0000-00006E180000}"/>
    <cellStyle name="Standard 6 2 8 8 2" xfId="6248" xr:uid="{00000000-0005-0000-0000-00006F180000}"/>
    <cellStyle name="Standard 6 2 8 8 2 2" xfId="6249" xr:uid="{00000000-0005-0000-0000-000070180000}"/>
    <cellStyle name="Standard 6 2 8 8 2 2 2" xfId="18210" xr:uid="{1BD39BBF-5C88-4719-B666-D043707AB1A9}"/>
    <cellStyle name="Standard 6 2 8 8 2 3" xfId="18209" xr:uid="{FF1968B3-ECF4-4391-8E8A-75262390A34C}"/>
    <cellStyle name="Standard 6 2 8 8 3" xfId="6250" xr:uid="{00000000-0005-0000-0000-000071180000}"/>
    <cellStyle name="Standard 6 2 8 8 3 2" xfId="18211" xr:uid="{2E75C613-C03C-4293-8FB0-BFE583C9F853}"/>
    <cellStyle name="Standard 6 2 8 8 4" xfId="18208" xr:uid="{94CBC2CE-1537-4A07-BBE0-E9266D7E5FB2}"/>
    <cellStyle name="Standard 6 2 8 9" xfId="6251" xr:uid="{00000000-0005-0000-0000-000072180000}"/>
    <cellStyle name="Standard 6 2 8 9 2" xfId="6252" xr:uid="{00000000-0005-0000-0000-000073180000}"/>
    <cellStyle name="Standard 6 2 8 9 2 2" xfId="18213" xr:uid="{50689DC0-B82D-4FFE-8419-7F272CAF0005}"/>
    <cellStyle name="Standard 6 2 8 9 3" xfId="18212" xr:uid="{A6974DDB-561A-4A82-851E-5202198B32FB}"/>
    <cellStyle name="Standard 6 2 9" xfId="6253" xr:uid="{00000000-0005-0000-0000-000074180000}"/>
    <cellStyle name="Standard 6 2 9 10" xfId="6254" xr:uid="{00000000-0005-0000-0000-000075180000}"/>
    <cellStyle name="Standard 6 2 9 10 2" xfId="18215" xr:uid="{E00CF4D4-0837-4620-BDE6-9D16F258CC5E}"/>
    <cellStyle name="Standard 6 2 9 11" xfId="18214" xr:uid="{B918F4E7-7308-4069-AB61-D46244461048}"/>
    <cellStyle name="Standard 6 2 9 2" xfId="6255" xr:uid="{00000000-0005-0000-0000-000076180000}"/>
    <cellStyle name="Standard 6 2 9 2 10" xfId="18216" xr:uid="{F29408AC-DAA1-4B1E-B7E5-C2973D9DB3C2}"/>
    <cellStyle name="Standard 6 2 9 2 2" xfId="6256" xr:uid="{00000000-0005-0000-0000-000077180000}"/>
    <cellStyle name="Standard 6 2 9 2 2 2" xfId="6257" xr:uid="{00000000-0005-0000-0000-000078180000}"/>
    <cellStyle name="Standard 6 2 9 2 2 2 2" xfId="6258" xr:uid="{00000000-0005-0000-0000-000079180000}"/>
    <cellStyle name="Standard 6 2 9 2 2 2 2 2" xfId="18219" xr:uid="{57E2610F-1CE7-485A-B5D1-36C0B4276266}"/>
    <cellStyle name="Standard 6 2 9 2 2 2 3" xfId="18218" xr:uid="{2CA505EE-50B9-4597-B134-5857B404F621}"/>
    <cellStyle name="Standard 6 2 9 2 2 3" xfId="6259" xr:uid="{00000000-0005-0000-0000-00007A180000}"/>
    <cellStyle name="Standard 6 2 9 2 2 3 2" xfId="18220" xr:uid="{9F82FDCE-5F10-4C94-9BA5-4A6D481670E0}"/>
    <cellStyle name="Standard 6 2 9 2 2 4" xfId="18217" xr:uid="{B7E6F279-DC9F-49E0-8579-B68934AF72F3}"/>
    <cellStyle name="Standard 6 2 9 2 3" xfId="6260" xr:uid="{00000000-0005-0000-0000-00007B180000}"/>
    <cellStyle name="Standard 6 2 9 2 3 2" xfId="6261" xr:uid="{00000000-0005-0000-0000-00007C180000}"/>
    <cellStyle name="Standard 6 2 9 2 3 2 2" xfId="6262" xr:uid="{00000000-0005-0000-0000-00007D180000}"/>
    <cellStyle name="Standard 6 2 9 2 3 2 2 2" xfId="18223" xr:uid="{A55DA6A3-900C-4256-8076-D9C9B4707197}"/>
    <cellStyle name="Standard 6 2 9 2 3 2 3" xfId="18222" xr:uid="{194FEA75-0A63-4285-8FF8-1ED69C636D97}"/>
    <cellStyle name="Standard 6 2 9 2 3 3" xfId="6263" xr:uid="{00000000-0005-0000-0000-00007E180000}"/>
    <cellStyle name="Standard 6 2 9 2 3 3 2" xfId="18224" xr:uid="{78BB8088-9889-48E2-A1A5-5A8FF51158C9}"/>
    <cellStyle name="Standard 6 2 9 2 3 4" xfId="18221" xr:uid="{A590605C-D026-488E-ADA7-42E6CF4D37ED}"/>
    <cellStyle name="Standard 6 2 9 2 4" xfId="6264" xr:uid="{00000000-0005-0000-0000-00007F180000}"/>
    <cellStyle name="Standard 6 2 9 2 4 2" xfId="6265" xr:uid="{00000000-0005-0000-0000-000080180000}"/>
    <cellStyle name="Standard 6 2 9 2 4 2 2" xfId="6266" xr:uid="{00000000-0005-0000-0000-000081180000}"/>
    <cellStyle name="Standard 6 2 9 2 4 2 2 2" xfId="18227" xr:uid="{51E23825-922B-48D6-8239-D608FC7404D6}"/>
    <cellStyle name="Standard 6 2 9 2 4 2 3" xfId="18226" xr:uid="{659821E5-127A-43C5-BB36-97F8A21DC621}"/>
    <cellStyle name="Standard 6 2 9 2 4 3" xfId="6267" xr:uid="{00000000-0005-0000-0000-000082180000}"/>
    <cellStyle name="Standard 6 2 9 2 4 3 2" xfId="18228" xr:uid="{9B113CEB-2E12-4FCE-BFF2-7273E5CB6C60}"/>
    <cellStyle name="Standard 6 2 9 2 4 4" xfId="18225" xr:uid="{54D1F6DB-D5B6-46D5-8743-358C8092BDB4}"/>
    <cellStyle name="Standard 6 2 9 2 5" xfId="6268" xr:uid="{00000000-0005-0000-0000-000083180000}"/>
    <cellStyle name="Standard 6 2 9 2 5 2" xfId="6269" xr:uid="{00000000-0005-0000-0000-000084180000}"/>
    <cellStyle name="Standard 6 2 9 2 5 2 2" xfId="6270" xr:uid="{00000000-0005-0000-0000-000085180000}"/>
    <cellStyle name="Standard 6 2 9 2 5 2 2 2" xfId="18231" xr:uid="{2BECDF0F-2456-4A79-AF17-6DDF3B30AC96}"/>
    <cellStyle name="Standard 6 2 9 2 5 2 3" xfId="18230" xr:uid="{DCEFFF2F-DC25-4C8A-98AE-19FC43681EA9}"/>
    <cellStyle name="Standard 6 2 9 2 5 3" xfId="6271" xr:uid="{00000000-0005-0000-0000-000086180000}"/>
    <cellStyle name="Standard 6 2 9 2 5 3 2" xfId="18232" xr:uid="{41137309-D224-4D0E-8EC9-A9D9D48EABF0}"/>
    <cellStyle name="Standard 6 2 9 2 5 4" xfId="18229" xr:uid="{03759754-3464-4CA4-A2F5-9B6366B487C9}"/>
    <cellStyle name="Standard 6 2 9 2 6" xfId="6272" xr:uid="{00000000-0005-0000-0000-000087180000}"/>
    <cellStyle name="Standard 6 2 9 2 6 2" xfId="6273" xr:uid="{00000000-0005-0000-0000-000088180000}"/>
    <cellStyle name="Standard 6 2 9 2 6 2 2" xfId="6274" xr:uid="{00000000-0005-0000-0000-000089180000}"/>
    <cellStyle name="Standard 6 2 9 2 6 2 2 2" xfId="18235" xr:uid="{FF2CE870-BDD5-493A-BDD3-E17E6D48E171}"/>
    <cellStyle name="Standard 6 2 9 2 6 2 3" xfId="18234" xr:uid="{5A417B3C-1758-4BD4-B23A-937C866D8A6E}"/>
    <cellStyle name="Standard 6 2 9 2 6 3" xfId="6275" xr:uid="{00000000-0005-0000-0000-00008A180000}"/>
    <cellStyle name="Standard 6 2 9 2 6 3 2" xfId="18236" xr:uid="{2D3ADC5A-8EA3-4FE5-97C7-DEC2F59DFF97}"/>
    <cellStyle name="Standard 6 2 9 2 6 4" xfId="18233" xr:uid="{9384EB95-9E57-4587-B0C1-65AE74171C29}"/>
    <cellStyle name="Standard 6 2 9 2 7" xfId="6276" xr:uid="{00000000-0005-0000-0000-00008B180000}"/>
    <cellStyle name="Standard 6 2 9 2 7 2" xfId="6277" xr:uid="{00000000-0005-0000-0000-00008C180000}"/>
    <cellStyle name="Standard 6 2 9 2 7 2 2" xfId="6278" xr:uid="{00000000-0005-0000-0000-00008D180000}"/>
    <cellStyle name="Standard 6 2 9 2 7 2 2 2" xfId="18239" xr:uid="{632420DA-4CA9-4D6F-9DCF-87C760FDF55F}"/>
    <cellStyle name="Standard 6 2 9 2 7 2 3" xfId="18238" xr:uid="{4EB929BE-6B14-4BCB-96ED-1FE11D5850DA}"/>
    <cellStyle name="Standard 6 2 9 2 7 3" xfId="6279" xr:uid="{00000000-0005-0000-0000-00008E180000}"/>
    <cellStyle name="Standard 6 2 9 2 7 3 2" xfId="18240" xr:uid="{DB467F23-FA4C-40AF-8670-FE39AB0E11B2}"/>
    <cellStyle name="Standard 6 2 9 2 7 4" xfId="18237" xr:uid="{22104CD1-D4C3-4A07-B9C6-1C5757EB981F}"/>
    <cellStyle name="Standard 6 2 9 2 8" xfId="6280" xr:uid="{00000000-0005-0000-0000-00008F180000}"/>
    <cellStyle name="Standard 6 2 9 2 8 2" xfId="6281" xr:uid="{00000000-0005-0000-0000-000090180000}"/>
    <cellStyle name="Standard 6 2 9 2 8 2 2" xfId="18242" xr:uid="{93E52DF5-5AB3-4786-89E4-29E9C540AE37}"/>
    <cellStyle name="Standard 6 2 9 2 8 3" xfId="18241" xr:uid="{0F6C6766-4D19-4372-8FDB-3C3901CFD456}"/>
    <cellStyle name="Standard 6 2 9 2 9" xfId="6282" xr:uid="{00000000-0005-0000-0000-000091180000}"/>
    <cellStyle name="Standard 6 2 9 2 9 2" xfId="18243" xr:uid="{D48C0635-7B20-46A3-B657-912D9799D70D}"/>
    <cellStyle name="Standard 6 2 9 3" xfId="6283" xr:uid="{00000000-0005-0000-0000-000092180000}"/>
    <cellStyle name="Standard 6 2 9 3 2" xfId="6284" xr:uid="{00000000-0005-0000-0000-000093180000}"/>
    <cellStyle name="Standard 6 2 9 3 2 2" xfId="6285" xr:uid="{00000000-0005-0000-0000-000094180000}"/>
    <cellStyle name="Standard 6 2 9 3 2 2 2" xfId="18246" xr:uid="{D6AD8479-F805-4321-8D9C-5A13DDA559E3}"/>
    <cellStyle name="Standard 6 2 9 3 2 3" xfId="18245" xr:uid="{28CF19F6-3622-4139-8497-00012A7EDE2A}"/>
    <cellStyle name="Standard 6 2 9 3 3" xfId="6286" xr:uid="{00000000-0005-0000-0000-000095180000}"/>
    <cellStyle name="Standard 6 2 9 3 3 2" xfId="18247" xr:uid="{48508BCB-B61D-45C7-BD55-D77EA3A5718E}"/>
    <cellStyle name="Standard 6 2 9 3 4" xfId="18244" xr:uid="{CC7D8A76-E2F2-4BE4-9FD5-A68E359552F0}"/>
    <cellStyle name="Standard 6 2 9 4" xfId="6287" xr:uid="{00000000-0005-0000-0000-000096180000}"/>
    <cellStyle name="Standard 6 2 9 4 2" xfId="6288" xr:uid="{00000000-0005-0000-0000-000097180000}"/>
    <cellStyle name="Standard 6 2 9 4 2 2" xfId="6289" xr:uid="{00000000-0005-0000-0000-000098180000}"/>
    <cellStyle name="Standard 6 2 9 4 2 2 2" xfId="18250" xr:uid="{B098E43C-33E3-42FE-8FB3-037F954DA7EF}"/>
    <cellStyle name="Standard 6 2 9 4 2 3" xfId="18249" xr:uid="{1B668592-9E7B-4F68-BAD4-F600FCC023D7}"/>
    <cellStyle name="Standard 6 2 9 4 3" xfId="6290" xr:uid="{00000000-0005-0000-0000-000099180000}"/>
    <cellStyle name="Standard 6 2 9 4 3 2" xfId="18251" xr:uid="{DF381C6F-817B-40EC-8179-6FEF72BE1DD4}"/>
    <cellStyle name="Standard 6 2 9 4 4" xfId="18248" xr:uid="{EBC5D7BC-E69A-41B7-BF5A-18BE36833F38}"/>
    <cellStyle name="Standard 6 2 9 5" xfId="6291" xr:uid="{00000000-0005-0000-0000-00009A180000}"/>
    <cellStyle name="Standard 6 2 9 5 2" xfId="6292" xr:uid="{00000000-0005-0000-0000-00009B180000}"/>
    <cellStyle name="Standard 6 2 9 5 2 2" xfId="6293" xr:uid="{00000000-0005-0000-0000-00009C180000}"/>
    <cellStyle name="Standard 6 2 9 5 2 2 2" xfId="18254" xr:uid="{FC7A45C8-6E71-49D3-8DD2-D1003D073F08}"/>
    <cellStyle name="Standard 6 2 9 5 2 3" xfId="18253" xr:uid="{8B9DF6DA-2DE2-4B27-B804-CD78664E8BE2}"/>
    <cellStyle name="Standard 6 2 9 5 3" xfId="6294" xr:uid="{00000000-0005-0000-0000-00009D180000}"/>
    <cellStyle name="Standard 6 2 9 5 3 2" xfId="18255" xr:uid="{68FD3DEE-0FFF-43FC-9DFA-69330BDEE4A1}"/>
    <cellStyle name="Standard 6 2 9 5 4" xfId="18252" xr:uid="{1D4E947C-9BCB-49F3-8E5E-DF3E09EC8B53}"/>
    <cellStyle name="Standard 6 2 9 6" xfId="6295" xr:uid="{00000000-0005-0000-0000-00009E180000}"/>
    <cellStyle name="Standard 6 2 9 6 2" xfId="6296" xr:uid="{00000000-0005-0000-0000-00009F180000}"/>
    <cellStyle name="Standard 6 2 9 6 2 2" xfId="6297" xr:uid="{00000000-0005-0000-0000-0000A0180000}"/>
    <cellStyle name="Standard 6 2 9 6 2 2 2" xfId="18258" xr:uid="{FEB68835-A6B7-4F55-B2F6-B8B98D6E6EE3}"/>
    <cellStyle name="Standard 6 2 9 6 2 3" xfId="18257" xr:uid="{F58EB770-B6BC-4228-B223-372F646B16D8}"/>
    <cellStyle name="Standard 6 2 9 6 3" xfId="6298" xr:uid="{00000000-0005-0000-0000-0000A1180000}"/>
    <cellStyle name="Standard 6 2 9 6 3 2" xfId="18259" xr:uid="{D44F915F-F820-40FC-8593-11E05CEAFEFF}"/>
    <cellStyle name="Standard 6 2 9 6 4" xfId="18256" xr:uid="{C0BE80A0-68F0-4C2A-87EA-7CEFBED30875}"/>
    <cellStyle name="Standard 6 2 9 7" xfId="6299" xr:uid="{00000000-0005-0000-0000-0000A2180000}"/>
    <cellStyle name="Standard 6 2 9 7 2" xfId="6300" xr:uid="{00000000-0005-0000-0000-0000A3180000}"/>
    <cellStyle name="Standard 6 2 9 7 2 2" xfId="6301" xr:uid="{00000000-0005-0000-0000-0000A4180000}"/>
    <cellStyle name="Standard 6 2 9 7 2 2 2" xfId="18262" xr:uid="{21980015-E034-4DED-926F-B719BDF4DB8D}"/>
    <cellStyle name="Standard 6 2 9 7 2 3" xfId="18261" xr:uid="{E879D83B-A642-40F0-B79B-E9FB56903B21}"/>
    <cellStyle name="Standard 6 2 9 7 3" xfId="6302" xr:uid="{00000000-0005-0000-0000-0000A5180000}"/>
    <cellStyle name="Standard 6 2 9 7 3 2" xfId="18263" xr:uid="{FC3631AC-714D-423C-B8F7-76D464D86185}"/>
    <cellStyle name="Standard 6 2 9 7 4" xfId="18260" xr:uid="{526F2ABD-8A22-4300-8209-6C0D213354D6}"/>
    <cellStyle name="Standard 6 2 9 8" xfId="6303" xr:uid="{00000000-0005-0000-0000-0000A6180000}"/>
    <cellStyle name="Standard 6 2 9 8 2" xfId="6304" xr:uid="{00000000-0005-0000-0000-0000A7180000}"/>
    <cellStyle name="Standard 6 2 9 8 2 2" xfId="6305" xr:uid="{00000000-0005-0000-0000-0000A8180000}"/>
    <cellStyle name="Standard 6 2 9 8 2 2 2" xfId="18266" xr:uid="{0ED91016-6C34-4234-9CA4-06E233F58041}"/>
    <cellStyle name="Standard 6 2 9 8 2 3" xfId="18265" xr:uid="{03A8F822-2776-4BE6-BE21-CF837EBCB7EA}"/>
    <cellStyle name="Standard 6 2 9 8 3" xfId="6306" xr:uid="{00000000-0005-0000-0000-0000A9180000}"/>
    <cellStyle name="Standard 6 2 9 8 3 2" xfId="18267" xr:uid="{543C7975-4CE1-47D7-9038-89EC9468441C}"/>
    <cellStyle name="Standard 6 2 9 8 4" xfId="18264" xr:uid="{DDA98390-38F5-40C7-89D2-CF11356D8F35}"/>
    <cellStyle name="Standard 6 2 9 9" xfId="6307" xr:uid="{00000000-0005-0000-0000-0000AA180000}"/>
    <cellStyle name="Standard 6 2 9 9 2" xfId="6308" xr:uid="{00000000-0005-0000-0000-0000AB180000}"/>
    <cellStyle name="Standard 6 2 9 9 2 2" xfId="18269" xr:uid="{061C9893-DFE0-4909-B510-A6EFE2123596}"/>
    <cellStyle name="Standard 6 2 9 9 3" xfId="18268" xr:uid="{E7AA4C99-2534-4B30-BD0B-8B537D1EFA83}"/>
    <cellStyle name="Standard 6 20" xfId="6309" xr:uid="{00000000-0005-0000-0000-0000AC180000}"/>
    <cellStyle name="Standard 6 20 2" xfId="6310" xr:uid="{00000000-0005-0000-0000-0000AD180000}"/>
    <cellStyle name="Standard 6 20 2 2" xfId="6311" xr:uid="{00000000-0005-0000-0000-0000AE180000}"/>
    <cellStyle name="Standard 6 20 2 2 2" xfId="18272" xr:uid="{A9D4FF88-4CF7-48BC-AB46-17031F2A7C70}"/>
    <cellStyle name="Standard 6 20 2 3" xfId="18271" xr:uid="{B5B426DE-2F44-4FA7-87A2-D5EDEE933BF2}"/>
    <cellStyle name="Standard 6 20 3" xfId="6312" xr:uid="{00000000-0005-0000-0000-0000AF180000}"/>
    <cellStyle name="Standard 6 20 3 2" xfId="18273" xr:uid="{FFAFDC71-0CED-40C3-8B96-3AF7015CF3F8}"/>
    <cellStyle name="Standard 6 20 4" xfId="18270" xr:uid="{A2BEBED4-3D07-4694-84D8-FF81409730BF}"/>
    <cellStyle name="Standard 6 21" xfId="6313" xr:uid="{00000000-0005-0000-0000-0000B0180000}"/>
    <cellStyle name="Standard 6 21 2" xfId="6314" xr:uid="{00000000-0005-0000-0000-0000B1180000}"/>
    <cellStyle name="Standard 6 21 2 2" xfId="6315" xr:uid="{00000000-0005-0000-0000-0000B2180000}"/>
    <cellStyle name="Standard 6 21 2 2 2" xfId="18276" xr:uid="{3B747DE1-6A44-40B0-BB78-0ED65387D00C}"/>
    <cellStyle name="Standard 6 21 2 3" xfId="18275" xr:uid="{111E5D8F-22AB-4EBB-9C8B-9098A3AB3C9C}"/>
    <cellStyle name="Standard 6 21 3" xfId="6316" xr:uid="{00000000-0005-0000-0000-0000B3180000}"/>
    <cellStyle name="Standard 6 21 3 2" xfId="18277" xr:uid="{7EAF62F2-0CCB-4930-83FF-FA44CED469CE}"/>
    <cellStyle name="Standard 6 21 4" xfId="18274" xr:uid="{BE5C7ECB-7548-43ED-8276-D1F4D2143994}"/>
    <cellStyle name="Standard 6 22" xfId="6317" xr:uid="{00000000-0005-0000-0000-0000B4180000}"/>
    <cellStyle name="Standard 6 22 2" xfId="6318" xr:uid="{00000000-0005-0000-0000-0000B5180000}"/>
    <cellStyle name="Standard 6 22 2 2" xfId="6319" xr:uid="{00000000-0005-0000-0000-0000B6180000}"/>
    <cellStyle name="Standard 6 22 2 2 2" xfId="18280" xr:uid="{4C5DAF2A-C6B4-44DF-95F8-0FA94DEE14C1}"/>
    <cellStyle name="Standard 6 22 2 3" xfId="18279" xr:uid="{85F5AD5E-FD31-4C90-BD9B-C3CC9AAC63CE}"/>
    <cellStyle name="Standard 6 22 3" xfId="6320" xr:uid="{00000000-0005-0000-0000-0000B7180000}"/>
    <cellStyle name="Standard 6 22 3 2" xfId="18281" xr:uid="{C0FC1492-CDBF-425D-AD22-BA66F78DE6AF}"/>
    <cellStyle name="Standard 6 22 4" xfId="18278" xr:uid="{F773E65A-868E-4971-99B9-F22A7E59E6D9}"/>
    <cellStyle name="Standard 6 23" xfId="6321" xr:uid="{00000000-0005-0000-0000-0000B8180000}"/>
    <cellStyle name="Standard 6 23 2" xfId="6322" xr:uid="{00000000-0005-0000-0000-0000B9180000}"/>
    <cellStyle name="Standard 6 23 2 2" xfId="6323" xr:uid="{00000000-0005-0000-0000-0000BA180000}"/>
    <cellStyle name="Standard 6 23 2 2 2" xfId="18284" xr:uid="{22D832C2-75D8-4934-B027-30313BD81558}"/>
    <cellStyle name="Standard 6 23 2 3" xfId="18283" xr:uid="{70AAD1F6-6789-45F2-85DC-1482A962AEFB}"/>
    <cellStyle name="Standard 6 23 3" xfId="6324" xr:uid="{00000000-0005-0000-0000-0000BB180000}"/>
    <cellStyle name="Standard 6 23 3 2" xfId="18285" xr:uid="{5CF5C3F6-EC08-4514-8515-F398FF6180CE}"/>
    <cellStyle name="Standard 6 23 4" xfId="18282" xr:uid="{DE8B37D8-5079-4D08-8C24-3E2FF78AC9CC}"/>
    <cellStyle name="Standard 6 24" xfId="6325" xr:uid="{00000000-0005-0000-0000-0000BC180000}"/>
    <cellStyle name="Standard 6 24 2" xfId="6326" xr:uid="{00000000-0005-0000-0000-0000BD180000}"/>
    <cellStyle name="Standard 6 24 2 2" xfId="6327" xr:uid="{00000000-0005-0000-0000-0000BE180000}"/>
    <cellStyle name="Standard 6 24 2 2 2" xfId="18288" xr:uid="{C5C960E4-D4CD-40CC-995B-5D97CD28C322}"/>
    <cellStyle name="Standard 6 24 2 3" xfId="18287" xr:uid="{F0498599-E8DE-442C-9C8A-C1DB96C0F4C1}"/>
    <cellStyle name="Standard 6 24 3" xfId="6328" xr:uid="{00000000-0005-0000-0000-0000BF180000}"/>
    <cellStyle name="Standard 6 24 3 2" xfId="18289" xr:uid="{78ED20B0-8651-40E8-90F0-5DF78DE91DE3}"/>
    <cellStyle name="Standard 6 24 4" xfId="18286" xr:uid="{FF68710B-DC82-4F3C-8D3E-4C725E4433E3}"/>
    <cellStyle name="Standard 6 25" xfId="6329" xr:uid="{00000000-0005-0000-0000-0000C0180000}"/>
    <cellStyle name="Standard 6 25 2" xfId="6330" xr:uid="{00000000-0005-0000-0000-0000C1180000}"/>
    <cellStyle name="Standard 6 25 2 2" xfId="18291" xr:uid="{3572CB12-973F-42C0-9B14-D216ACABEE2F}"/>
    <cellStyle name="Standard 6 25 3" xfId="18290" xr:uid="{70144D61-E1A7-4E33-B062-091E9BF1899E}"/>
    <cellStyle name="Standard 6 26" xfId="6331" xr:uid="{00000000-0005-0000-0000-0000C2180000}"/>
    <cellStyle name="Standard 6 26 2" xfId="18292" xr:uid="{A5999180-FDC2-4AB4-B7F6-DB563FCD4BB5}"/>
    <cellStyle name="Standard 6 27" xfId="6332" xr:uid="{00000000-0005-0000-0000-0000C3180000}"/>
    <cellStyle name="Standard 6 27 2" xfId="18293" xr:uid="{44E3BB5B-C6A7-4C83-A9AA-7EA4464238A4}"/>
    <cellStyle name="Standard 6 28" xfId="12161" xr:uid="{162482B8-0E8A-4FBB-9BC2-010418759A42}"/>
    <cellStyle name="Standard 6 3" xfId="6333" xr:uid="{00000000-0005-0000-0000-0000C4180000}"/>
    <cellStyle name="Standard 6 3 10" xfId="6334" xr:uid="{00000000-0005-0000-0000-0000C5180000}"/>
    <cellStyle name="Standard 6 3 10 10" xfId="6335" xr:uid="{00000000-0005-0000-0000-0000C6180000}"/>
    <cellStyle name="Standard 6 3 10 10 2" xfId="18296" xr:uid="{7206679C-9C8E-419F-8108-46E8E24E0B7A}"/>
    <cellStyle name="Standard 6 3 10 11" xfId="18295" xr:uid="{71B1A3BA-118E-45B7-909E-945F74E8EA97}"/>
    <cellStyle name="Standard 6 3 10 2" xfId="6336" xr:uid="{00000000-0005-0000-0000-0000C7180000}"/>
    <cellStyle name="Standard 6 3 10 2 10" xfId="18297" xr:uid="{F20281CA-2C3D-44DE-AE12-63C1E323EBE3}"/>
    <cellStyle name="Standard 6 3 10 2 2" xfId="6337" xr:uid="{00000000-0005-0000-0000-0000C8180000}"/>
    <cellStyle name="Standard 6 3 10 2 2 2" xfId="6338" xr:uid="{00000000-0005-0000-0000-0000C9180000}"/>
    <cellStyle name="Standard 6 3 10 2 2 2 2" xfId="6339" xr:uid="{00000000-0005-0000-0000-0000CA180000}"/>
    <cellStyle name="Standard 6 3 10 2 2 2 2 2" xfId="18300" xr:uid="{A1F3F507-A50F-43F1-8BFC-3DA26F573061}"/>
    <cellStyle name="Standard 6 3 10 2 2 2 3" xfId="18299" xr:uid="{C6F02E94-2BC9-4812-833F-8F56DBB893CF}"/>
    <cellStyle name="Standard 6 3 10 2 2 3" xfId="6340" xr:uid="{00000000-0005-0000-0000-0000CB180000}"/>
    <cellStyle name="Standard 6 3 10 2 2 3 2" xfId="18301" xr:uid="{80EC3412-C7C5-41CD-99E2-32F67E2D0153}"/>
    <cellStyle name="Standard 6 3 10 2 2 4" xfId="18298" xr:uid="{288797AD-DCA0-42D2-9878-B5A58E66CF2A}"/>
    <cellStyle name="Standard 6 3 10 2 3" xfId="6341" xr:uid="{00000000-0005-0000-0000-0000CC180000}"/>
    <cellStyle name="Standard 6 3 10 2 3 2" xfId="6342" xr:uid="{00000000-0005-0000-0000-0000CD180000}"/>
    <cellStyle name="Standard 6 3 10 2 3 2 2" xfId="6343" xr:uid="{00000000-0005-0000-0000-0000CE180000}"/>
    <cellStyle name="Standard 6 3 10 2 3 2 2 2" xfId="18304" xr:uid="{7ABC5B3B-47E9-438C-A350-38D9704C324C}"/>
    <cellStyle name="Standard 6 3 10 2 3 2 3" xfId="18303" xr:uid="{F79AF3AB-D33E-4139-AD31-D85619937148}"/>
    <cellStyle name="Standard 6 3 10 2 3 3" xfId="6344" xr:uid="{00000000-0005-0000-0000-0000CF180000}"/>
    <cellStyle name="Standard 6 3 10 2 3 3 2" xfId="18305" xr:uid="{C0DC1378-A100-4941-A5CC-841AC1C1CD6F}"/>
    <cellStyle name="Standard 6 3 10 2 3 4" xfId="18302" xr:uid="{E9675EEE-BA3E-45D6-BEE9-97E4696AEF9D}"/>
    <cellStyle name="Standard 6 3 10 2 4" xfId="6345" xr:uid="{00000000-0005-0000-0000-0000D0180000}"/>
    <cellStyle name="Standard 6 3 10 2 4 2" xfId="6346" xr:uid="{00000000-0005-0000-0000-0000D1180000}"/>
    <cellStyle name="Standard 6 3 10 2 4 2 2" xfId="6347" xr:uid="{00000000-0005-0000-0000-0000D2180000}"/>
    <cellStyle name="Standard 6 3 10 2 4 2 2 2" xfId="18308" xr:uid="{48C2E01B-8415-43E1-ABA4-BC00C797F1CC}"/>
    <cellStyle name="Standard 6 3 10 2 4 2 3" xfId="18307" xr:uid="{8945CA9F-08C7-469A-910E-6E46F1272671}"/>
    <cellStyle name="Standard 6 3 10 2 4 3" xfId="6348" xr:uid="{00000000-0005-0000-0000-0000D3180000}"/>
    <cellStyle name="Standard 6 3 10 2 4 3 2" xfId="18309" xr:uid="{C890638F-CBDF-4382-9B0E-77ECCF24FE03}"/>
    <cellStyle name="Standard 6 3 10 2 4 4" xfId="18306" xr:uid="{C6656D21-9CD6-4098-B130-227E3C6D5D39}"/>
    <cellStyle name="Standard 6 3 10 2 5" xfId="6349" xr:uid="{00000000-0005-0000-0000-0000D4180000}"/>
    <cellStyle name="Standard 6 3 10 2 5 2" xfId="6350" xr:uid="{00000000-0005-0000-0000-0000D5180000}"/>
    <cellStyle name="Standard 6 3 10 2 5 2 2" xfId="6351" xr:uid="{00000000-0005-0000-0000-0000D6180000}"/>
    <cellStyle name="Standard 6 3 10 2 5 2 2 2" xfId="18312" xr:uid="{C8898133-18E8-48FE-9100-92D8FC3528AE}"/>
    <cellStyle name="Standard 6 3 10 2 5 2 3" xfId="18311" xr:uid="{B4997D05-D04A-47D6-926E-F35A2ACEDF8D}"/>
    <cellStyle name="Standard 6 3 10 2 5 3" xfId="6352" xr:uid="{00000000-0005-0000-0000-0000D7180000}"/>
    <cellStyle name="Standard 6 3 10 2 5 3 2" xfId="18313" xr:uid="{188CA290-FE22-4B4B-9BC0-251B1AB2A92E}"/>
    <cellStyle name="Standard 6 3 10 2 5 4" xfId="18310" xr:uid="{C01D7CE9-6DD1-4EB9-866D-A04DCED42015}"/>
    <cellStyle name="Standard 6 3 10 2 6" xfId="6353" xr:uid="{00000000-0005-0000-0000-0000D8180000}"/>
    <cellStyle name="Standard 6 3 10 2 6 2" xfId="6354" xr:uid="{00000000-0005-0000-0000-0000D9180000}"/>
    <cellStyle name="Standard 6 3 10 2 6 2 2" xfId="6355" xr:uid="{00000000-0005-0000-0000-0000DA180000}"/>
    <cellStyle name="Standard 6 3 10 2 6 2 2 2" xfId="18316" xr:uid="{EEAA1C3B-FB66-4219-B6FA-E3BF5107BC6F}"/>
    <cellStyle name="Standard 6 3 10 2 6 2 3" xfId="18315" xr:uid="{D16F9219-D739-45B4-ADC7-B8DCD537E1E6}"/>
    <cellStyle name="Standard 6 3 10 2 6 3" xfId="6356" xr:uid="{00000000-0005-0000-0000-0000DB180000}"/>
    <cellStyle name="Standard 6 3 10 2 6 3 2" xfId="18317" xr:uid="{B2CFC341-662B-4D5C-8EE8-66EA9621A6BF}"/>
    <cellStyle name="Standard 6 3 10 2 6 4" xfId="18314" xr:uid="{CDA4DC6D-9E96-4B86-8591-DCCF9FC1193B}"/>
    <cellStyle name="Standard 6 3 10 2 7" xfId="6357" xr:uid="{00000000-0005-0000-0000-0000DC180000}"/>
    <cellStyle name="Standard 6 3 10 2 7 2" xfId="6358" xr:uid="{00000000-0005-0000-0000-0000DD180000}"/>
    <cellStyle name="Standard 6 3 10 2 7 2 2" xfId="6359" xr:uid="{00000000-0005-0000-0000-0000DE180000}"/>
    <cellStyle name="Standard 6 3 10 2 7 2 2 2" xfId="18320" xr:uid="{A2855FFA-6319-49D6-8AD8-82DAFE08F0C8}"/>
    <cellStyle name="Standard 6 3 10 2 7 2 3" xfId="18319" xr:uid="{A488C0AC-A5C3-4909-A318-3BDC61487877}"/>
    <cellStyle name="Standard 6 3 10 2 7 3" xfId="6360" xr:uid="{00000000-0005-0000-0000-0000DF180000}"/>
    <cellStyle name="Standard 6 3 10 2 7 3 2" xfId="18321" xr:uid="{B5CF1F92-200D-44F2-868C-A6D34F452696}"/>
    <cellStyle name="Standard 6 3 10 2 7 4" xfId="18318" xr:uid="{8BAB34BA-3A41-4891-A260-141104642672}"/>
    <cellStyle name="Standard 6 3 10 2 8" xfId="6361" xr:uid="{00000000-0005-0000-0000-0000E0180000}"/>
    <cellStyle name="Standard 6 3 10 2 8 2" xfId="6362" xr:uid="{00000000-0005-0000-0000-0000E1180000}"/>
    <cellStyle name="Standard 6 3 10 2 8 2 2" xfId="18323" xr:uid="{58E1DFA3-2DBA-4A9D-AF36-AB0286121D71}"/>
    <cellStyle name="Standard 6 3 10 2 8 3" xfId="18322" xr:uid="{5F39557A-0510-4EC8-8065-021423796BE4}"/>
    <cellStyle name="Standard 6 3 10 2 9" xfId="6363" xr:uid="{00000000-0005-0000-0000-0000E2180000}"/>
    <cellStyle name="Standard 6 3 10 2 9 2" xfId="18324" xr:uid="{D927C44C-1592-4583-A018-A7FEE3C80462}"/>
    <cellStyle name="Standard 6 3 10 3" xfId="6364" xr:uid="{00000000-0005-0000-0000-0000E3180000}"/>
    <cellStyle name="Standard 6 3 10 3 2" xfId="6365" xr:uid="{00000000-0005-0000-0000-0000E4180000}"/>
    <cellStyle name="Standard 6 3 10 3 2 2" xfId="6366" xr:uid="{00000000-0005-0000-0000-0000E5180000}"/>
    <cellStyle name="Standard 6 3 10 3 2 2 2" xfId="18327" xr:uid="{252B93C9-9738-4F0F-AEF9-1F29D88C27E6}"/>
    <cellStyle name="Standard 6 3 10 3 2 3" xfId="18326" xr:uid="{C6A84636-95E9-4348-BECE-0311B311571B}"/>
    <cellStyle name="Standard 6 3 10 3 3" xfId="6367" xr:uid="{00000000-0005-0000-0000-0000E6180000}"/>
    <cellStyle name="Standard 6 3 10 3 3 2" xfId="18328" xr:uid="{1C7BA253-F4C6-4574-8789-DA1700156001}"/>
    <cellStyle name="Standard 6 3 10 3 4" xfId="18325" xr:uid="{EA3524C1-4FAD-47DE-B613-26D83264E82A}"/>
    <cellStyle name="Standard 6 3 10 4" xfId="6368" xr:uid="{00000000-0005-0000-0000-0000E7180000}"/>
    <cellStyle name="Standard 6 3 10 4 2" xfId="6369" xr:uid="{00000000-0005-0000-0000-0000E8180000}"/>
    <cellStyle name="Standard 6 3 10 4 2 2" xfId="6370" xr:uid="{00000000-0005-0000-0000-0000E9180000}"/>
    <cellStyle name="Standard 6 3 10 4 2 2 2" xfId="18331" xr:uid="{DD12EE03-2238-4422-99AF-19700EA3F646}"/>
    <cellStyle name="Standard 6 3 10 4 2 3" xfId="18330" xr:uid="{1B100B02-6222-4084-8689-FF6BC7189B79}"/>
    <cellStyle name="Standard 6 3 10 4 3" xfId="6371" xr:uid="{00000000-0005-0000-0000-0000EA180000}"/>
    <cellStyle name="Standard 6 3 10 4 3 2" xfId="18332" xr:uid="{886490E5-F4BB-4F0C-87F3-B16C4FD36F75}"/>
    <cellStyle name="Standard 6 3 10 4 4" xfId="18329" xr:uid="{16FEBA07-4CFC-46A0-8F76-850A80FD574E}"/>
    <cellStyle name="Standard 6 3 10 5" xfId="6372" xr:uid="{00000000-0005-0000-0000-0000EB180000}"/>
    <cellStyle name="Standard 6 3 10 5 2" xfId="6373" xr:uid="{00000000-0005-0000-0000-0000EC180000}"/>
    <cellStyle name="Standard 6 3 10 5 2 2" xfId="6374" xr:uid="{00000000-0005-0000-0000-0000ED180000}"/>
    <cellStyle name="Standard 6 3 10 5 2 2 2" xfId="18335" xr:uid="{97B0C01F-CB90-43EA-A72C-E8EC0E2197C9}"/>
    <cellStyle name="Standard 6 3 10 5 2 3" xfId="18334" xr:uid="{CE6FB5EC-3D05-4202-8EB2-013C4DF795EE}"/>
    <cellStyle name="Standard 6 3 10 5 3" xfId="6375" xr:uid="{00000000-0005-0000-0000-0000EE180000}"/>
    <cellStyle name="Standard 6 3 10 5 3 2" xfId="18336" xr:uid="{FC1EA5BA-1424-4568-8597-C40CE5592570}"/>
    <cellStyle name="Standard 6 3 10 5 4" xfId="18333" xr:uid="{F01D261B-6AF7-45BE-A1B2-31130503BF5C}"/>
    <cellStyle name="Standard 6 3 10 6" xfId="6376" xr:uid="{00000000-0005-0000-0000-0000EF180000}"/>
    <cellStyle name="Standard 6 3 10 6 2" xfId="6377" xr:uid="{00000000-0005-0000-0000-0000F0180000}"/>
    <cellStyle name="Standard 6 3 10 6 2 2" xfId="6378" xr:uid="{00000000-0005-0000-0000-0000F1180000}"/>
    <cellStyle name="Standard 6 3 10 6 2 2 2" xfId="18339" xr:uid="{42AAC8B3-79CC-4512-B82A-3EB2CEE5FED9}"/>
    <cellStyle name="Standard 6 3 10 6 2 3" xfId="18338" xr:uid="{31D98699-49DF-4A76-B3C0-59B68C2B047D}"/>
    <cellStyle name="Standard 6 3 10 6 3" xfId="6379" xr:uid="{00000000-0005-0000-0000-0000F2180000}"/>
    <cellStyle name="Standard 6 3 10 6 3 2" xfId="18340" xr:uid="{A813B413-E30A-4F82-B32F-DA04D8F4642F}"/>
    <cellStyle name="Standard 6 3 10 6 4" xfId="18337" xr:uid="{A1EABB83-88BC-4ADD-B4B6-9166D3EB36D9}"/>
    <cellStyle name="Standard 6 3 10 7" xfId="6380" xr:uid="{00000000-0005-0000-0000-0000F3180000}"/>
    <cellStyle name="Standard 6 3 10 7 2" xfId="6381" xr:uid="{00000000-0005-0000-0000-0000F4180000}"/>
    <cellStyle name="Standard 6 3 10 7 2 2" xfId="6382" xr:uid="{00000000-0005-0000-0000-0000F5180000}"/>
    <cellStyle name="Standard 6 3 10 7 2 2 2" xfId="18343" xr:uid="{19EAB604-9209-4084-B97D-23DAF9A63BA3}"/>
    <cellStyle name="Standard 6 3 10 7 2 3" xfId="18342" xr:uid="{D0D36C2B-4085-4429-A137-8A8A8CAEA381}"/>
    <cellStyle name="Standard 6 3 10 7 3" xfId="6383" xr:uid="{00000000-0005-0000-0000-0000F6180000}"/>
    <cellStyle name="Standard 6 3 10 7 3 2" xfId="18344" xr:uid="{A19724AF-D407-4132-93C4-0989CCB54553}"/>
    <cellStyle name="Standard 6 3 10 7 4" xfId="18341" xr:uid="{7E013F0A-AD7E-46D6-96F0-33CBC3F4CABD}"/>
    <cellStyle name="Standard 6 3 10 8" xfId="6384" xr:uid="{00000000-0005-0000-0000-0000F7180000}"/>
    <cellStyle name="Standard 6 3 10 8 2" xfId="6385" xr:uid="{00000000-0005-0000-0000-0000F8180000}"/>
    <cellStyle name="Standard 6 3 10 8 2 2" xfId="6386" xr:uid="{00000000-0005-0000-0000-0000F9180000}"/>
    <cellStyle name="Standard 6 3 10 8 2 2 2" xfId="18347" xr:uid="{18FD07A4-E509-4741-A1E4-E193042BBDED}"/>
    <cellStyle name="Standard 6 3 10 8 2 3" xfId="18346" xr:uid="{B26F387B-9C75-44AF-B9FF-EEBC607BCAEE}"/>
    <cellStyle name="Standard 6 3 10 8 3" xfId="6387" xr:uid="{00000000-0005-0000-0000-0000FA180000}"/>
    <cellStyle name="Standard 6 3 10 8 3 2" xfId="18348" xr:uid="{F2354A7E-1811-4A27-AE2E-4D310C233B30}"/>
    <cellStyle name="Standard 6 3 10 8 4" xfId="18345" xr:uid="{F4A6532E-0AA5-43A7-8879-CAB7EA41E592}"/>
    <cellStyle name="Standard 6 3 10 9" xfId="6388" xr:uid="{00000000-0005-0000-0000-0000FB180000}"/>
    <cellStyle name="Standard 6 3 10 9 2" xfId="6389" xr:uid="{00000000-0005-0000-0000-0000FC180000}"/>
    <cellStyle name="Standard 6 3 10 9 2 2" xfId="18350" xr:uid="{658AD171-095F-45D5-9C73-498E6C2CBBF8}"/>
    <cellStyle name="Standard 6 3 10 9 3" xfId="18349" xr:uid="{87B1D856-6AB9-42DB-9426-9DDEF8C7FAE0}"/>
    <cellStyle name="Standard 6 3 11" xfId="6390" xr:uid="{00000000-0005-0000-0000-0000FD180000}"/>
    <cellStyle name="Standard 6 3 11 10" xfId="18351" xr:uid="{FF29C208-E6C6-4207-9E22-B4B4B7099B26}"/>
    <cellStyle name="Standard 6 3 11 2" xfId="6391" xr:uid="{00000000-0005-0000-0000-0000FE180000}"/>
    <cellStyle name="Standard 6 3 11 2 2" xfId="6392" xr:uid="{00000000-0005-0000-0000-0000FF180000}"/>
    <cellStyle name="Standard 6 3 11 2 2 2" xfId="6393" xr:uid="{00000000-0005-0000-0000-000000190000}"/>
    <cellStyle name="Standard 6 3 11 2 2 2 2" xfId="18354" xr:uid="{FD725FA3-3BAC-4C5F-9F58-EAA449201D5F}"/>
    <cellStyle name="Standard 6 3 11 2 2 3" xfId="18353" xr:uid="{162D7DB5-2D45-49B2-9739-A7A22531DE6F}"/>
    <cellStyle name="Standard 6 3 11 2 3" xfId="6394" xr:uid="{00000000-0005-0000-0000-000001190000}"/>
    <cellStyle name="Standard 6 3 11 2 3 2" xfId="18355" xr:uid="{5615728A-E53B-4235-B852-03BA818FFB26}"/>
    <cellStyle name="Standard 6 3 11 2 4" xfId="18352" xr:uid="{B99AA318-742B-4EC9-80CA-E4679373D446}"/>
    <cellStyle name="Standard 6 3 11 3" xfId="6395" xr:uid="{00000000-0005-0000-0000-000002190000}"/>
    <cellStyle name="Standard 6 3 11 3 2" xfId="6396" xr:uid="{00000000-0005-0000-0000-000003190000}"/>
    <cellStyle name="Standard 6 3 11 3 2 2" xfId="6397" xr:uid="{00000000-0005-0000-0000-000004190000}"/>
    <cellStyle name="Standard 6 3 11 3 2 2 2" xfId="18358" xr:uid="{09DC491D-D1FC-492F-AA38-87931EB73EEA}"/>
    <cellStyle name="Standard 6 3 11 3 2 3" xfId="18357" xr:uid="{9A32CB47-C979-4551-8072-29758E9B634B}"/>
    <cellStyle name="Standard 6 3 11 3 3" xfId="6398" xr:uid="{00000000-0005-0000-0000-000005190000}"/>
    <cellStyle name="Standard 6 3 11 3 3 2" xfId="18359" xr:uid="{4110D38E-57ED-4258-BB47-27E68FDB9C3A}"/>
    <cellStyle name="Standard 6 3 11 3 4" xfId="18356" xr:uid="{9061C201-EE5E-4129-AEE9-26454A83D87F}"/>
    <cellStyle name="Standard 6 3 11 4" xfId="6399" xr:uid="{00000000-0005-0000-0000-000006190000}"/>
    <cellStyle name="Standard 6 3 11 4 2" xfId="6400" xr:uid="{00000000-0005-0000-0000-000007190000}"/>
    <cellStyle name="Standard 6 3 11 4 2 2" xfId="6401" xr:uid="{00000000-0005-0000-0000-000008190000}"/>
    <cellStyle name="Standard 6 3 11 4 2 2 2" xfId="18362" xr:uid="{E62AEF8A-B8FC-46CA-9931-63EFF1B087A9}"/>
    <cellStyle name="Standard 6 3 11 4 2 3" xfId="18361" xr:uid="{389F2059-02D0-4E97-83B4-6266BA95F3CC}"/>
    <cellStyle name="Standard 6 3 11 4 3" xfId="6402" xr:uid="{00000000-0005-0000-0000-000009190000}"/>
    <cellStyle name="Standard 6 3 11 4 3 2" xfId="18363" xr:uid="{7BC5EC6A-BC93-40C4-B41D-51ED1990AD26}"/>
    <cellStyle name="Standard 6 3 11 4 4" xfId="18360" xr:uid="{E696CABA-C0D5-46AC-B0E2-7384E4765158}"/>
    <cellStyle name="Standard 6 3 11 5" xfId="6403" xr:uid="{00000000-0005-0000-0000-00000A190000}"/>
    <cellStyle name="Standard 6 3 11 5 2" xfId="6404" xr:uid="{00000000-0005-0000-0000-00000B190000}"/>
    <cellStyle name="Standard 6 3 11 5 2 2" xfId="6405" xr:uid="{00000000-0005-0000-0000-00000C190000}"/>
    <cellStyle name="Standard 6 3 11 5 2 2 2" xfId="18366" xr:uid="{3544018C-8BB8-4ADA-9435-17EEF7C31C30}"/>
    <cellStyle name="Standard 6 3 11 5 2 3" xfId="18365" xr:uid="{8C95DFFC-2CBC-42B7-8D52-D8FB9DEC6EA8}"/>
    <cellStyle name="Standard 6 3 11 5 3" xfId="6406" xr:uid="{00000000-0005-0000-0000-00000D190000}"/>
    <cellStyle name="Standard 6 3 11 5 3 2" xfId="18367" xr:uid="{C67BD44B-0BF8-45B9-95B5-993DF2D81B9E}"/>
    <cellStyle name="Standard 6 3 11 5 4" xfId="18364" xr:uid="{4D165F45-18A6-4AE7-984A-9C8723599B72}"/>
    <cellStyle name="Standard 6 3 11 6" xfId="6407" xr:uid="{00000000-0005-0000-0000-00000E190000}"/>
    <cellStyle name="Standard 6 3 11 6 2" xfId="6408" xr:uid="{00000000-0005-0000-0000-00000F190000}"/>
    <cellStyle name="Standard 6 3 11 6 2 2" xfId="6409" xr:uid="{00000000-0005-0000-0000-000010190000}"/>
    <cellStyle name="Standard 6 3 11 6 2 2 2" xfId="18370" xr:uid="{1B319585-3F86-4B01-8EAC-7CC924B8CB44}"/>
    <cellStyle name="Standard 6 3 11 6 2 3" xfId="18369" xr:uid="{A0F2981D-9321-45E1-AA15-5E6985C22BB6}"/>
    <cellStyle name="Standard 6 3 11 6 3" xfId="6410" xr:uid="{00000000-0005-0000-0000-000011190000}"/>
    <cellStyle name="Standard 6 3 11 6 3 2" xfId="18371" xr:uid="{573F0D19-E455-4BA4-B939-8816C37A8FCF}"/>
    <cellStyle name="Standard 6 3 11 6 4" xfId="18368" xr:uid="{511646A7-9DB1-4B8F-BD24-9E02ECB1AA06}"/>
    <cellStyle name="Standard 6 3 11 7" xfId="6411" xr:uid="{00000000-0005-0000-0000-000012190000}"/>
    <cellStyle name="Standard 6 3 11 7 2" xfId="6412" xr:uid="{00000000-0005-0000-0000-000013190000}"/>
    <cellStyle name="Standard 6 3 11 7 2 2" xfId="6413" xr:uid="{00000000-0005-0000-0000-000014190000}"/>
    <cellStyle name="Standard 6 3 11 7 2 2 2" xfId="18374" xr:uid="{B759A518-ECD2-45AC-B623-8713A06C3A84}"/>
    <cellStyle name="Standard 6 3 11 7 2 3" xfId="18373" xr:uid="{F2ED229E-02EF-4E33-A226-F8522D20332D}"/>
    <cellStyle name="Standard 6 3 11 7 3" xfId="6414" xr:uid="{00000000-0005-0000-0000-000015190000}"/>
    <cellStyle name="Standard 6 3 11 7 3 2" xfId="18375" xr:uid="{44B6CCF2-F4E7-45D7-8F62-ECECA8DA108B}"/>
    <cellStyle name="Standard 6 3 11 7 4" xfId="18372" xr:uid="{9EBCE1DC-3CA4-4D41-9F42-319F5BA1248D}"/>
    <cellStyle name="Standard 6 3 11 8" xfId="6415" xr:uid="{00000000-0005-0000-0000-000016190000}"/>
    <cellStyle name="Standard 6 3 11 8 2" xfId="6416" xr:uid="{00000000-0005-0000-0000-000017190000}"/>
    <cellStyle name="Standard 6 3 11 8 2 2" xfId="18377" xr:uid="{35BC495E-E1E5-47AE-AC5F-4EB2FEDFE67A}"/>
    <cellStyle name="Standard 6 3 11 8 3" xfId="18376" xr:uid="{C6267B70-0476-4B38-BFC4-4315ACE5F5C1}"/>
    <cellStyle name="Standard 6 3 11 9" xfId="6417" xr:uid="{00000000-0005-0000-0000-000018190000}"/>
    <cellStyle name="Standard 6 3 11 9 2" xfId="18378" xr:uid="{F5A2F501-13D9-4CA3-AB4E-41C4C1B9EEE8}"/>
    <cellStyle name="Standard 6 3 12" xfId="6418" xr:uid="{00000000-0005-0000-0000-000019190000}"/>
    <cellStyle name="Standard 6 3 12 2" xfId="6419" xr:uid="{00000000-0005-0000-0000-00001A190000}"/>
    <cellStyle name="Standard 6 3 12 2 2" xfId="6420" xr:uid="{00000000-0005-0000-0000-00001B190000}"/>
    <cellStyle name="Standard 6 3 12 2 2 2" xfId="6421" xr:uid="{00000000-0005-0000-0000-00001C190000}"/>
    <cellStyle name="Standard 6 3 12 2 2 2 2" xfId="18382" xr:uid="{16510B2F-DDA7-47D6-89F2-FFFF5A4E3D7A}"/>
    <cellStyle name="Standard 6 3 12 2 2 3" xfId="18381" xr:uid="{495BA25D-528D-44CD-8F50-D1D876821D5D}"/>
    <cellStyle name="Standard 6 3 12 2 3" xfId="6422" xr:uid="{00000000-0005-0000-0000-00001D190000}"/>
    <cellStyle name="Standard 6 3 12 2 3 2" xfId="18383" xr:uid="{BA26C630-A16A-4A56-86B4-D2386A42D686}"/>
    <cellStyle name="Standard 6 3 12 2 4" xfId="18380" xr:uid="{6EED566C-6695-4E60-8006-72891BA7D700}"/>
    <cellStyle name="Standard 6 3 12 3" xfId="6423" xr:uid="{00000000-0005-0000-0000-00001E190000}"/>
    <cellStyle name="Standard 6 3 12 3 2" xfId="6424" xr:uid="{00000000-0005-0000-0000-00001F190000}"/>
    <cellStyle name="Standard 6 3 12 3 2 2" xfId="6425" xr:uid="{00000000-0005-0000-0000-000020190000}"/>
    <cellStyle name="Standard 6 3 12 3 2 2 2" xfId="18386" xr:uid="{0E4F89FA-4AE5-43DC-8029-CA740F2C4CF9}"/>
    <cellStyle name="Standard 6 3 12 3 2 3" xfId="18385" xr:uid="{82BA782F-9E4D-4DDE-A0DC-0FE42C6F7B84}"/>
    <cellStyle name="Standard 6 3 12 3 3" xfId="6426" xr:uid="{00000000-0005-0000-0000-000021190000}"/>
    <cellStyle name="Standard 6 3 12 3 3 2" xfId="18387" xr:uid="{D2EB4C93-3D6E-4078-A277-3750E000FDC9}"/>
    <cellStyle name="Standard 6 3 12 3 4" xfId="18384" xr:uid="{4F902ABB-992D-4760-9A4F-E0D655FE5FE2}"/>
    <cellStyle name="Standard 6 3 12 4" xfId="6427" xr:uid="{00000000-0005-0000-0000-000022190000}"/>
    <cellStyle name="Standard 6 3 12 4 2" xfId="6428" xr:uid="{00000000-0005-0000-0000-000023190000}"/>
    <cellStyle name="Standard 6 3 12 4 2 2" xfId="6429" xr:uid="{00000000-0005-0000-0000-000024190000}"/>
    <cellStyle name="Standard 6 3 12 4 2 2 2" xfId="18390" xr:uid="{CC621008-93CD-4B88-894C-D03E4D6FB25B}"/>
    <cellStyle name="Standard 6 3 12 4 2 3" xfId="18389" xr:uid="{9CA0FC68-7D28-4A67-98B1-5CB3EBDE559A}"/>
    <cellStyle name="Standard 6 3 12 4 3" xfId="6430" xr:uid="{00000000-0005-0000-0000-000025190000}"/>
    <cellStyle name="Standard 6 3 12 4 3 2" xfId="18391" xr:uid="{E35EE9F1-8FE5-40E1-8151-9818C637DA23}"/>
    <cellStyle name="Standard 6 3 12 4 4" xfId="18388" xr:uid="{1A62A18B-6C92-4F21-BD53-857DEC2BC9FF}"/>
    <cellStyle name="Standard 6 3 12 5" xfId="6431" xr:uid="{00000000-0005-0000-0000-000026190000}"/>
    <cellStyle name="Standard 6 3 12 5 2" xfId="6432" xr:uid="{00000000-0005-0000-0000-000027190000}"/>
    <cellStyle name="Standard 6 3 12 5 2 2" xfId="6433" xr:uid="{00000000-0005-0000-0000-000028190000}"/>
    <cellStyle name="Standard 6 3 12 5 2 2 2" xfId="18394" xr:uid="{0C673DB7-4C28-4625-BFFC-F36E4427C7B3}"/>
    <cellStyle name="Standard 6 3 12 5 2 3" xfId="18393" xr:uid="{853E5CD6-AF7F-4155-B88B-70F55310C5FC}"/>
    <cellStyle name="Standard 6 3 12 5 3" xfId="6434" xr:uid="{00000000-0005-0000-0000-000029190000}"/>
    <cellStyle name="Standard 6 3 12 5 3 2" xfId="18395" xr:uid="{9F4D87F3-3D0A-4EF1-BBD5-CFA3E3C88789}"/>
    <cellStyle name="Standard 6 3 12 5 4" xfId="18392" xr:uid="{642D9BF2-4905-43B2-9032-D6EE332E0D42}"/>
    <cellStyle name="Standard 6 3 12 6" xfId="6435" xr:uid="{00000000-0005-0000-0000-00002A190000}"/>
    <cellStyle name="Standard 6 3 12 6 2" xfId="6436" xr:uid="{00000000-0005-0000-0000-00002B190000}"/>
    <cellStyle name="Standard 6 3 12 6 2 2" xfId="6437" xr:uid="{00000000-0005-0000-0000-00002C190000}"/>
    <cellStyle name="Standard 6 3 12 6 2 2 2" xfId="18398" xr:uid="{3C367E76-94DA-408D-8CF8-657996F0E532}"/>
    <cellStyle name="Standard 6 3 12 6 2 3" xfId="18397" xr:uid="{FC70C4E0-3A21-46EE-A75D-46384364241A}"/>
    <cellStyle name="Standard 6 3 12 6 3" xfId="6438" xr:uid="{00000000-0005-0000-0000-00002D190000}"/>
    <cellStyle name="Standard 6 3 12 6 3 2" xfId="18399" xr:uid="{2CB28789-16F0-45D2-A1CC-B7053612B269}"/>
    <cellStyle name="Standard 6 3 12 6 4" xfId="18396" xr:uid="{62867ABB-0CF7-49B7-AD94-3A8FB1A5EEC2}"/>
    <cellStyle name="Standard 6 3 12 7" xfId="6439" xr:uid="{00000000-0005-0000-0000-00002E190000}"/>
    <cellStyle name="Standard 6 3 12 7 2" xfId="6440" xr:uid="{00000000-0005-0000-0000-00002F190000}"/>
    <cellStyle name="Standard 6 3 12 7 2 2" xfId="18401" xr:uid="{0788E6AD-3842-4A54-9EE4-945474E6DDAC}"/>
    <cellStyle name="Standard 6 3 12 7 3" xfId="18400" xr:uid="{40D51D52-71FF-4930-A43D-2ECCB60188C4}"/>
    <cellStyle name="Standard 6 3 12 8" xfId="6441" xr:uid="{00000000-0005-0000-0000-000030190000}"/>
    <cellStyle name="Standard 6 3 12 8 2" xfId="18402" xr:uid="{0A21C2BF-5DC6-4921-9900-B579E36ECD97}"/>
    <cellStyle name="Standard 6 3 12 9" xfId="18379" xr:uid="{BE2A1CAD-F5AB-44AF-8D16-24FBD8DBA147}"/>
    <cellStyle name="Standard 6 3 13" xfId="6442" xr:uid="{00000000-0005-0000-0000-000031190000}"/>
    <cellStyle name="Standard 6 3 13 2" xfId="6443" xr:uid="{00000000-0005-0000-0000-000032190000}"/>
    <cellStyle name="Standard 6 3 13 2 2" xfId="6444" xr:uid="{00000000-0005-0000-0000-000033190000}"/>
    <cellStyle name="Standard 6 3 13 2 2 2" xfId="18405" xr:uid="{7D689EF8-3C0D-40B8-BC9F-584F6A4CD19A}"/>
    <cellStyle name="Standard 6 3 13 2 3" xfId="18404" xr:uid="{023ACA98-6405-4F24-8834-D1E7979FE987}"/>
    <cellStyle name="Standard 6 3 13 3" xfId="6445" xr:uid="{00000000-0005-0000-0000-000034190000}"/>
    <cellStyle name="Standard 6 3 13 3 2" xfId="18406" xr:uid="{9CE483B6-F94E-4943-A658-643E0ABC78CE}"/>
    <cellStyle name="Standard 6 3 13 4" xfId="18403" xr:uid="{01E9D768-AA63-445D-9BC3-FD078A49B809}"/>
    <cellStyle name="Standard 6 3 14" xfId="6446" xr:uid="{00000000-0005-0000-0000-000035190000}"/>
    <cellStyle name="Standard 6 3 14 2" xfId="6447" xr:uid="{00000000-0005-0000-0000-000036190000}"/>
    <cellStyle name="Standard 6 3 14 2 2" xfId="6448" xr:uid="{00000000-0005-0000-0000-000037190000}"/>
    <cellStyle name="Standard 6 3 14 2 2 2" xfId="18409" xr:uid="{B47AB4D6-9D4B-4EA6-B298-7406AA486833}"/>
    <cellStyle name="Standard 6 3 14 2 3" xfId="18408" xr:uid="{6561994B-D0CE-4441-8150-701C9607C35E}"/>
    <cellStyle name="Standard 6 3 14 3" xfId="6449" xr:uid="{00000000-0005-0000-0000-000038190000}"/>
    <cellStyle name="Standard 6 3 14 3 2" xfId="18410" xr:uid="{381461A0-9FBB-4760-84B8-8E7DB2288751}"/>
    <cellStyle name="Standard 6 3 14 4" xfId="18407" xr:uid="{430335C2-7E56-47BC-8911-5812DA8B9CDE}"/>
    <cellStyle name="Standard 6 3 15" xfId="6450" xr:uid="{00000000-0005-0000-0000-000039190000}"/>
    <cellStyle name="Standard 6 3 15 2" xfId="6451" xr:uid="{00000000-0005-0000-0000-00003A190000}"/>
    <cellStyle name="Standard 6 3 15 2 2" xfId="6452" xr:uid="{00000000-0005-0000-0000-00003B190000}"/>
    <cellStyle name="Standard 6 3 15 2 2 2" xfId="18413" xr:uid="{261A3DFA-DF66-4E2B-A73C-D36C82A59703}"/>
    <cellStyle name="Standard 6 3 15 2 3" xfId="18412" xr:uid="{076FF956-CFE4-456F-B31E-A9273566912A}"/>
    <cellStyle name="Standard 6 3 15 3" xfId="6453" xr:uid="{00000000-0005-0000-0000-00003C190000}"/>
    <cellStyle name="Standard 6 3 15 3 2" xfId="18414" xr:uid="{46767B8D-D846-47EF-A0F0-F3335DF55C6C}"/>
    <cellStyle name="Standard 6 3 15 4" xfId="18411" xr:uid="{EAEA2046-6DBE-4E79-BC6A-AE1668CE2C02}"/>
    <cellStyle name="Standard 6 3 16" xfId="6454" xr:uid="{00000000-0005-0000-0000-00003D190000}"/>
    <cellStyle name="Standard 6 3 16 2" xfId="6455" xr:uid="{00000000-0005-0000-0000-00003E190000}"/>
    <cellStyle name="Standard 6 3 16 2 2" xfId="6456" xr:uid="{00000000-0005-0000-0000-00003F190000}"/>
    <cellStyle name="Standard 6 3 16 2 2 2" xfId="18417" xr:uid="{12CBC0DB-D84D-4C46-9920-8AEA5F547676}"/>
    <cellStyle name="Standard 6 3 16 2 3" xfId="18416" xr:uid="{D3F72EF9-593F-4DA6-8A7F-5CFFB1E51051}"/>
    <cellStyle name="Standard 6 3 16 3" xfId="6457" xr:uid="{00000000-0005-0000-0000-000040190000}"/>
    <cellStyle name="Standard 6 3 16 3 2" xfId="18418" xr:uid="{1DCC346A-FD42-4E8C-ACF1-6098E66C5FA7}"/>
    <cellStyle name="Standard 6 3 16 4" xfId="18415" xr:uid="{C1D50AB2-46AC-42CC-B0BD-7D8938C879CF}"/>
    <cellStyle name="Standard 6 3 17" xfId="6458" xr:uid="{00000000-0005-0000-0000-000041190000}"/>
    <cellStyle name="Standard 6 3 17 2" xfId="6459" xr:uid="{00000000-0005-0000-0000-000042190000}"/>
    <cellStyle name="Standard 6 3 17 2 2" xfId="6460" xr:uid="{00000000-0005-0000-0000-000043190000}"/>
    <cellStyle name="Standard 6 3 17 2 2 2" xfId="18421" xr:uid="{8B3906EA-D2F6-4071-9854-906FA3C03DDD}"/>
    <cellStyle name="Standard 6 3 17 2 3" xfId="18420" xr:uid="{61DB293C-0C3C-4667-ADCD-469A66393EF0}"/>
    <cellStyle name="Standard 6 3 17 3" xfId="6461" xr:uid="{00000000-0005-0000-0000-000044190000}"/>
    <cellStyle name="Standard 6 3 17 3 2" xfId="18422" xr:uid="{40B43B3F-9EAE-4628-AB2A-CC4DC7227BC6}"/>
    <cellStyle name="Standard 6 3 17 4" xfId="18419" xr:uid="{25A0601C-24F6-4E8D-9216-9C8DB0B903A5}"/>
    <cellStyle name="Standard 6 3 18" xfId="6462" xr:uid="{00000000-0005-0000-0000-000045190000}"/>
    <cellStyle name="Standard 6 3 18 2" xfId="6463" xr:uid="{00000000-0005-0000-0000-000046190000}"/>
    <cellStyle name="Standard 6 3 18 2 2" xfId="6464" xr:uid="{00000000-0005-0000-0000-000047190000}"/>
    <cellStyle name="Standard 6 3 18 2 2 2" xfId="18425" xr:uid="{297EAC6D-C88D-4562-9174-3C914F114021}"/>
    <cellStyle name="Standard 6 3 18 2 3" xfId="18424" xr:uid="{216120F1-139D-475F-95CB-A500158FD376}"/>
    <cellStyle name="Standard 6 3 18 3" xfId="6465" xr:uid="{00000000-0005-0000-0000-000048190000}"/>
    <cellStyle name="Standard 6 3 18 3 2" xfId="18426" xr:uid="{0396AF68-4594-407D-A6F6-85434474F297}"/>
    <cellStyle name="Standard 6 3 18 4" xfId="18423" xr:uid="{60A1994E-6A32-4B62-BD4A-784518CDBB53}"/>
    <cellStyle name="Standard 6 3 19" xfId="6466" xr:uid="{00000000-0005-0000-0000-000049190000}"/>
    <cellStyle name="Standard 6 3 19 2" xfId="6467" xr:uid="{00000000-0005-0000-0000-00004A190000}"/>
    <cellStyle name="Standard 6 3 19 2 2" xfId="6468" xr:uid="{00000000-0005-0000-0000-00004B190000}"/>
    <cellStyle name="Standard 6 3 19 2 2 2" xfId="18429" xr:uid="{83DF5E50-14C7-439E-99C1-D70E624CC6E8}"/>
    <cellStyle name="Standard 6 3 19 2 3" xfId="18428" xr:uid="{7B1302B8-B3B8-45E0-84F0-0BAD06E87E68}"/>
    <cellStyle name="Standard 6 3 19 3" xfId="6469" xr:uid="{00000000-0005-0000-0000-00004C190000}"/>
    <cellStyle name="Standard 6 3 19 3 2" xfId="18430" xr:uid="{A036462B-BEBB-43D8-AEA3-DD60DF9665FC}"/>
    <cellStyle name="Standard 6 3 19 4" xfId="18427" xr:uid="{0A317D0E-D06B-4716-9F8F-235B236AE13D}"/>
    <cellStyle name="Standard 6 3 2" xfId="6470" xr:uid="{00000000-0005-0000-0000-00004D190000}"/>
    <cellStyle name="Standard 6 3 2 10" xfId="6471" xr:uid="{00000000-0005-0000-0000-00004E190000}"/>
    <cellStyle name="Standard 6 3 2 10 10" xfId="18432" xr:uid="{18A2AED4-B42B-42BE-BDAD-E78D84B8EEDF}"/>
    <cellStyle name="Standard 6 3 2 10 2" xfId="6472" xr:uid="{00000000-0005-0000-0000-00004F190000}"/>
    <cellStyle name="Standard 6 3 2 10 2 2" xfId="6473" xr:uid="{00000000-0005-0000-0000-000050190000}"/>
    <cellStyle name="Standard 6 3 2 10 2 2 2" xfId="6474" xr:uid="{00000000-0005-0000-0000-000051190000}"/>
    <cellStyle name="Standard 6 3 2 10 2 2 2 2" xfId="18435" xr:uid="{EF1A48A7-C5BF-43C2-9F06-001CFAA1301C}"/>
    <cellStyle name="Standard 6 3 2 10 2 2 3" xfId="18434" xr:uid="{1B73575E-E53F-4C28-8A73-3728C17D1E09}"/>
    <cellStyle name="Standard 6 3 2 10 2 3" xfId="6475" xr:uid="{00000000-0005-0000-0000-000052190000}"/>
    <cellStyle name="Standard 6 3 2 10 2 3 2" xfId="18436" xr:uid="{FBA35F87-3973-4C48-BCE5-7968562365AE}"/>
    <cellStyle name="Standard 6 3 2 10 2 4" xfId="18433" xr:uid="{181E0E6D-7A7D-4CAA-9719-9CFF96D3A0E6}"/>
    <cellStyle name="Standard 6 3 2 10 3" xfId="6476" xr:uid="{00000000-0005-0000-0000-000053190000}"/>
    <cellStyle name="Standard 6 3 2 10 3 2" xfId="6477" xr:uid="{00000000-0005-0000-0000-000054190000}"/>
    <cellStyle name="Standard 6 3 2 10 3 2 2" xfId="6478" xr:uid="{00000000-0005-0000-0000-000055190000}"/>
    <cellStyle name="Standard 6 3 2 10 3 2 2 2" xfId="18439" xr:uid="{27547B0D-D297-4BC0-8F72-E860720CA482}"/>
    <cellStyle name="Standard 6 3 2 10 3 2 3" xfId="18438" xr:uid="{F096A13B-5E15-4C37-A29D-EA53F8676CD6}"/>
    <cellStyle name="Standard 6 3 2 10 3 3" xfId="6479" xr:uid="{00000000-0005-0000-0000-000056190000}"/>
    <cellStyle name="Standard 6 3 2 10 3 3 2" xfId="18440" xr:uid="{1D379EA5-AAFE-4118-B52F-8681CB878340}"/>
    <cellStyle name="Standard 6 3 2 10 3 4" xfId="18437" xr:uid="{C01E8E9B-F9C7-4670-BCF5-10C9D632CACF}"/>
    <cellStyle name="Standard 6 3 2 10 4" xfId="6480" xr:uid="{00000000-0005-0000-0000-000057190000}"/>
    <cellStyle name="Standard 6 3 2 10 4 2" xfId="6481" xr:uid="{00000000-0005-0000-0000-000058190000}"/>
    <cellStyle name="Standard 6 3 2 10 4 2 2" xfId="6482" xr:uid="{00000000-0005-0000-0000-000059190000}"/>
    <cellStyle name="Standard 6 3 2 10 4 2 2 2" xfId="18443" xr:uid="{9D1272CD-41D8-4AA0-8890-1AD0B154283D}"/>
    <cellStyle name="Standard 6 3 2 10 4 2 3" xfId="18442" xr:uid="{CC9BA49C-DAB4-41DC-8905-3AA36B3FF367}"/>
    <cellStyle name="Standard 6 3 2 10 4 3" xfId="6483" xr:uid="{00000000-0005-0000-0000-00005A190000}"/>
    <cellStyle name="Standard 6 3 2 10 4 3 2" xfId="18444" xr:uid="{0D1AEFD8-0E19-46C5-B419-1849CEC0F9A9}"/>
    <cellStyle name="Standard 6 3 2 10 4 4" xfId="18441" xr:uid="{000ACE29-5B29-4127-9AAC-573F32993BC6}"/>
    <cellStyle name="Standard 6 3 2 10 5" xfId="6484" xr:uid="{00000000-0005-0000-0000-00005B190000}"/>
    <cellStyle name="Standard 6 3 2 10 5 2" xfId="6485" xr:uid="{00000000-0005-0000-0000-00005C190000}"/>
    <cellStyle name="Standard 6 3 2 10 5 2 2" xfId="6486" xr:uid="{00000000-0005-0000-0000-00005D190000}"/>
    <cellStyle name="Standard 6 3 2 10 5 2 2 2" xfId="18447" xr:uid="{917E06EA-DF80-4DC2-805C-A0E436908A67}"/>
    <cellStyle name="Standard 6 3 2 10 5 2 3" xfId="18446" xr:uid="{05997C35-0E7B-4445-8EDB-A4805C0D177B}"/>
    <cellStyle name="Standard 6 3 2 10 5 3" xfId="6487" xr:uid="{00000000-0005-0000-0000-00005E190000}"/>
    <cellStyle name="Standard 6 3 2 10 5 3 2" xfId="18448" xr:uid="{508534B0-9376-4404-9612-5F4F476D2942}"/>
    <cellStyle name="Standard 6 3 2 10 5 4" xfId="18445" xr:uid="{744D7981-2702-4D5A-A34F-C091744176D8}"/>
    <cellStyle name="Standard 6 3 2 10 6" xfId="6488" xr:uid="{00000000-0005-0000-0000-00005F190000}"/>
    <cellStyle name="Standard 6 3 2 10 6 2" xfId="6489" xr:uid="{00000000-0005-0000-0000-000060190000}"/>
    <cellStyle name="Standard 6 3 2 10 6 2 2" xfId="6490" xr:uid="{00000000-0005-0000-0000-000061190000}"/>
    <cellStyle name="Standard 6 3 2 10 6 2 2 2" xfId="18451" xr:uid="{8295BB90-7D5F-4DBE-B98C-813423A05A01}"/>
    <cellStyle name="Standard 6 3 2 10 6 2 3" xfId="18450" xr:uid="{94D68CDD-BD55-4033-AEEF-5168BECF035D}"/>
    <cellStyle name="Standard 6 3 2 10 6 3" xfId="6491" xr:uid="{00000000-0005-0000-0000-000062190000}"/>
    <cellStyle name="Standard 6 3 2 10 6 3 2" xfId="18452" xr:uid="{5A4E7E1E-3E51-441A-9337-000302214796}"/>
    <cellStyle name="Standard 6 3 2 10 6 4" xfId="18449" xr:uid="{AF21F979-9481-4761-B910-28487A66554C}"/>
    <cellStyle name="Standard 6 3 2 10 7" xfId="6492" xr:uid="{00000000-0005-0000-0000-000063190000}"/>
    <cellStyle name="Standard 6 3 2 10 7 2" xfId="6493" xr:uid="{00000000-0005-0000-0000-000064190000}"/>
    <cellStyle name="Standard 6 3 2 10 7 2 2" xfId="6494" xr:uid="{00000000-0005-0000-0000-000065190000}"/>
    <cellStyle name="Standard 6 3 2 10 7 2 2 2" xfId="18455" xr:uid="{3F4550CC-A8C4-4C17-A1DA-29F9EA4A2EC6}"/>
    <cellStyle name="Standard 6 3 2 10 7 2 3" xfId="18454" xr:uid="{6D138A35-6D76-4049-97AB-387D7615A302}"/>
    <cellStyle name="Standard 6 3 2 10 7 3" xfId="6495" xr:uid="{00000000-0005-0000-0000-000066190000}"/>
    <cellStyle name="Standard 6 3 2 10 7 3 2" xfId="18456" xr:uid="{A84BF749-2F66-4216-8109-690E6E2159D6}"/>
    <cellStyle name="Standard 6 3 2 10 7 4" xfId="18453" xr:uid="{059E157E-DEB0-4F83-92AF-66525DCA5021}"/>
    <cellStyle name="Standard 6 3 2 10 8" xfId="6496" xr:uid="{00000000-0005-0000-0000-000067190000}"/>
    <cellStyle name="Standard 6 3 2 10 8 2" xfId="6497" xr:uid="{00000000-0005-0000-0000-000068190000}"/>
    <cellStyle name="Standard 6 3 2 10 8 2 2" xfId="18458" xr:uid="{4F1B1ECC-49DC-4B06-8587-E0A65083365B}"/>
    <cellStyle name="Standard 6 3 2 10 8 3" xfId="18457" xr:uid="{BA25BD06-CBFD-4AED-848F-629E67A2F389}"/>
    <cellStyle name="Standard 6 3 2 10 9" xfId="6498" xr:uid="{00000000-0005-0000-0000-000069190000}"/>
    <cellStyle name="Standard 6 3 2 10 9 2" xfId="18459" xr:uid="{A10DFC24-CE25-47E2-B7F6-E030DC8602D3}"/>
    <cellStyle name="Standard 6 3 2 11" xfId="6499" xr:uid="{00000000-0005-0000-0000-00006A190000}"/>
    <cellStyle name="Standard 6 3 2 11 2" xfId="6500" xr:uid="{00000000-0005-0000-0000-00006B190000}"/>
    <cellStyle name="Standard 6 3 2 11 2 2" xfId="6501" xr:uid="{00000000-0005-0000-0000-00006C190000}"/>
    <cellStyle name="Standard 6 3 2 11 2 2 2" xfId="6502" xr:uid="{00000000-0005-0000-0000-00006D190000}"/>
    <cellStyle name="Standard 6 3 2 11 2 2 2 2" xfId="18463" xr:uid="{7E03AD47-C241-4AE5-8883-571DB8CF0A9F}"/>
    <cellStyle name="Standard 6 3 2 11 2 2 3" xfId="18462" xr:uid="{AB523A73-E7F3-4CD6-BA06-D9CCEA04DDB6}"/>
    <cellStyle name="Standard 6 3 2 11 2 3" xfId="6503" xr:uid="{00000000-0005-0000-0000-00006E190000}"/>
    <cellStyle name="Standard 6 3 2 11 2 3 2" xfId="18464" xr:uid="{91094E00-739B-4F9A-969D-A6405661E56F}"/>
    <cellStyle name="Standard 6 3 2 11 2 4" xfId="18461" xr:uid="{A4610210-EA20-44EB-AC55-12626CCAF917}"/>
    <cellStyle name="Standard 6 3 2 11 3" xfId="6504" xr:uid="{00000000-0005-0000-0000-00006F190000}"/>
    <cellStyle name="Standard 6 3 2 11 3 2" xfId="6505" xr:uid="{00000000-0005-0000-0000-000070190000}"/>
    <cellStyle name="Standard 6 3 2 11 3 2 2" xfId="6506" xr:uid="{00000000-0005-0000-0000-000071190000}"/>
    <cellStyle name="Standard 6 3 2 11 3 2 2 2" xfId="18467" xr:uid="{D09B8952-85FB-42CC-B583-286C8B2879C3}"/>
    <cellStyle name="Standard 6 3 2 11 3 2 3" xfId="18466" xr:uid="{CA53AC2E-B26D-4E7A-81C5-8BC4AC3C9D9B}"/>
    <cellStyle name="Standard 6 3 2 11 3 3" xfId="6507" xr:uid="{00000000-0005-0000-0000-000072190000}"/>
    <cellStyle name="Standard 6 3 2 11 3 3 2" xfId="18468" xr:uid="{E9600751-7AC9-45E4-89F2-251B14F65DDB}"/>
    <cellStyle name="Standard 6 3 2 11 3 4" xfId="18465" xr:uid="{95E20566-FE01-4773-8DE8-FEF31E842922}"/>
    <cellStyle name="Standard 6 3 2 11 4" xfId="6508" xr:uid="{00000000-0005-0000-0000-000073190000}"/>
    <cellStyle name="Standard 6 3 2 11 4 2" xfId="6509" xr:uid="{00000000-0005-0000-0000-000074190000}"/>
    <cellStyle name="Standard 6 3 2 11 4 2 2" xfId="6510" xr:uid="{00000000-0005-0000-0000-000075190000}"/>
    <cellStyle name="Standard 6 3 2 11 4 2 2 2" xfId="18471" xr:uid="{3FDD990C-B994-49A2-842F-858126A5FCF5}"/>
    <cellStyle name="Standard 6 3 2 11 4 2 3" xfId="18470" xr:uid="{F5E75C62-0D21-4524-9A7F-1EABE553E50A}"/>
    <cellStyle name="Standard 6 3 2 11 4 3" xfId="6511" xr:uid="{00000000-0005-0000-0000-000076190000}"/>
    <cellStyle name="Standard 6 3 2 11 4 3 2" xfId="18472" xr:uid="{52A7D1AD-51A3-4713-B805-17E16A9EEFE3}"/>
    <cellStyle name="Standard 6 3 2 11 4 4" xfId="18469" xr:uid="{76852D3C-B43D-4395-989D-9F8238653792}"/>
    <cellStyle name="Standard 6 3 2 11 5" xfId="6512" xr:uid="{00000000-0005-0000-0000-000077190000}"/>
    <cellStyle name="Standard 6 3 2 11 5 2" xfId="6513" xr:uid="{00000000-0005-0000-0000-000078190000}"/>
    <cellStyle name="Standard 6 3 2 11 5 2 2" xfId="6514" xr:uid="{00000000-0005-0000-0000-000079190000}"/>
    <cellStyle name="Standard 6 3 2 11 5 2 2 2" xfId="18475" xr:uid="{2A87AC3E-D965-483B-85C8-308D94A866E1}"/>
    <cellStyle name="Standard 6 3 2 11 5 2 3" xfId="18474" xr:uid="{072B281F-D856-460C-A2BE-11C91B2B77A4}"/>
    <cellStyle name="Standard 6 3 2 11 5 3" xfId="6515" xr:uid="{00000000-0005-0000-0000-00007A190000}"/>
    <cellStyle name="Standard 6 3 2 11 5 3 2" xfId="18476" xr:uid="{D05B3F7D-A910-4893-BF67-333F9F801E3A}"/>
    <cellStyle name="Standard 6 3 2 11 5 4" xfId="18473" xr:uid="{541CB9AF-1DE6-49EE-87CE-D899DF3FA9FB}"/>
    <cellStyle name="Standard 6 3 2 11 6" xfId="6516" xr:uid="{00000000-0005-0000-0000-00007B190000}"/>
    <cellStyle name="Standard 6 3 2 11 6 2" xfId="6517" xr:uid="{00000000-0005-0000-0000-00007C190000}"/>
    <cellStyle name="Standard 6 3 2 11 6 2 2" xfId="6518" xr:uid="{00000000-0005-0000-0000-00007D190000}"/>
    <cellStyle name="Standard 6 3 2 11 6 2 2 2" xfId="18479" xr:uid="{6E6AE6B0-1062-4F9A-B5AC-906955F658A2}"/>
    <cellStyle name="Standard 6 3 2 11 6 2 3" xfId="18478" xr:uid="{88547030-3FA6-4915-A5B9-A29CEE607458}"/>
    <cellStyle name="Standard 6 3 2 11 6 3" xfId="6519" xr:uid="{00000000-0005-0000-0000-00007E190000}"/>
    <cellStyle name="Standard 6 3 2 11 6 3 2" xfId="18480" xr:uid="{DB9D9551-2243-4534-BCEF-686FD6A706C8}"/>
    <cellStyle name="Standard 6 3 2 11 6 4" xfId="18477" xr:uid="{391A4244-32A4-49B6-ADF9-E700076E4CA4}"/>
    <cellStyle name="Standard 6 3 2 11 7" xfId="6520" xr:uid="{00000000-0005-0000-0000-00007F190000}"/>
    <cellStyle name="Standard 6 3 2 11 7 2" xfId="6521" xr:uid="{00000000-0005-0000-0000-000080190000}"/>
    <cellStyle name="Standard 6 3 2 11 7 2 2" xfId="18482" xr:uid="{1AAA1571-A044-4449-AD2A-FF077AC0C340}"/>
    <cellStyle name="Standard 6 3 2 11 7 3" xfId="18481" xr:uid="{CA128ED0-C92A-4A11-823E-4723EC61FD8A}"/>
    <cellStyle name="Standard 6 3 2 11 8" xfId="6522" xr:uid="{00000000-0005-0000-0000-000081190000}"/>
    <cellStyle name="Standard 6 3 2 11 8 2" xfId="18483" xr:uid="{1424558F-1B4C-467F-A456-6C557EB32A02}"/>
    <cellStyle name="Standard 6 3 2 11 9" xfId="18460" xr:uid="{239AE87C-81DC-4FB4-9E8B-AAA6328A25DF}"/>
    <cellStyle name="Standard 6 3 2 12" xfId="6523" xr:uid="{00000000-0005-0000-0000-000082190000}"/>
    <cellStyle name="Standard 6 3 2 12 2" xfId="6524" xr:uid="{00000000-0005-0000-0000-000083190000}"/>
    <cellStyle name="Standard 6 3 2 12 2 2" xfId="6525" xr:uid="{00000000-0005-0000-0000-000084190000}"/>
    <cellStyle name="Standard 6 3 2 12 2 2 2" xfId="18486" xr:uid="{3480E9A3-C556-49DF-9DF9-7FEC4A260E4A}"/>
    <cellStyle name="Standard 6 3 2 12 2 3" xfId="18485" xr:uid="{994AF303-51FC-4EC1-86E3-7F399EEDBE50}"/>
    <cellStyle name="Standard 6 3 2 12 3" xfId="6526" xr:uid="{00000000-0005-0000-0000-000085190000}"/>
    <cellStyle name="Standard 6 3 2 12 3 2" xfId="18487" xr:uid="{83152B7C-FBD5-47DD-AAF5-09B381E4B472}"/>
    <cellStyle name="Standard 6 3 2 12 4" xfId="18484" xr:uid="{E932625F-93BF-49E2-BA39-68CF71D78EB8}"/>
    <cellStyle name="Standard 6 3 2 13" xfId="6527" xr:uid="{00000000-0005-0000-0000-000086190000}"/>
    <cellStyle name="Standard 6 3 2 13 2" xfId="6528" xr:uid="{00000000-0005-0000-0000-000087190000}"/>
    <cellStyle name="Standard 6 3 2 13 2 2" xfId="6529" xr:uid="{00000000-0005-0000-0000-000088190000}"/>
    <cellStyle name="Standard 6 3 2 13 2 2 2" xfId="18490" xr:uid="{58D664F3-6BC2-4BCE-BC6B-FE321D9EBA99}"/>
    <cellStyle name="Standard 6 3 2 13 2 3" xfId="18489" xr:uid="{1E358A0C-E31F-4EBA-A380-E8A86B1FA79D}"/>
    <cellStyle name="Standard 6 3 2 13 3" xfId="6530" xr:uid="{00000000-0005-0000-0000-000089190000}"/>
    <cellStyle name="Standard 6 3 2 13 3 2" xfId="18491" xr:uid="{BB154311-9989-4EA1-B5DD-E1FD63852916}"/>
    <cellStyle name="Standard 6 3 2 13 4" xfId="18488" xr:uid="{A72042FF-DBBF-4A5A-BF3C-652D4A31E7CF}"/>
    <cellStyle name="Standard 6 3 2 14" xfId="6531" xr:uid="{00000000-0005-0000-0000-00008A190000}"/>
    <cellStyle name="Standard 6 3 2 14 2" xfId="6532" xr:uid="{00000000-0005-0000-0000-00008B190000}"/>
    <cellStyle name="Standard 6 3 2 14 2 2" xfId="6533" xr:uid="{00000000-0005-0000-0000-00008C190000}"/>
    <cellStyle name="Standard 6 3 2 14 2 2 2" xfId="18494" xr:uid="{477CB5DA-1604-4FB8-9741-02AED3233806}"/>
    <cellStyle name="Standard 6 3 2 14 2 3" xfId="18493" xr:uid="{0FB50395-08BC-472A-A539-CF2F99FB971D}"/>
    <cellStyle name="Standard 6 3 2 14 3" xfId="6534" xr:uid="{00000000-0005-0000-0000-00008D190000}"/>
    <cellStyle name="Standard 6 3 2 14 3 2" xfId="18495" xr:uid="{20DAB271-0999-4B56-B889-5FD1F6A58D92}"/>
    <cellStyle name="Standard 6 3 2 14 4" xfId="18492" xr:uid="{519B247E-D1DD-4DE0-AA00-EB4392ACBBD4}"/>
    <cellStyle name="Standard 6 3 2 15" xfId="6535" xr:uid="{00000000-0005-0000-0000-00008E190000}"/>
    <cellStyle name="Standard 6 3 2 15 2" xfId="6536" xr:uid="{00000000-0005-0000-0000-00008F190000}"/>
    <cellStyle name="Standard 6 3 2 15 2 2" xfId="6537" xr:uid="{00000000-0005-0000-0000-000090190000}"/>
    <cellStyle name="Standard 6 3 2 15 2 2 2" xfId="18498" xr:uid="{EB48FFC9-F74E-4CA6-A59B-538DA8EF7CBE}"/>
    <cellStyle name="Standard 6 3 2 15 2 3" xfId="18497" xr:uid="{DF80C7EB-9362-4BD5-8FB4-18D53DEF3AF1}"/>
    <cellStyle name="Standard 6 3 2 15 3" xfId="6538" xr:uid="{00000000-0005-0000-0000-000091190000}"/>
    <cellStyle name="Standard 6 3 2 15 3 2" xfId="18499" xr:uid="{8B92F9B6-E159-4DF0-91B1-EF8AFBC26A45}"/>
    <cellStyle name="Standard 6 3 2 15 4" xfId="18496" xr:uid="{D56A557A-8822-4734-A582-65C2D962A025}"/>
    <cellStyle name="Standard 6 3 2 16" xfId="6539" xr:uid="{00000000-0005-0000-0000-000092190000}"/>
    <cellStyle name="Standard 6 3 2 16 2" xfId="6540" xr:uid="{00000000-0005-0000-0000-000093190000}"/>
    <cellStyle name="Standard 6 3 2 16 2 2" xfId="6541" xr:uid="{00000000-0005-0000-0000-000094190000}"/>
    <cellStyle name="Standard 6 3 2 16 2 2 2" xfId="18502" xr:uid="{ED88D9AC-E02F-4098-9B09-CE2C9B1D28FB}"/>
    <cellStyle name="Standard 6 3 2 16 2 3" xfId="18501" xr:uid="{6BF4E7E1-4826-4084-8E5C-C48062E741EE}"/>
    <cellStyle name="Standard 6 3 2 16 3" xfId="6542" xr:uid="{00000000-0005-0000-0000-000095190000}"/>
    <cellStyle name="Standard 6 3 2 16 3 2" xfId="18503" xr:uid="{2CF604EF-DFC5-4D87-952B-6F0CD84F2DD4}"/>
    <cellStyle name="Standard 6 3 2 16 4" xfId="18500" xr:uid="{C17CAF2D-7FEE-4507-BC8A-4862A8759E70}"/>
    <cellStyle name="Standard 6 3 2 17" xfId="6543" xr:uid="{00000000-0005-0000-0000-000096190000}"/>
    <cellStyle name="Standard 6 3 2 17 2" xfId="6544" xr:uid="{00000000-0005-0000-0000-000097190000}"/>
    <cellStyle name="Standard 6 3 2 17 2 2" xfId="6545" xr:uid="{00000000-0005-0000-0000-000098190000}"/>
    <cellStyle name="Standard 6 3 2 17 2 2 2" xfId="18506" xr:uid="{999C7E21-4531-4637-8E55-26A8C8EEABDC}"/>
    <cellStyle name="Standard 6 3 2 17 2 3" xfId="18505" xr:uid="{0C3C6F6F-1C06-430A-AC0F-860A0595B243}"/>
    <cellStyle name="Standard 6 3 2 17 3" xfId="6546" xr:uid="{00000000-0005-0000-0000-000099190000}"/>
    <cellStyle name="Standard 6 3 2 17 3 2" xfId="18507" xr:uid="{FA538179-390D-418D-9ADC-1CDFDD5E79A8}"/>
    <cellStyle name="Standard 6 3 2 17 4" xfId="18504" xr:uid="{E409C960-A6C4-441D-85E1-BE8B25857C1F}"/>
    <cellStyle name="Standard 6 3 2 18" xfId="6547" xr:uid="{00000000-0005-0000-0000-00009A190000}"/>
    <cellStyle name="Standard 6 3 2 18 2" xfId="6548" xr:uid="{00000000-0005-0000-0000-00009B190000}"/>
    <cellStyle name="Standard 6 3 2 18 2 2" xfId="6549" xr:uid="{00000000-0005-0000-0000-00009C190000}"/>
    <cellStyle name="Standard 6 3 2 18 2 2 2" xfId="18510" xr:uid="{66892254-D332-4865-8336-5680BDC71055}"/>
    <cellStyle name="Standard 6 3 2 18 2 3" xfId="18509" xr:uid="{5C7FEABD-0142-4A28-BE23-661A469EAF20}"/>
    <cellStyle name="Standard 6 3 2 18 3" xfId="6550" xr:uid="{00000000-0005-0000-0000-00009D190000}"/>
    <cellStyle name="Standard 6 3 2 18 3 2" xfId="18511" xr:uid="{1CEB35D8-2CFB-400C-9902-DD668BFB4B10}"/>
    <cellStyle name="Standard 6 3 2 18 4" xfId="18508" xr:uid="{EBE6FAC3-2D4E-447F-B5E2-365F2714D8A6}"/>
    <cellStyle name="Standard 6 3 2 19" xfId="6551" xr:uid="{00000000-0005-0000-0000-00009E190000}"/>
    <cellStyle name="Standard 6 3 2 19 2" xfId="6552" xr:uid="{00000000-0005-0000-0000-00009F190000}"/>
    <cellStyle name="Standard 6 3 2 19 2 2" xfId="6553" xr:uid="{00000000-0005-0000-0000-0000A0190000}"/>
    <cellStyle name="Standard 6 3 2 19 2 2 2" xfId="18514" xr:uid="{DCC4B2D7-A0F9-4D80-9C15-342809977E8C}"/>
    <cellStyle name="Standard 6 3 2 19 2 3" xfId="18513" xr:uid="{DA3A2210-3C6C-43EB-8967-DEF789232F45}"/>
    <cellStyle name="Standard 6 3 2 19 3" xfId="6554" xr:uid="{00000000-0005-0000-0000-0000A1190000}"/>
    <cellStyle name="Standard 6 3 2 19 3 2" xfId="18515" xr:uid="{2FD240C4-C3DB-4D0C-B25E-E7FC52DCBAED}"/>
    <cellStyle name="Standard 6 3 2 19 4" xfId="18512" xr:uid="{34F52FF5-F33B-4380-8EFA-4D3D6B3C6BC5}"/>
    <cellStyle name="Standard 6 3 2 2" xfId="6555" xr:uid="{00000000-0005-0000-0000-0000A2190000}"/>
    <cellStyle name="Standard 6 3 2 2 10" xfId="6556" xr:uid="{00000000-0005-0000-0000-0000A3190000}"/>
    <cellStyle name="Standard 6 3 2 2 10 2" xfId="6557" xr:uid="{00000000-0005-0000-0000-0000A4190000}"/>
    <cellStyle name="Standard 6 3 2 2 10 2 2" xfId="6558" xr:uid="{00000000-0005-0000-0000-0000A5190000}"/>
    <cellStyle name="Standard 6 3 2 2 10 2 2 2" xfId="18519" xr:uid="{BF27514F-6EEF-4F36-B1EF-2DEFDA9B47C5}"/>
    <cellStyle name="Standard 6 3 2 2 10 2 3" xfId="18518" xr:uid="{6FD6A776-DD71-4A1C-9092-DBC25A6F1CC0}"/>
    <cellStyle name="Standard 6 3 2 2 10 3" xfId="6559" xr:uid="{00000000-0005-0000-0000-0000A6190000}"/>
    <cellStyle name="Standard 6 3 2 2 10 3 2" xfId="18520" xr:uid="{9AA9F3E7-BB50-4CB7-B489-F9FEC77A9637}"/>
    <cellStyle name="Standard 6 3 2 2 10 4" xfId="18517" xr:uid="{D5B3EFD6-8F19-486E-AEBA-7028705C29B6}"/>
    <cellStyle name="Standard 6 3 2 2 11" xfId="6560" xr:uid="{00000000-0005-0000-0000-0000A7190000}"/>
    <cellStyle name="Standard 6 3 2 2 11 2" xfId="6561" xr:uid="{00000000-0005-0000-0000-0000A8190000}"/>
    <cellStyle name="Standard 6 3 2 2 11 2 2" xfId="6562" xr:uid="{00000000-0005-0000-0000-0000A9190000}"/>
    <cellStyle name="Standard 6 3 2 2 11 2 2 2" xfId="18523" xr:uid="{CD6D099A-9E25-463C-8400-F314144FCC85}"/>
    <cellStyle name="Standard 6 3 2 2 11 2 3" xfId="18522" xr:uid="{B332C87F-D39B-4C39-B305-0858AA2FDFD3}"/>
    <cellStyle name="Standard 6 3 2 2 11 3" xfId="6563" xr:uid="{00000000-0005-0000-0000-0000AA190000}"/>
    <cellStyle name="Standard 6 3 2 2 11 3 2" xfId="18524" xr:uid="{8FB71B6F-2272-41CE-A3D0-B0633966D933}"/>
    <cellStyle name="Standard 6 3 2 2 11 4" xfId="18521" xr:uid="{41274FEB-7ACE-468F-87D2-DE0507EA808E}"/>
    <cellStyle name="Standard 6 3 2 2 12" xfId="6564" xr:uid="{00000000-0005-0000-0000-0000AB190000}"/>
    <cellStyle name="Standard 6 3 2 2 12 2" xfId="6565" xr:uid="{00000000-0005-0000-0000-0000AC190000}"/>
    <cellStyle name="Standard 6 3 2 2 12 2 2" xfId="6566" xr:uid="{00000000-0005-0000-0000-0000AD190000}"/>
    <cellStyle name="Standard 6 3 2 2 12 2 2 2" xfId="18527" xr:uid="{7B45205A-D5A4-436B-849F-4E20FC715660}"/>
    <cellStyle name="Standard 6 3 2 2 12 2 3" xfId="18526" xr:uid="{BBD12188-EFBA-4725-A41F-096F1B75CDAB}"/>
    <cellStyle name="Standard 6 3 2 2 12 3" xfId="6567" xr:uid="{00000000-0005-0000-0000-0000AE190000}"/>
    <cellStyle name="Standard 6 3 2 2 12 3 2" xfId="18528" xr:uid="{26692476-BE31-4CB7-B8EF-FD47AE75AFEE}"/>
    <cellStyle name="Standard 6 3 2 2 12 4" xfId="18525" xr:uid="{95C23B2C-2F13-415E-AEC6-859EE80203A9}"/>
    <cellStyle name="Standard 6 3 2 2 13" xfId="6568" xr:uid="{00000000-0005-0000-0000-0000AF190000}"/>
    <cellStyle name="Standard 6 3 2 2 13 2" xfId="6569" xr:uid="{00000000-0005-0000-0000-0000B0190000}"/>
    <cellStyle name="Standard 6 3 2 2 13 2 2" xfId="6570" xr:uid="{00000000-0005-0000-0000-0000B1190000}"/>
    <cellStyle name="Standard 6 3 2 2 13 2 2 2" xfId="18531" xr:uid="{226929CC-ACD4-4D03-B06C-7DC70256536E}"/>
    <cellStyle name="Standard 6 3 2 2 13 2 3" xfId="18530" xr:uid="{098DA197-9465-48B8-B6C6-56D1074DD197}"/>
    <cellStyle name="Standard 6 3 2 2 13 3" xfId="6571" xr:uid="{00000000-0005-0000-0000-0000B2190000}"/>
    <cellStyle name="Standard 6 3 2 2 13 3 2" xfId="18532" xr:uid="{46C54EFE-B5A9-4E90-8534-B3967CCE4172}"/>
    <cellStyle name="Standard 6 3 2 2 13 4" xfId="18529" xr:uid="{C16D7CFA-A697-4775-8587-F1445C031299}"/>
    <cellStyle name="Standard 6 3 2 2 14" xfId="6572" xr:uid="{00000000-0005-0000-0000-0000B3190000}"/>
    <cellStyle name="Standard 6 3 2 2 14 2" xfId="6573" xr:uid="{00000000-0005-0000-0000-0000B4190000}"/>
    <cellStyle name="Standard 6 3 2 2 14 2 2" xfId="6574" xr:uid="{00000000-0005-0000-0000-0000B5190000}"/>
    <cellStyle name="Standard 6 3 2 2 14 2 2 2" xfId="18535" xr:uid="{CDFC16E9-C3F7-4257-A656-7B48FDDA1D34}"/>
    <cellStyle name="Standard 6 3 2 2 14 2 3" xfId="18534" xr:uid="{C8192271-1DC5-477D-9397-91895454D132}"/>
    <cellStyle name="Standard 6 3 2 2 14 3" xfId="6575" xr:uid="{00000000-0005-0000-0000-0000B6190000}"/>
    <cellStyle name="Standard 6 3 2 2 14 3 2" xfId="18536" xr:uid="{4F0C3ABF-B127-46A8-98E5-157F43FE562C}"/>
    <cellStyle name="Standard 6 3 2 2 14 4" xfId="18533" xr:uid="{6B5BB7E2-3058-4682-9751-882846072550}"/>
    <cellStyle name="Standard 6 3 2 2 15" xfId="6576" xr:uid="{00000000-0005-0000-0000-0000B7190000}"/>
    <cellStyle name="Standard 6 3 2 2 15 2" xfId="6577" xr:uid="{00000000-0005-0000-0000-0000B8190000}"/>
    <cellStyle name="Standard 6 3 2 2 15 2 2" xfId="6578" xr:uid="{00000000-0005-0000-0000-0000B9190000}"/>
    <cellStyle name="Standard 6 3 2 2 15 2 2 2" xfId="18539" xr:uid="{30DE4789-AC2D-4FE0-800E-3B13D8833770}"/>
    <cellStyle name="Standard 6 3 2 2 15 2 3" xfId="18538" xr:uid="{1C27D7BE-4776-4DE5-A872-A6BEFBD9C1A4}"/>
    <cellStyle name="Standard 6 3 2 2 15 3" xfId="6579" xr:uid="{00000000-0005-0000-0000-0000BA190000}"/>
    <cellStyle name="Standard 6 3 2 2 15 3 2" xfId="18540" xr:uid="{396666EC-A102-4029-AA78-1DC2D77716D5}"/>
    <cellStyle name="Standard 6 3 2 2 15 4" xfId="18537" xr:uid="{970CA755-0E11-4B06-8FE9-AA2A320EF415}"/>
    <cellStyle name="Standard 6 3 2 2 16" xfId="6580" xr:uid="{00000000-0005-0000-0000-0000BB190000}"/>
    <cellStyle name="Standard 6 3 2 2 16 2" xfId="6581" xr:uid="{00000000-0005-0000-0000-0000BC190000}"/>
    <cellStyle name="Standard 6 3 2 2 16 2 2" xfId="6582" xr:uid="{00000000-0005-0000-0000-0000BD190000}"/>
    <cellStyle name="Standard 6 3 2 2 16 2 2 2" xfId="18543" xr:uid="{EC42F88A-5DD5-4EE5-8011-50AA473FC06C}"/>
    <cellStyle name="Standard 6 3 2 2 16 2 3" xfId="18542" xr:uid="{7825F45A-A051-432F-A7D8-95550157427A}"/>
    <cellStyle name="Standard 6 3 2 2 16 3" xfId="6583" xr:uid="{00000000-0005-0000-0000-0000BE190000}"/>
    <cellStyle name="Standard 6 3 2 2 16 3 2" xfId="18544" xr:uid="{0534E9BF-9C9D-445D-8887-52C61832866E}"/>
    <cellStyle name="Standard 6 3 2 2 16 4" xfId="18541" xr:uid="{7390274F-A034-4940-9C6A-BB226A3C07B5}"/>
    <cellStyle name="Standard 6 3 2 2 17" xfId="6584" xr:uid="{00000000-0005-0000-0000-0000BF190000}"/>
    <cellStyle name="Standard 6 3 2 2 17 2" xfId="6585" xr:uid="{00000000-0005-0000-0000-0000C0190000}"/>
    <cellStyle name="Standard 6 3 2 2 17 2 2" xfId="6586" xr:uid="{00000000-0005-0000-0000-0000C1190000}"/>
    <cellStyle name="Standard 6 3 2 2 17 2 2 2" xfId="18547" xr:uid="{A6ED3937-CAB9-42A5-BD6A-9875A889F475}"/>
    <cellStyle name="Standard 6 3 2 2 17 2 3" xfId="18546" xr:uid="{938572AD-50A9-4073-A2E4-7416F541E049}"/>
    <cellStyle name="Standard 6 3 2 2 17 3" xfId="6587" xr:uid="{00000000-0005-0000-0000-0000C2190000}"/>
    <cellStyle name="Standard 6 3 2 2 17 3 2" xfId="18548" xr:uid="{F2827A60-4390-478D-A67C-7761749C74A0}"/>
    <cellStyle name="Standard 6 3 2 2 17 4" xfId="18545" xr:uid="{E2034A38-37A4-4779-88EA-B2BDC23BAB87}"/>
    <cellStyle name="Standard 6 3 2 2 18" xfId="6588" xr:uid="{00000000-0005-0000-0000-0000C3190000}"/>
    <cellStyle name="Standard 6 3 2 2 18 2" xfId="6589" xr:uid="{00000000-0005-0000-0000-0000C4190000}"/>
    <cellStyle name="Standard 6 3 2 2 18 2 2" xfId="6590" xr:uid="{00000000-0005-0000-0000-0000C5190000}"/>
    <cellStyle name="Standard 6 3 2 2 18 2 2 2" xfId="18551" xr:uid="{BEA1311D-2DA5-4CEF-967F-0A00677D55A1}"/>
    <cellStyle name="Standard 6 3 2 2 18 2 3" xfId="18550" xr:uid="{52601375-8AEC-4CDF-8909-2AA5695AE636}"/>
    <cellStyle name="Standard 6 3 2 2 18 3" xfId="6591" xr:uid="{00000000-0005-0000-0000-0000C6190000}"/>
    <cellStyle name="Standard 6 3 2 2 18 3 2" xfId="18552" xr:uid="{5F1C4599-CE60-4BA4-8549-90548D9926CD}"/>
    <cellStyle name="Standard 6 3 2 2 18 4" xfId="18549" xr:uid="{FBC9C6CE-1C3A-4302-A27B-DDAAC149A7E1}"/>
    <cellStyle name="Standard 6 3 2 2 19" xfId="6592" xr:uid="{00000000-0005-0000-0000-0000C7190000}"/>
    <cellStyle name="Standard 6 3 2 2 19 2" xfId="6593" xr:uid="{00000000-0005-0000-0000-0000C8190000}"/>
    <cellStyle name="Standard 6 3 2 2 19 2 2" xfId="6594" xr:uid="{00000000-0005-0000-0000-0000C9190000}"/>
    <cellStyle name="Standard 6 3 2 2 19 2 2 2" xfId="18555" xr:uid="{F54C0A35-DA83-46A7-90FB-A275FF8E3126}"/>
    <cellStyle name="Standard 6 3 2 2 19 2 3" xfId="18554" xr:uid="{F6710B6C-937E-4754-B3F7-E330B8791370}"/>
    <cellStyle name="Standard 6 3 2 2 19 3" xfId="6595" xr:uid="{00000000-0005-0000-0000-0000CA190000}"/>
    <cellStyle name="Standard 6 3 2 2 19 3 2" xfId="18556" xr:uid="{5140361B-4C7C-4496-BF46-EC20AD8B1920}"/>
    <cellStyle name="Standard 6 3 2 2 19 4" xfId="18553" xr:uid="{9EF3602A-0F5F-4E0A-B81C-9D40A8DB0A6C}"/>
    <cellStyle name="Standard 6 3 2 2 2" xfId="6596" xr:uid="{00000000-0005-0000-0000-0000CB190000}"/>
    <cellStyle name="Standard 6 3 2 2 2 10" xfId="6597" xr:uid="{00000000-0005-0000-0000-0000CC190000}"/>
    <cellStyle name="Standard 6 3 2 2 2 10 2" xfId="6598" xr:uid="{00000000-0005-0000-0000-0000CD190000}"/>
    <cellStyle name="Standard 6 3 2 2 2 10 2 2" xfId="18559" xr:uid="{CE081F73-5587-4963-84F9-B709A967DAFD}"/>
    <cellStyle name="Standard 6 3 2 2 2 10 3" xfId="18558" xr:uid="{5B9EB922-7975-4C4B-95B9-B6567FE79E66}"/>
    <cellStyle name="Standard 6 3 2 2 2 11" xfId="6599" xr:uid="{00000000-0005-0000-0000-0000CE190000}"/>
    <cellStyle name="Standard 6 3 2 2 2 11 2" xfId="18560" xr:uid="{3BBF8023-B5CB-458F-8845-3637E86C28F6}"/>
    <cellStyle name="Standard 6 3 2 2 2 12" xfId="18557" xr:uid="{7FACA31C-6E1D-435C-A41C-45A0F9E34D35}"/>
    <cellStyle name="Standard 6 3 2 2 2 2" xfId="6600" xr:uid="{00000000-0005-0000-0000-0000CF190000}"/>
    <cellStyle name="Standard 6 3 2 2 2 2 10" xfId="6601" xr:uid="{00000000-0005-0000-0000-0000D0190000}"/>
    <cellStyle name="Standard 6 3 2 2 2 2 10 2" xfId="18562" xr:uid="{E93EEA4E-E611-4BEE-8CE4-D23F06350255}"/>
    <cellStyle name="Standard 6 3 2 2 2 2 11" xfId="18561" xr:uid="{BFC63A1E-24C9-4F88-A4C8-8020FC0330B9}"/>
    <cellStyle name="Standard 6 3 2 2 2 2 2" xfId="6602" xr:uid="{00000000-0005-0000-0000-0000D1190000}"/>
    <cellStyle name="Standard 6 3 2 2 2 2 2 10" xfId="18563" xr:uid="{975B9486-5CF4-4662-9CD3-B2428D8466C8}"/>
    <cellStyle name="Standard 6 3 2 2 2 2 2 2" xfId="6603" xr:uid="{00000000-0005-0000-0000-0000D2190000}"/>
    <cellStyle name="Standard 6 3 2 2 2 2 2 2 2" xfId="6604" xr:uid="{00000000-0005-0000-0000-0000D3190000}"/>
    <cellStyle name="Standard 6 3 2 2 2 2 2 2 2 2" xfId="6605" xr:uid="{00000000-0005-0000-0000-0000D4190000}"/>
    <cellStyle name="Standard 6 3 2 2 2 2 2 2 2 2 2" xfId="18566" xr:uid="{3B2A3324-5F19-45CD-9CAA-50E2D0A3C82F}"/>
    <cellStyle name="Standard 6 3 2 2 2 2 2 2 2 3" xfId="18565" xr:uid="{4DB08B53-CADE-4DA2-AF96-687CE1663472}"/>
    <cellStyle name="Standard 6 3 2 2 2 2 2 2 3" xfId="6606" xr:uid="{00000000-0005-0000-0000-0000D5190000}"/>
    <cellStyle name="Standard 6 3 2 2 2 2 2 2 3 2" xfId="18567" xr:uid="{B5C508AC-D8C6-4656-80E9-E6D7F7FFB5E1}"/>
    <cellStyle name="Standard 6 3 2 2 2 2 2 2 4" xfId="18564" xr:uid="{FA8F4CCC-E23C-485F-A729-EE8D84255A7A}"/>
    <cellStyle name="Standard 6 3 2 2 2 2 2 3" xfId="6607" xr:uid="{00000000-0005-0000-0000-0000D6190000}"/>
    <cellStyle name="Standard 6 3 2 2 2 2 2 3 2" xfId="6608" xr:uid="{00000000-0005-0000-0000-0000D7190000}"/>
    <cellStyle name="Standard 6 3 2 2 2 2 2 3 2 2" xfId="6609" xr:uid="{00000000-0005-0000-0000-0000D8190000}"/>
    <cellStyle name="Standard 6 3 2 2 2 2 2 3 2 2 2" xfId="18570" xr:uid="{A2FC7C7A-90C3-4822-B80B-5D48D8DAFEAC}"/>
    <cellStyle name="Standard 6 3 2 2 2 2 2 3 2 3" xfId="18569" xr:uid="{8FA5FD10-AF5C-4D6C-8C5A-8452A804DE64}"/>
    <cellStyle name="Standard 6 3 2 2 2 2 2 3 3" xfId="6610" xr:uid="{00000000-0005-0000-0000-0000D9190000}"/>
    <cellStyle name="Standard 6 3 2 2 2 2 2 3 3 2" xfId="18571" xr:uid="{5355E9E1-04FF-41DC-AD43-12FB1D824069}"/>
    <cellStyle name="Standard 6 3 2 2 2 2 2 3 4" xfId="18568" xr:uid="{DE499A88-CC50-45B2-ACF7-14A804F2774C}"/>
    <cellStyle name="Standard 6 3 2 2 2 2 2 4" xfId="6611" xr:uid="{00000000-0005-0000-0000-0000DA190000}"/>
    <cellStyle name="Standard 6 3 2 2 2 2 2 4 2" xfId="6612" xr:uid="{00000000-0005-0000-0000-0000DB190000}"/>
    <cellStyle name="Standard 6 3 2 2 2 2 2 4 2 2" xfId="6613" xr:uid="{00000000-0005-0000-0000-0000DC190000}"/>
    <cellStyle name="Standard 6 3 2 2 2 2 2 4 2 2 2" xfId="18574" xr:uid="{2D1ED20A-6CDA-482B-B6F8-4C7B811D4672}"/>
    <cellStyle name="Standard 6 3 2 2 2 2 2 4 2 3" xfId="18573" xr:uid="{6EF3EC3F-D4BD-480B-A623-52DACD254A7D}"/>
    <cellStyle name="Standard 6 3 2 2 2 2 2 4 3" xfId="6614" xr:uid="{00000000-0005-0000-0000-0000DD190000}"/>
    <cellStyle name="Standard 6 3 2 2 2 2 2 4 3 2" xfId="18575" xr:uid="{D73F37E5-76B4-46BD-9B50-6B487D4A95D5}"/>
    <cellStyle name="Standard 6 3 2 2 2 2 2 4 4" xfId="18572" xr:uid="{76282A1D-5046-4685-9D9A-077A5D69C7B0}"/>
    <cellStyle name="Standard 6 3 2 2 2 2 2 5" xfId="6615" xr:uid="{00000000-0005-0000-0000-0000DE190000}"/>
    <cellStyle name="Standard 6 3 2 2 2 2 2 5 2" xfId="6616" xr:uid="{00000000-0005-0000-0000-0000DF190000}"/>
    <cellStyle name="Standard 6 3 2 2 2 2 2 5 2 2" xfId="6617" xr:uid="{00000000-0005-0000-0000-0000E0190000}"/>
    <cellStyle name="Standard 6 3 2 2 2 2 2 5 2 2 2" xfId="18578" xr:uid="{CC03FB1E-664F-4A80-A63A-D15A8CCE7EC2}"/>
    <cellStyle name="Standard 6 3 2 2 2 2 2 5 2 3" xfId="18577" xr:uid="{5B0F4B56-5E9E-4848-B746-5077E72D9D9A}"/>
    <cellStyle name="Standard 6 3 2 2 2 2 2 5 3" xfId="6618" xr:uid="{00000000-0005-0000-0000-0000E1190000}"/>
    <cellStyle name="Standard 6 3 2 2 2 2 2 5 3 2" xfId="18579" xr:uid="{389D6FA1-C1E6-4B6D-B957-6D77EBB53DAE}"/>
    <cellStyle name="Standard 6 3 2 2 2 2 2 5 4" xfId="18576" xr:uid="{AEDF7BC6-ADA4-40A4-B05A-B3BC7EB85A5B}"/>
    <cellStyle name="Standard 6 3 2 2 2 2 2 6" xfId="6619" xr:uid="{00000000-0005-0000-0000-0000E2190000}"/>
    <cellStyle name="Standard 6 3 2 2 2 2 2 6 2" xfId="6620" xr:uid="{00000000-0005-0000-0000-0000E3190000}"/>
    <cellStyle name="Standard 6 3 2 2 2 2 2 6 2 2" xfId="6621" xr:uid="{00000000-0005-0000-0000-0000E4190000}"/>
    <cellStyle name="Standard 6 3 2 2 2 2 2 6 2 2 2" xfId="18582" xr:uid="{B5A53D18-FA20-4398-802C-3BE9281AF284}"/>
    <cellStyle name="Standard 6 3 2 2 2 2 2 6 2 3" xfId="18581" xr:uid="{16EE6561-58D7-465D-8A0C-CA8909EB945E}"/>
    <cellStyle name="Standard 6 3 2 2 2 2 2 6 3" xfId="6622" xr:uid="{00000000-0005-0000-0000-0000E5190000}"/>
    <cellStyle name="Standard 6 3 2 2 2 2 2 6 3 2" xfId="18583" xr:uid="{09B55330-0E0B-4695-AC01-42EF25AF3256}"/>
    <cellStyle name="Standard 6 3 2 2 2 2 2 6 4" xfId="18580" xr:uid="{51F414F9-B4CE-4A7F-80AC-DA31AE25C3D5}"/>
    <cellStyle name="Standard 6 3 2 2 2 2 2 7" xfId="6623" xr:uid="{00000000-0005-0000-0000-0000E6190000}"/>
    <cellStyle name="Standard 6 3 2 2 2 2 2 7 2" xfId="6624" xr:uid="{00000000-0005-0000-0000-0000E7190000}"/>
    <cellStyle name="Standard 6 3 2 2 2 2 2 7 2 2" xfId="6625" xr:uid="{00000000-0005-0000-0000-0000E8190000}"/>
    <cellStyle name="Standard 6 3 2 2 2 2 2 7 2 2 2" xfId="18586" xr:uid="{AD3AC072-AD2A-4B6C-B9F2-839C9014BBD1}"/>
    <cellStyle name="Standard 6 3 2 2 2 2 2 7 2 3" xfId="18585" xr:uid="{A7ED2B53-A67C-418B-A3F2-20AC53068006}"/>
    <cellStyle name="Standard 6 3 2 2 2 2 2 7 3" xfId="6626" xr:uid="{00000000-0005-0000-0000-0000E9190000}"/>
    <cellStyle name="Standard 6 3 2 2 2 2 2 7 3 2" xfId="18587" xr:uid="{8B4FD9BC-97F2-4B1A-ADEF-5158639F7A18}"/>
    <cellStyle name="Standard 6 3 2 2 2 2 2 7 4" xfId="18584" xr:uid="{C822E584-07C6-45A7-8E6E-46D59A6D79A0}"/>
    <cellStyle name="Standard 6 3 2 2 2 2 2 8" xfId="6627" xr:uid="{00000000-0005-0000-0000-0000EA190000}"/>
    <cellStyle name="Standard 6 3 2 2 2 2 2 8 2" xfId="6628" xr:uid="{00000000-0005-0000-0000-0000EB190000}"/>
    <cellStyle name="Standard 6 3 2 2 2 2 2 8 2 2" xfId="18589" xr:uid="{B326DCCD-556E-4FD4-9764-A20A8A12AE57}"/>
    <cellStyle name="Standard 6 3 2 2 2 2 2 8 3" xfId="18588" xr:uid="{B2B4078D-C21C-4E6F-90F5-837D0CAEC54B}"/>
    <cellStyle name="Standard 6 3 2 2 2 2 2 9" xfId="6629" xr:uid="{00000000-0005-0000-0000-0000EC190000}"/>
    <cellStyle name="Standard 6 3 2 2 2 2 2 9 2" xfId="18590" xr:uid="{44A7C823-7331-43C3-9FCA-B17BAAA4D090}"/>
    <cellStyle name="Standard 6 3 2 2 2 2 3" xfId="6630" xr:uid="{00000000-0005-0000-0000-0000ED190000}"/>
    <cellStyle name="Standard 6 3 2 2 2 2 3 2" xfId="6631" xr:uid="{00000000-0005-0000-0000-0000EE190000}"/>
    <cellStyle name="Standard 6 3 2 2 2 2 3 2 2" xfId="6632" xr:uid="{00000000-0005-0000-0000-0000EF190000}"/>
    <cellStyle name="Standard 6 3 2 2 2 2 3 2 2 2" xfId="18593" xr:uid="{0D562AE0-66AC-4B1D-85A4-F8C9AD54C8C0}"/>
    <cellStyle name="Standard 6 3 2 2 2 2 3 2 3" xfId="18592" xr:uid="{9806D3FA-F6B1-4A6E-BB46-CF548B0F8B74}"/>
    <cellStyle name="Standard 6 3 2 2 2 2 3 3" xfId="6633" xr:uid="{00000000-0005-0000-0000-0000F0190000}"/>
    <cellStyle name="Standard 6 3 2 2 2 2 3 3 2" xfId="18594" xr:uid="{100BC6AC-0616-44C7-AB2E-2B2AD01B0A3B}"/>
    <cellStyle name="Standard 6 3 2 2 2 2 3 4" xfId="18591" xr:uid="{3C36A356-CA4F-430F-B72C-7A84D763A4CF}"/>
    <cellStyle name="Standard 6 3 2 2 2 2 4" xfId="6634" xr:uid="{00000000-0005-0000-0000-0000F1190000}"/>
    <cellStyle name="Standard 6 3 2 2 2 2 4 2" xfId="6635" xr:uid="{00000000-0005-0000-0000-0000F2190000}"/>
    <cellStyle name="Standard 6 3 2 2 2 2 4 2 2" xfId="6636" xr:uid="{00000000-0005-0000-0000-0000F3190000}"/>
    <cellStyle name="Standard 6 3 2 2 2 2 4 2 2 2" xfId="18597" xr:uid="{3FAF5756-8E91-4367-9B87-67329FC0061F}"/>
    <cellStyle name="Standard 6 3 2 2 2 2 4 2 3" xfId="18596" xr:uid="{4ED33779-DF07-4BBB-B778-EC2AE037395A}"/>
    <cellStyle name="Standard 6 3 2 2 2 2 4 3" xfId="6637" xr:uid="{00000000-0005-0000-0000-0000F4190000}"/>
    <cellStyle name="Standard 6 3 2 2 2 2 4 3 2" xfId="18598" xr:uid="{13451C74-A674-4706-95CF-845D83E1776B}"/>
    <cellStyle name="Standard 6 3 2 2 2 2 4 4" xfId="18595" xr:uid="{C6F77F21-3194-4BA4-BB4A-ED3FA0C7F7F6}"/>
    <cellStyle name="Standard 6 3 2 2 2 2 5" xfId="6638" xr:uid="{00000000-0005-0000-0000-0000F5190000}"/>
    <cellStyle name="Standard 6 3 2 2 2 2 5 2" xfId="6639" xr:uid="{00000000-0005-0000-0000-0000F6190000}"/>
    <cellStyle name="Standard 6 3 2 2 2 2 5 2 2" xfId="6640" xr:uid="{00000000-0005-0000-0000-0000F7190000}"/>
    <cellStyle name="Standard 6 3 2 2 2 2 5 2 2 2" xfId="18601" xr:uid="{970E239A-334B-4EA4-A7F2-A9160A79D923}"/>
    <cellStyle name="Standard 6 3 2 2 2 2 5 2 3" xfId="18600" xr:uid="{6E495E74-4B0C-4F91-88EC-FFD2285D27C7}"/>
    <cellStyle name="Standard 6 3 2 2 2 2 5 3" xfId="6641" xr:uid="{00000000-0005-0000-0000-0000F8190000}"/>
    <cellStyle name="Standard 6 3 2 2 2 2 5 3 2" xfId="18602" xr:uid="{51E2A8B3-F406-4A18-B3E3-7F42CFE3E443}"/>
    <cellStyle name="Standard 6 3 2 2 2 2 5 4" xfId="18599" xr:uid="{FB1983AB-F249-4659-91AA-BA427FC75BE3}"/>
    <cellStyle name="Standard 6 3 2 2 2 2 6" xfId="6642" xr:uid="{00000000-0005-0000-0000-0000F9190000}"/>
    <cellStyle name="Standard 6 3 2 2 2 2 6 2" xfId="6643" xr:uid="{00000000-0005-0000-0000-0000FA190000}"/>
    <cellStyle name="Standard 6 3 2 2 2 2 6 2 2" xfId="6644" xr:uid="{00000000-0005-0000-0000-0000FB190000}"/>
    <cellStyle name="Standard 6 3 2 2 2 2 6 2 2 2" xfId="18605" xr:uid="{B81AA9B6-7675-479B-BDBB-8102BB226D55}"/>
    <cellStyle name="Standard 6 3 2 2 2 2 6 2 3" xfId="18604" xr:uid="{3B5D4C8F-4F77-485C-A4E2-480F5447EAC7}"/>
    <cellStyle name="Standard 6 3 2 2 2 2 6 3" xfId="6645" xr:uid="{00000000-0005-0000-0000-0000FC190000}"/>
    <cellStyle name="Standard 6 3 2 2 2 2 6 3 2" xfId="18606" xr:uid="{3C07B0AD-9D0D-43B1-9729-E7DD1B4EA9C2}"/>
    <cellStyle name="Standard 6 3 2 2 2 2 6 4" xfId="18603" xr:uid="{1BEAAFC2-E23F-4338-B1C0-AE32E608483E}"/>
    <cellStyle name="Standard 6 3 2 2 2 2 7" xfId="6646" xr:uid="{00000000-0005-0000-0000-0000FD190000}"/>
    <cellStyle name="Standard 6 3 2 2 2 2 7 2" xfId="6647" xr:uid="{00000000-0005-0000-0000-0000FE190000}"/>
    <cellStyle name="Standard 6 3 2 2 2 2 7 2 2" xfId="6648" xr:uid="{00000000-0005-0000-0000-0000FF190000}"/>
    <cellStyle name="Standard 6 3 2 2 2 2 7 2 2 2" xfId="18609" xr:uid="{3EE7EF28-7D74-42DF-AFBB-8D2D95BCBD8B}"/>
    <cellStyle name="Standard 6 3 2 2 2 2 7 2 3" xfId="18608" xr:uid="{961A8A87-EB5D-4F1A-8B34-D9D96BC606B4}"/>
    <cellStyle name="Standard 6 3 2 2 2 2 7 3" xfId="6649" xr:uid="{00000000-0005-0000-0000-0000001A0000}"/>
    <cellStyle name="Standard 6 3 2 2 2 2 7 3 2" xfId="18610" xr:uid="{E61B9E3D-B941-413D-A543-EBB8B47A2CE6}"/>
    <cellStyle name="Standard 6 3 2 2 2 2 7 4" xfId="18607" xr:uid="{4A635607-C7EA-441D-A2E0-904BD6536A72}"/>
    <cellStyle name="Standard 6 3 2 2 2 2 8" xfId="6650" xr:uid="{00000000-0005-0000-0000-0000011A0000}"/>
    <cellStyle name="Standard 6 3 2 2 2 2 8 2" xfId="6651" xr:uid="{00000000-0005-0000-0000-0000021A0000}"/>
    <cellStyle name="Standard 6 3 2 2 2 2 8 2 2" xfId="6652" xr:uid="{00000000-0005-0000-0000-0000031A0000}"/>
    <cellStyle name="Standard 6 3 2 2 2 2 8 2 2 2" xfId="18613" xr:uid="{30AD1529-A66A-4AC8-9840-EF5DE5B14CD9}"/>
    <cellStyle name="Standard 6 3 2 2 2 2 8 2 3" xfId="18612" xr:uid="{E895865A-E5D5-4B05-90AA-8F17DFE7B2AB}"/>
    <cellStyle name="Standard 6 3 2 2 2 2 8 3" xfId="6653" xr:uid="{00000000-0005-0000-0000-0000041A0000}"/>
    <cellStyle name="Standard 6 3 2 2 2 2 8 3 2" xfId="18614" xr:uid="{E2E14400-8A1F-4C81-9C89-3CD7D18BF7CE}"/>
    <cellStyle name="Standard 6 3 2 2 2 2 8 4" xfId="18611" xr:uid="{E4370236-B3D6-4E64-A70C-BFF09E62EC3F}"/>
    <cellStyle name="Standard 6 3 2 2 2 2 9" xfId="6654" xr:uid="{00000000-0005-0000-0000-0000051A0000}"/>
    <cellStyle name="Standard 6 3 2 2 2 2 9 2" xfId="6655" xr:uid="{00000000-0005-0000-0000-0000061A0000}"/>
    <cellStyle name="Standard 6 3 2 2 2 2 9 2 2" xfId="18616" xr:uid="{5F5B8056-59D9-4A56-8C89-61DAF7FC4169}"/>
    <cellStyle name="Standard 6 3 2 2 2 2 9 3" xfId="18615" xr:uid="{4B0E8271-E89A-43C1-AF8B-0E4E95674F4D}"/>
    <cellStyle name="Standard 6 3 2 2 2 3" xfId="6656" xr:uid="{00000000-0005-0000-0000-0000071A0000}"/>
    <cellStyle name="Standard 6 3 2 2 2 3 10" xfId="18617" xr:uid="{142F5AE3-BCB0-4393-AE24-EA7C73302863}"/>
    <cellStyle name="Standard 6 3 2 2 2 3 2" xfId="6657" xr:uid="{00000000-0005-0000-0000-0000081A0000}"/>
    <cellStyle name="Standard 6 3 2 2 2 3 2 2" xfId="6658" xr:uid="{00000000-0005-0000-0000-0000091A0000}"/>
    <cellStyle name="Standard 6 3 2 2 2 3 2 2 2" xfId="6659" xr:uid="{00000000-0005-0000-0000-00000A1A0000}"/>
    <cellStyle name="Standard 6 3 2 2 2 3 2 2 2 2" xfId="18620" xr:uid="{801FF8A5-2DE1-4A07-A4A5-0EAF759FFC34}"/>
    <cellStyle name="Standard 6 3 2 2 2 3 2 2 3" xfId="18619" xr:uid="{E4526489-B3FC-4E13-8004-CA87EB0E34A1}"/>
    <cellStyle name="Standard 6 3 2 2 2 3 2 3" xfId="6660" xr:uid="{00000000-0005-0000-0000-00000B1A0000}"/>
    <cellStyle name="Standard 6 3 2 2 2 3 2 3 2" xfId="18621" xr:uid="{1D49A457-7B54-4C95-B1DD-D41ABDB8100B}"/>
    <cellStyle name="Standard 6 3 2 2 2 3 2 4" xfId="18618" xr:uid="{C580EE5B-D001-47E1-80E4-20B965F6832A}"/>
    <cellStyle name="Standard 6 3 2 2 2 3 3" xfId="6661" xr:uid="{00000000-0005-0000-0000-00000C1A0000}"/>
    <cellStyle name="Standard 6 3 2 2 2 3 3 2" xfId="6662" xr:uid="{00000000-0005-0000-0000-00000D1A0000}"/>
    <cellStyle name="Standard 6 3 2 2 2 3 3 2 2" xfId="6663" xr:uid="{00000000-0005-0000-0000-00000E1A0000}"/>
    <cellStyle name="Standard 6 3 2 2 2 3 3 2 2 2" xfId="18624" xr:uid="{2FA9031D-E7CF-4C72-8AF7-3B58362D504B}"/>
    <cellStyle name="Standard 6 3 2 2 2 3 3 2 3" xfId="18623" xr:uid="{14287E5B-EF50-409E-A9D4-4F62C0DD656F}"/>
    <cellStyle name="Standard 6 3 2 2 2 3 3 3" xfId="6664" xr:uid="{00000000-0005-0000-0000-00000F1A0000}"/>
    <cellStyle name="Standard 6 3 2 2 2 3 3 3 2" xfId="18625" xr:uid="{0A431876-0622-4B8E-818B-4B4AEBBFD1BB}"/>
    <cellStyle name="Standard 6 3 2 2 2 3 3 4" xfId="18622" xr:uid="{1A8BD40C-A334-477D-AB80-DB7AE550AB13}"/>
    <cellStyle name="Standard 6 3 2 2 2 3 4" xfId="6665" xr:uid="{00000000-0005-0000-0000-0000101A0000}"/>
    <cellStyle name="Standard 6 3 2 2 2 3 4 2" xfId="6666" xr:uid="{00000000-0005-0000-0000-0000111A0000}"/>
    <cellStyle name="Standard 6 3 2 2 2 3 4 2 2" xfId="6667" xr:uid="{00000000-0005-0000-0000-0000121A0000}"/>
    <cellStyle name="Standard 6 3 2 2 2 3 4 2 2 2" xfId="18628" xr:uid="{7697D9EC-D3A9-4D4C-AE64-F990FBCC1BB2}"/>
    <cellStyle name="Standard 6 3 2 2 2 3 4 2 3" xfId="18627" xr:uid="{2825AF90-634D-4AF2-8D52-1BFF3BB1187E}"/>
    <cellStyle name="Standard 6 3 2 2 2 3 4 3" xfId="6668" xr:uid="{00000000-0005-0000-0000-0000131A0000}"/>
    <cellStyle name="Standard 6 3 2 2 2 3 4 3 2" xfId="18629" xr:uid="{ADD10B51-1040-4C5E-AE98-10F60426DE75}"/>
    <cellStyle name="Standard 6 3 2 2 2 3 4 4" xfId="18626" xr:uid="{D82EB978-2C59-4B4D-86BA-197E212F32C9}"/>
    <cellStyle name="Standard 6 3 2 2 2 3 5" xfId="6669" xr:uid="{00000000-0005-0000-0000-0000141A0000}"/>
    <cellStyle name="Standard 6 3 2 2 2 3 5 2" xfId="6670" xr:uid="{00000000-0005-0000-0000-0000151A0000}"/>
    <cellStyle name="Standard 6 3 2 2 2 3 5 2 2" xfId="6671" xr:uid="{00000000-0005-0000-0000-0000161A0000}"/>
    <cellStyle name="Standard 6 3 2 2 2 3 5 2 2 2" xfId="18632" xr:uid="{B53F7A2B-1ACB-4725-A303-F7812129AD88}"/>
    <cellStyle name="Standard 6 3 2 2 2 3 5 2 3" xfId="18631" xr:uid="{E0E03CC7-AC4F-448B-B253-3ACC19F33A4B}"/>
    <cellStyle name="Standard 6 3 2 2 2 3 5 3" xfId="6672" xr:uid="{00000000-0005-0000-0000-0000171A0000}"/>
    <cellStyle name="Standard 6 3 2 2 2 3 5 3 2" xfId="18633" xr:uid="{BB5A7679-627A-4567-85C8-95A758EAA68A}"/>
    <cellStyle name="Standard 6 3 2 2 2 3 5 4" xfId="18630" xr:uid="{B89BFA8B-6C89-4FE8-8A49-B198E3BB46CE}"/>
    <cellStyle name="Standard 6 3 2 2 2 3 6" xfId="6673" xr:uid="{00000000-0005-0000-0000-0000181A0000}"/>
    <cellStyle name="Standard 6 3 2 2 2 3 6 2" xfId="6674" xr:uid="{00000000-0005-0000-0000-0000191A0000}"/>
    <cellStyle name="Standard 6 3 2 2 2 3 6 2 2" xfId="6675" xr:uid="{00000000-0005-0000-0000-00001A1A0000}"/>
    <cellStyle name="Standard 6 3 2 2 2 3 6 2 2 2" xfId="18636" xr:uid="{5A3C201A-0A0A-46CC-BB00-37DBF6005B23}"/>
    <cellStyle name="Standard 6 3 2 2 2 3 6 2 3" xfId="18635" xr:uid="{0F24A5B2-27B3-40BA-BD37-C42A268903A3}"/>
    <cellStyle name="Standard 6 3 2 2 2 3 6 3" xfId="6676" xr:uid="{00000000-0005-0000-0000-00001B1A0000}"/>
    <cellStyle name="Standard 6 3 2 2 2 3 6 3 2" xfId="18637" xr:uid="{7DC97146-D7FB-46A1-AB16-89A068ECD2CE}"/>
    <cellStyle name="Standard 6 3 2 2 2 3 6 4" xfId="18634" xr:uid="{2E05BE1F-7624-45C9-8CAA-B8CC881E7713}"/>
    <cellStyle name="Standard 6 3 2 2 2 3 7" xfId="6677" xr:uid="{00000000-0005-0000-0000-00001C1A0000}"/>
    <cellStyle name="Standard 6 3 2 2 2 3 7 2" xfId="6678" xr:uid="{00000000-0005-0000-0000-00001D1A0000}"/>
    <cellStyle name="Standard 6 3 2 2 2 3 7 2 2" xfId="6679" xr:uid="{00000000-0005-0000-0000-00001E1A0000}"/>
    <cellStyle name="Standard 6 3 2 2 2 3 7 2 2 2" xfId="18640" xr:uid="{6F4F6B53-2D40-453D-BBD4-64508BC07C30}"/>
    <cellStyle name="Standard 6 3 2 2 2 3 7 2 3" xfId="18639" xr:uid="{B3E0F23E-2D83-41A9-AECF-D0DFAFADF78D}"/>
    <cellStyle name="Standard 6 3 2 2 2 3 7 3" xfId="6680" xr:uid="{00000000-0005-0000-0000-00001F1A0000}"/>
    <cellStyle name="Standard 6 3 2 2 2 3 7 3 2" xfId="18641" xr:uid="{519B751F-E3A8-463E-B1E0-58D14342AF0A}"/>
    <cellStyle name="Standard 6 3 2 2 2 3 7 4" xfId="18638" xr:uid="{232A830E-5392-4483-89E5-1B674B0895D8}"/>
    <cellStyle name="Standard 6 3 2 2 2 3 8" xfId="6681" xr:uid="{00000000-0005-0000-0000-0000201A0000}"/>
    <cellStyle name="Standard 6 3 2 2 2 3 8 2" xfId="6682" xr:uid="{00000000-0005-0000-0000-0000211A0000}"/>
    <cellStyle name="Standard 6 3 2 2 2 3 8 2 2" xfId="18643" xr:uid="{2EA87405-F7BD-4CB5-9DF5-942FFE7A7F2B}"/>
    <cellStyle name="Standard 6 3 2 2 2 3 8 3" xfId="18642" xr:uid="{815834E3-9D1C-431A-AAF8-CD87A3593A6C}"/>
    <cellStyle name="Standard 6 3 2 2 2 3 9" xfId="6683" xr:uid="{00000000-0005-0000-0000-0000221A0000}"/>
    <cellStyle name="Standard 6 3 2 2 2 3 9 2" xfId="18644" xr:uid="{3A99CA5A-7508-4ED6-A1BB-5F776B30C035}"/>
    <cellStyle name="Standard 6 3 2 2 2 4" xfId="6684" xr:uid="{00000000-0005-0000-0000-0000231A0000}"/>
    <cellStyle name="Standard 6 3 2 2 2 4 2" xfId="6685" xr:uid="{00000000-0005-0000-0000-0000241A0000}"/>
    <cellStyle name="Standard 6 3 2 2 2 4 2 2" xfId="6686" xr:uid="{00000000-0005-0000-0000-0000251A0000}"/>
    <cellStyle name="Standard 6 3 2 2 2 4 2 2 2" xfId="18647" xr:uid="{BFA319D6-5B94-491C-9D5B-DAF5E0C46D0D}"/>
    <cellStyle name="Standard 6 3 2 2 2 4 2 3" xfId="18646" xr:uid="{AC0F3607-6275-4A84-8824-79A7B913BE38}"/>
    <cellStyle name="Standard 6 3 2 2 2 4 3" xfId="6687" xr:uid="{00000000-0005-0000-0000-0000261A0000}"/>
    <cellStyle name="Standard 6 3 2 2 2 4 3 2" xfId="18648" xr:uid="{F10FFC88-F605-4BC4-9423-FF21E8B5C810}"/>
    <cellStyle name="Standard 6 3 2 2 2 4 4" xfId="18645" xr:uid="{4CCDD61F-A7B7-4BD1-A08C-4F9457C77C9B}"/>
    <cellStyle name="Standard 6 3 2 2 2 5" xfId="6688" xr:uid="{00000000-0005-0000-0000-0000271A0000}"/>
    <cellStyle name="Standard 6 3 2 2 2 5 2" xfId="6689" xr:uid="{00000000-0005-0000-0000-0000281A0000}"/>
    <cellStyle name="Standard 6 3 2 2 2 5 2 2" xfId="6690" xr:uid="{00000000-0005-0000-0000-0000291A0000}"/>
    <cellStyle name="Standard 6 3 2 2 2 5 2 2 2" xfId="18651" xr:uid="{9ADE5027-72B5-490B-96FC-A3DE81A092FE}"/>
    <cellStyle name="Standard 6 3 2 2 2 5 2 3" xfId="18650" xr:uid="{887C1D50-E800-45E8-BFB9-849B653E0C2D}"/>
    <cellStyle name="Standard 6 3 2 2 2 5 3" xfId="6691" xr:uid="{00000000-0005-0000-0000-00002A1A0000}"/>
    <cellStyle name="Standard 6 3 2 2 2 5 3 2" xfId="18652" xr:uid="{6A201D61-7668-46B2-AED7-771793F304DC}"/>
    <cellStyle name="Standard 6 3 2 2 2 5 4" xfId="18649" xr:uid="{1C732990-26EA-4C11-B106-14DFB8CD3425}"/>
    <cellStyle name="Standard 6 3 2 2 2 6" xfId="6692" xr:uid="{00000000-0005-0000-0000-00002B1A0000}"/>
    <cellStyle name="Standard 6 3 2 2 2 6 2" xfId="6693" xr:uid="{00000000-0005-0000-0000-00002C1A0000}"/>
    <cellStyle name="Standard 6 3 2 2 2 6 2 2" xfId="6694" xr:uid="{00000000-0005-0000-0000-00002D1A0000}"/>
    <cellStyle name="Standard 6 3 2 2 2 6 2 2 2" xfId="18655" xr:uid="{548912CB-8DBE-47A2-8628-2F6FE25DD8F5}"/>
    <cellStyle name="Standard 6 3 2 2 2 6 2 3" xfId="18654" xr:uid="{454793C2-4E0A-4EFE-8B8C-8E5867C8ECB6}"/>
    <cellStyle name="Standard 6 3 2 2 2 6 3" xfId="6695" xr:uid="{00000000-0005-0000-0000-00002E1A0000}"/>
    <cellStyle name="Standard 6 3 2 2 2 6 3 2" xfId="18656" xr:uid="{D1BE807B-DB51-4004-8736-EF424BEF9586}"/>
    <cellStyle name="Standard 6 3 2 2 2 6 4" xfId="18653" xr:uid="{6CEBE107-64EF-4D43-A349-2A2AFCE3BC13}"/>
    <cellStyle name="Standard 6 3 2 2 2 7" xfId="6696" xr:uid="{00000000-0005-0000-0000-00002F1A0000}"/>
    <cellStyle name="Standard 6 3 2 2 2 7 2" xfId="6697" xr:uid="{00000000-0005-0000-0000-0000301A0000}"/>
    <cellStyle name="Standard 6 3 2 2 2 7 2 2" xfId="6698" xr:uid="{00000000-0005-0000-0000-0000311A0000}"/>
    <cellStyle name="Standard 6 3 2 2 2 7 2 2 2" xfId="18659" xr:uid="{9F9F4C40-DD36-4173-A477-61BD874FEE5C}"/>
    <cellStyle name="Standard 6 3 2 2 2 7 2 3" xfId="18658" xr:uid="{77AC778F-E3F2-4CF7-9125-C4B1C788C3EB}"/>
    <cellStyle name="Standard 6 3 2 2 2 7 3" xfId="6699" xr:uid="{00000000-0005-0000-0000-0000321A0000}"/>
    <cellStyle name="Standard 6 3 2 2 2 7 3 2" xfId="18660" xr:uid="{4D88ABAF-F8D6-43D5-AF8D-E07CBCBCD64E}"/>
    <cellStyle name="Standard 6 3 2 2 2 7 4" xfId="18657" xr:uid="{D3D032BA-B848-40A4-8637-312BC35F3BF8}"/>
    <cellStyle name="Standard 6 3 2 2 2 8" xfId="6700" xr:uid="{00000000-0005-0000-0000-0000331A0000}"/>
    <cellStyle name="Standard 6 3 2 2 2 8 2" xfId="6701" xr:uid="{00000000-0005-0000-0000-0000341A0000}"/>
    <cellStyle name="Standard 6 3 2 2 2 8 2 2" xfId="6702" xr:uid="{00000000-0005-0000-0000-0000351A0000}"/>
    <cellStyle name="Standard 6 3 2 2 2 8 2 2 2" xfId="18663" xr:uid="{34EA92D8-F7CE-463E-B1F4-D04BF3EE9AD1}"/>
    <cellStyle name="Standard 6 3 2 2 2 8 2 3" xfId="18662" xr:uid="{F4A9EDD6-37FD-4A22-9058-3194F16994D8}"/>
    <cellStyle name="Standard 6 3 2 2 2 8 3" xfId="6703" xr:uid="{00000000-0005-0000-0000-0000361A0000}"/>
    <cellStyle name="Standard 6 3 2 2 2 8 3 2" xfId="18664" xr:uid="{BF69A19D-0D02-43D1-A5DD-6BBD9F4FA13D}"/>
    <cellStyle name="Standard 6 3 2 2 2 8 4" xfId="18661" xr:uid="{B2F21A09-D13A-4450-A15F-9A6FC6A8FD9D}"/>
    <cellStyle name="Standard 6 3 2 2 2 9" xfId="6704" xr:uid="{00000000-0005-0000-0000-0000371A0000}"/>
    <cellStyle name="Standard 6 3 2 2 2 9 2" xfId="6705" xr:uid="{00000000-0005-0000-0000-0000381A0000}"/>
    <cellStyle name="Standard 6 3 2 2 2 9 2 2" xfId="6706" xr:uid="{00000000-0005-0000-0000-0000391A0000}"/>
    <cellStyle name="Standard 6 3 2 2 2 9 2 2 2" xfId="18667" xr:uid="{DA6784D7-7F35-4A10-9C18-022FB10BA6BB}"/>
    <cellStyle name="Standard 6 3 2 2 2 9 2 3" xfId="18666" xr:uid="{C99E1A17-6890-49B4-86A8-5C54D9B06107}"/>
    <cellStyle name="Standard 6 3 2 2 2 9 3" xfId="6707" xr:uid="{00000000-0005-0000-0000-00003A1A0000}"/>
    <cellStyle name="Standard 6 3 2 2 2 9 3 2" xfId="18668" xr:uid="{BF729729-1D20-4F1F-A2A2-4DE973401C87}"/>
    <cellStyle name="Standard 6 3 2 2 2 9 4" xfId="18665" xr:uid="{68FBDEB5-E14F-47CE-A2B0-FD8E520F2746}"/>
    <cellStyle name="Standard 6 3 2 2 20" xfId="6708" xr:uid="{00000000-0005-0000-0000-00003B1A0000}"/>
    <cellStyle name="Standard 6 3 2 2 20 2" xfId="6709" xr:uid="{00000000-0005-0000-0000-00003C1A0000}"/>
    <cellStyle name="Standard 6 3 2 2 20 2 2" xfId="18670" xr:uid="{C16AD434-E5E7-4939-80CD-E3A0489099B4}"/>
    <cellStyle name="Standard 6 3 2 2 20 3" xfId="18669" xr:uid="{20F83077-7FBD-455B-8179-A462657FF3CE}"/>
    <cellStyle name="Standard 6 3 2 2 21" xfId="6710" xr:uid="{00000000-0005-0000-0000-00003D1A0000}"/>
    <cellStyle name="Standard 6 3 2 2 21 2" xfId="18671" xr:uid="{CD35AE48-19B5-44F1-896B-7EDFECCED30C}"/>
    <cellStyle name="Standard 6 3 2 2 22" xfId="6711" xr:uid="{00000000-0005-0000-0000-00003E1A0000}"/>
    <cellStyle name="Standard 6 3 2 2 22 2" xfId="18672" xr:uid="{FFC78263-E68D-4BD4-A061-272C9ACB3082}"/>
    <cellStyle name="Standard 6 3 2 2 23" xfId="18516" xr:uid="{61AD1DDC-5790-4203-B3A0-AFE680722867}"/>
    <cellStyle name="Standard 6 3 2 2 3" xfId="6712" xr:uid="{00000000-0005-0000-0000-00003F1A0000}"/>
    <cellStyle name="Standard 6 3 2 2 3 10" xfId="6713" xr:uid="{00000000-0005-0000-0000-0000401A0000}"/>
    <cellStyle name="Standard 6 3 2 2 3 10 2" xfId="18674" xr:uid="{ADAF940C-088E-4117-B4B0-8B502358E1CE}"/>
    <cellStyle name="Standard 6 3 2 2 3 11" xfId="18673" xr:uid="{DDBAB390-BEAB-4EC7-82CE-F668A4EAF926}"/>
    <cellStyle name="Standard 6 3 2 2 3 2" xfId="6714" xr:uid="{00000000-0005-0000-0000-0000411A0000}"/>
    <cellStyle name="Standard 6 3 2 2 3 2 10" xfId="18675" xr:uid="{2CFB9616-7737-4C50-8E86-F15E96C6BF08}"/>
    <cellStyle name="Standard 6 3 2 2 3 2 2" xfId="6715" xr:uid="{00000000-0005-0000-0000-0000421A0000}"/>
    <cellStyle name="Standard 6 3 2 2 3 2 2 2" xfId="6716" xr:uid="{00000000-0005-0000-0000-0000431A0000}"/>
    <cellStyle name="Standard 6 3 2 2 3 2 2 2 2" xfId="6717" xr:uid="{00000000-0005-0000-0000-0000441A0000}"/>
    <cellStyle name="Standard 6 3 2 2 3 2 2 2 2 2" xfId="18678" xr:uid="{A3D550BA-662F-455F-AD50-003C2D8BF48F}"/>
    <cellStyle name="Standard 6 3 2 2 3 2 2 2 3" xfId="18677" xr:uid="{A4B73355-3B77-42B0-82CE-CB963E6A9BCD}"/>
    <cellStyle name="Standard 6 3 2 2 3 2 2 3" xfId="6718" xr:uid="{00000000-0005-0000-0000-0000451A0000}"/>
    <cellStyle name="Standard 6 3 2 2 3 2 2 3 2" xfId="18679" xr:uid="{31358730-91DE-40C9-A1BB-CA57481DED8D}"/>
    <cellStyle name="Standard 6 3 2 2 3 2 2 4" xfId="18676" xr:uid="{A69F8B69-61D5-498C-A78B-75E8A1E505D6}"/>
    <cellStyle name="Standard 6 3 2 2 3 2 3" xfId="6719" xr:uid="{00000000-0005-0000-0000-0000461A0000}"/>
    <cellStyle name="Standard 6 3 2 2 3 2 3 2" xfId="6720" xr:uid="{00000000-0005-0000-0000-0000471A0000}"/>
    <cellStyle name="Standard 6 3 2 2 3 2 3 2 2" xfId="6721" xr:uid="{00000000-0005-0000-0000-0000481A0000}"/>
    <cellStyle name="Standard 6 3 2 2 3 2 3 2 2 2" xfId="18682" xr:uid="{4DD0EC4E-7FC6-4816-B10E-86D22B52EB02}"/>
    <cellStyle name="Standard 6 3 2 2 3 2 3 2 3" xfId="18681" xr:uid="{22E70CD0-1C8C-4C91-9894-56A934E44A17}"/>
    <cellStyle name="Standard 6 3 2 2 3 2 3 3" xfId="6722" xr:uid="{00000000-0005-0000-0000-0000491A0000}"/>
    <cellStyle name="Standard 6 3 2 2 3 2 3 3 2" xfId="18683" xr:uid="{C1F30331-449E-47E0-BA2A-E98C3F046714}"/>
    <cellStyle name="Standard 6 3 2 2 3 2 3 4" xfId="18680" xr:uid="{3C0A9B38-A91C-49C4-A935-D3DF7FEC80DB}"/>
    <cellStyle name="Standard 6 3 2 2 3 2 4" xfId="6723" xr:uid="{00000000-0005-0000-0000-00004A1A0000}"/>
    <cellStyle name="Standard 6 3 2 2 3 2 4 2" xfId="6724" xr:uid="{00000000-0005-0000-0000-00004B1A0000}"/>
    <cellStyle name="Standard 6 3 2 2 3 2 4 2 2" xfId="6725" xr:uid="{00000000-0005-0000-0000-00004C1A0000}"/>
    <cellStyle name="Standard 6 3 2 2 3 2 4 2 2 2" xfId="18686" xr:uid="{6B533C44-B456-40B2-BF53-90BD94845981}"/>
    <cellStyle name="Standard 6 3 2 2 3 2 4 2 3" xfId="18685" xr:uid="{28F94980-9EB6-4E1F-AB92-25E378EC2AAB}"/>
    <cellStyle name="Standard 6 3 2 2 3 2 4 3" xfId="6726" xr:uid="{00000000-0005-0000-0000-00004D1A0000}"/>
    <cellStyle name="Standard 6 3 2 2 3 2 4 3 2" xfId="18687" xr:uid="{0343ACAE-3F83-419C-AE1F-8FF58A8FCCCE}"/>
    <cellStyle name="Standard 6 3 2 2 3 2 4 4" xfId="18684" xr:uid="{BC329075-A0C7-48C0-AADB-3C6D8E9991CE}"/>
    <cellStyle name="Standard 6 3 2 2 3 2 5" xfId="6727" xr:uid="{00000000-0005-0000-0000-00004E1A0000}"/>
    <cellStyle name="Standard 6 3 2 2 3 2 5 2" xfId="6728" xr:uid="{00000000-0005-0000-0000-00004F1A0000}"/>
    <cellStyle name="Standard 6 3 2 2 3 2 5 2 2" xfId="6729" xr:uid="{00000000-0005-0000-0000-0000501A0000}"/>
    <cellStyle name="Standard 6 3 2 2 3 2 5 2 2 2" xfId="18690" xr:uid="{39F47B9F-BE24-4293-9C60-BAEBB7D4AAEB}"/>
    <cellStyle name="Standard 6 3 2 2 3 2 5 2 3" xfId="18689" xr:uid="{EFDAAAB3-E981-4EE1-9ACF-759DFCD6747F}"/>
    <cellStyle name="Standard 6 3 2 2 3 2 5 3" xfId="6730" xr:uid="{00000000-0005-0000-0000-0000511A0000}"/>
    <cellStyle name="Standard 6 3 2 2 3 2 5 3 2" xfId="18691" xr:uid="{52B701EC-BC74-402C-B184-2CE10EFB7C60}"/>
    <cellStyle name="Standard 6 3 2 2 3 2 5 4" xfId="18688" xr:uid="{1A970CB9-8109-4BE7-8E59-D80E21398B76}"/>
    <cellStyle name="Standard 6 3 2 2 3 2 6" xfId="6731" xr:uid="{00000000-0005-0000-0000-0000521A0000}"/>
    <cellStyle name="Standard 6 3 2 2 3 2 6 2" xfId="6732" xr:uid="{00000000-0005-0000-0000-0000531A0000}"/>
    <cellStyle name="Standard 6 3 2 2 3 2 6 2 2" xfId="6733" xr:uid="{00000000-0005-0000-0000-0000541A0000}"/>
    <cellStyle name="Standard 6 3 2 2 3 2 6 2 2 2" xfId="18694" xr:uid="{A41F09C8-9DD3-4FC4-A6EC-0A8EDD84CCC3}"/>
    <cellStyle name="Standard 6 3 2 2 3 2 6 2 3" xfId="18693" xr:uid="{24B141E6-BC66-41C1-B335-F7184A18E7B1}"/>
    <cellStyle name="Standard 6 3 2 2 3 2 6 3" xfId="6734" xr:uid="{00000000-0005-0000-0000-0000551A0000}"/>
    <cellStyle name="Standard 6 3 2 2 3 2 6 3 2" xfId="18695" xr:uid="{0944382D-E4DD-4A82-8EA1-3751E638E706}"/>
    <cellStyle name="Standard 6 3 2 2 3 2 6 4" xfId="18692" xr:uid="{3465EEA1-7553-43C0-932F-327DB68758B5}"/>
    <cellStyle name="Standard 6 3 2 2 3 2 7" xfId="6735" xr:uid="{00000000-0005-0000-0000-0000561A0000}"/>
    <cellStyle name="Standard 6 3 2 2 3 2 7 2" xfId="6736" xr:uid="{00000000-0005-0000-0000-0000571A0000}"/>
    <cellStyle name="Standard 6 3 2 2 3 2 7 2 2" xfId="6737" xr:uid="{00000000-0005-0000-0000-0000581A0000}"/>
    <cellStyle name="Standard 6 3 2 2 3 2 7 2 2 2" xfId="18698" xr:uid="{D13A3EC6-2512-4EF6-B28B-131FE4437C04}"/>
    <cellStyle name="Standard 6 3 2 2 3 2 7 2 3" xfId="18697" xr:uid="{01D84C23-9450-47EC-AC1B-CCCA033047D7}"/>
    <cellStyle name="Standard 6 3 2 2 3 2 7 3" xfId="6738" xr:uid="{00000000-0005-0000-0000-0000591A0000}"/>
    <cellStyle name="Standard 6 3 2 2 3 2 7 3 2" xfId="18699" xr:uid="{9D31B4AA-B7AA-4540-B7E7-82C3C87AC2FF}"/>
    <cellStyle name="Standard 6 3 2 2 3 2 7 4" xfId="18696" xr:uid="{8EA12019-8A23-4ED3-9077-211C8A86E8A0}"/>
    <cellStyle name="Standard 6 3 2 2 3 2 8" xfId="6739" xr:uid="{00000000-0005-0000-0000-00005A1A0000}"/>
    <cellStyle name="Standard 6 3 2 2 3 2 8 2" xfId="6740" xr:uid="{00000000-0005-0000-0000-00005B1A0000}"/>
    <cellStyle name="Standard 6 3 2 2 3 2 8 2 2" xfId="18701" xr:uid="{1F459E4E-D0AE-462D-AE96-CB75EDD6D4A9}"/>
    <cellStyle name="Standard 6 3 2 2 3 2 8 3" xfId="18700" xr:uid="{88F23972-55BC-43AC-A8D4-9131B9A65D66}"/>
    <cellStyle name="Standard 6 3 2 2 3 2 9" xfId="6741" xr:uid="{00000000-0005-0000-0000-00005C1A0000}"/>
    <cellStyle name="Standard 6 3 2 2 3 2 9 2" xfId="18702" xr:uid="{999D1B98-2BD7-486F-B613-FAA9F9510F33}"/>
    <cellStyle name="Standard 6 3 2 2 3 3" xfId="6742" xr:uid="{00000000-0005-0000-0000-00005D1A0000}"/>
    <cellStyle name="Standard 6 3 2 2 3 3 2" xfId="6743" xr:uid="{00000000-0005-0000-0000-00005E1A0000}"/>
    <cellStyle name="Standard 6 3 2 2 3 3 2 2" xfId="6744" xr:uid="{00000000-0005-0000-0000-00005F1A0000}"/>
    <cellStyle name="Standard 6 3 2 2 3 3 2 2 2" xfId="18705" xr:uid="{77CCD966-9892-41EA-ACA4-C830EB761093}"/>
    <cellStyle name="Standard 6 3 2 2 3 3 2 3" xfId="18704" xr:uid="{34C8864A-E6AF-4086-9D5D-3B1F89486C6E}"/>
    <cellStyle name="Standard 6 3 2 2 3 3 3" xfId="6745" xr:uid="{00000000-0005-0000-0000-0000601A0000}"/>
    <cellStyle name="Standard 6 3 2 2 3 3 3 2" xfId="18706" xr:uid="{F22B6AAB-7F59-45F4-83D9-3A8AC8CFF4A5}"/>
    <cellStyle name="Standard 6 3 2 2 3 3 4" xfId="18703" xr:uid="{875889FF-FABC-428B-A857-2A975631CC0B}"/>
    <cellStyle name="Standard 6 3 2 2 3 4" xfId="6746" xr:uid="{00000000-0005-0000-0000-0000611A0000}"/>
    <cellStyle name="Standard 6 3 2 2 3 4 2" xfId="6747" xr:uid="{00000000-0005-0000-0000-0000621A0000}"/>
    <cellStyle name="Standard 6 3 2 2 3 4 2 2" xfId="6748" xr:uid="{00000000-0005-0000-0000-0000631A0000}"/>
    <cellStyle name="Standard 6 3 2 2 3 4 2 2 2" xfId="18709" xr:uid="{8266B5D1-5BE9-45BB-8EDC-3F258AD0CBC2}"/>
    <cellStyle name="Standard 6 3 2 2 3 4 2 3" xfId="18708" xr:uid="{DA5F16CF-75CB-48A0-AA64-8B617B796326}"/>
    <cellStyle name="Standard 6 3 2 2 3 4 3" xfId="6749" xr:uid="{00000000-0005-0000-0000-0000641A0000}"/>
    <cellStyle name="Standard 6 3 2 2 3 4 3 2" xfId="18710" xr:uid="{4F089F5E-FBE6-4C2F-8F85-47F9A6B50534}"/>
    <cellStyle name="Standard 6 3 2 2 3 4 4" xfId="18707" xr:uid="{BEDB7AA1-C2D2-4AAA-ADB9-79ED38B644CF}"/>
    <cellStyle name="Standard 6 3 2 2 3 5" xfId="6750" xr:uid="{00000000-0005-0000-0000-0000651A0000}"/>
    <cellStyle name="Standard 6 3 2 2 3 5 2" xfId="6751" xr:uid="{00000000-0005-0000-0000-0000661A0000}"/>
    <cellStyle name="Standard 6 3 2 2 3 5 2 2" xfId="6752" xr:uid="{00000000-0005-0000-0000-0000671A0000}"/>
    <cellStyle name="Standard 6 3 2 2 3 5 2 2 2" xfId="18713" xr:uid="{4BF10C2E-2914-4D81-BC60-CFB39CA43FD2}"/>
    <cellStyle name="Standard 6 3 2 2 3 5 2 3" xfId="18712" xr:uid="{F5133100-F65A-4EFB-B33D-9BF270D7B9D3}"/>
    <cellStyle name="Standard 6 3 2 2 3 5 3" xfId="6753" xr:uid="{00000000-0005-0000-0000-0000681A0000}"/>
    <cellStyle name="Standard 6 3 2 2 3 5 3 2" xfId="18714" xr:uid="{DB941B18-D51F-400A-BB23-ACE1380067A0}"/>
    <cellStyle name="Standard 6 3 2 2 3 5 4" xfId="18711" xr:uid="{919C1356-1C98-4B90-ADD3-3A51842B6B2A}"/>
    <cellStyle name="Standard 6 3 2 2 3 6" xfId="6754" xr:uid="{00000000-0005-0000-0000-0000691A0000}"/>
    <cellStyle name="Standard 6 3 2 2 3 6 2" xfId="6755" xr:uid="{00000000-0005-0000-0000-00006A1A0000}"/>
    <cellStyle name="Standard 6 3 2 2 3 6 2 2" xfId="6756" xr:uid="{00000000-0005-0000-0000-00006B1A0000}"/>
    <cellStyle name="Standard 6 3 2 2 3 6 2 2 2" xfId="18717" xr:uid="{6E0F86D8-4EAB-4818-99D6-EA220C3C102F}"/>
    <cellStyle name="Standard 6 3 2 2 3 6 2 3" xfId="18716" xr:uid="{5C5663F8-BDA7-4DFF-9B2D-5A6ECD2230D4}"/>
    <cellStyle name="Standard 6 3 2 2 3 6 3" xfId="6757" xr:uid="{00000000-0005-0000-0000-00006C1A0000}"/>
    <cellStyle name="Standard 6 3 2 2 3 6 3 2" xfId="18718" xr:uid="{6783CE37-7874-41D8-BBD6-854CE4F4A320}"/>
    <cellStyle name="Standard 6 3 2 2 3 6 4" xfId="18715" xr:uid="{D2AB6F38-95EE-4B24-B522-71FC4336BCB4}"/>
    <cellStyle name="Standard 6 3 2 2 3 7" xfId="6758" xr:uid="{00000000-0005-0000-0000-00006D1A0000}"/>
    <cellStyle name="Standard 6 3 2 2 3 7 2" xfId="6759" xr:uid="{00000000-0005-0000-0000-00006E1A0000}"/>
    <cellStyle name="Standard 6 3 2 2 3 7 2 2" xfId="6760" xr:uid="{00000000-0005-0000-0000-00006F1A0000}"/>
    <cellStyle name="Standard 6 3 2 2 3 7 2 2 2" xfId="18721" xr:uid="{3DC1267F-C316-4609-B741-3D3CA9024CC7}"/>
    <cellStyle name="Standard 6 3 2 2 3 7 2 3" xfId="18720" xr:uid="{ECAECBEF-6820-422D-8CA7-B6E9832CED3C}"/>
    <cellStyle name="Standard 6 3 2 2 3 7 3" xfId="6761" xr:uid="{00000000-0005-0000-0000-0000701A0000}"/>
    <cellStyle name="Standard 6 3 2 2 3 7 3 2" xfId="18722" xr:uid="{83D47AC7-E327-48B6-8A09-F5711CD04509}"/>
    <cellStyle name="Standard 6 3 2 2 3 7 4" xfId="18719" xr:uid="{1E224B19-9ABE-4F6C-B4AD-E8BDDBE984FA}"/>
    <cellStyle name="Standard 6 3 2 2 3 8" xfId="6762" xr:uid="{00000000-0005-0000-0000-0000711A0000}"/>
    <cellStyle name="Standard 6 3 2 2 3 8 2" xfId="6763" xr:uid="{00000000-0005-0000-0000-0000721A0000}"/>
    <cellStyle name="Standard 6 3 2 2 3 8 2 2" xfId="6764" xr:uid="{00000000-0005-0000-0000-0000731A0000}"/>
    <cellStyle name="Standard 6 3 2 2 3 8 2 2 2" xfId="18725" xr:uid="{53A0A339-B685-467D-8F75-FCAE3A5DF8F0}"/>
    <cellStyle name="Standard 6 3 2 2 3 8 2 3" xfId="18724" xr:uid="{A0984AEB-DC06-44CA-B9B3-0CA096892DA3}"/>
    <cellStyle name="Standard 6 3 2 2 3 8 3" xfId="6765" xr:uid="{00000000-0005-0000-0000-0000741A0000}"/>
    <cellStyle name="Standard 6 3 2 2 3 8 3 2" xfId="18726" xr:uid="{B8CFA0D5-43B7-4067-AAB2-4EA214212107}"/>
    <cellStyle name="Standard 6 3 2 2 3 8 4" xfId="18723" xr:uid="{BEE43BFD-B16D-4BE4-944D-FE96A9E6162B}"/>
    <cellStyle name="Standard 6 3 2 2 3 9" xfId="6766" xr:uid="{00000000-0005-0000-0000-0000751A0000}"/>
    <cellStyle name="Standard 6 3 2 2 3 9 2" xfId="6767" xr:uid="{00000000-0005-0000-0000-0000761A0000}"/>
    <cellStyle name="Standard 6 3 2 2 3 9 2 2" xfId="18728" xr:uid="{D674C3F5-A1DD-4E5E-94F2-4ADCDD5E1C89}"/>
    <cellStyle name="Standard 6 3 2 2 3 9 3" xfId="18727" xr:uid="{3A3E2F5B-8757-4683-9347-107CB62876A9}"/>
    <cellStyle name="Standard 6 3 2 2 4" xfId="6768" xr:uid="{00000000-0005-0000-0000-0000771A0000}"/>
    <cellStyle name="Standard 6 3 2 2 4 10" xfId="6769" xr:uid="{00000000-0005-0000-0000-0000781A0000}"/>
    <cellStyle name="Standard 6 3 2 2 4 10 2" xfId="18730" xr:uid="{A34D2073-6AAA-4D2C-AA89-6AE0F01C5F49}"/>
    <cellStyle name="Standard 6 3 2 2 4 11" xfId="18729" xr:uid="{B6FEFE4E-8E88-4ED0-A2CA-372A328D5767}"/>
    <cellStyle name="Standard 6 3 2 2 4 2" xfId="6770" xr:uid="{00000000-0005-0000-0000-0000791A0000}"/>
    <cellStyle name="Standard 6 3 2 2 4 2 10" xfId="18731" xr:uid="{4C2AD057-B926-4584-82AF-7902DD93F425}"/>
    <cellStyle name="Standard 6 3 2 2 4 2 2" xfId="6771" xr:uid="{00000000-0005-0000-0000-00007A1A0000}"/>
    <cellStyle name="Standard 6 3 2 2 4 2 2 2" xfId="6772" xr:uid="{00000000-0005-0000-0000-00007B1A0000}"/>
    <cellStyle name="Standard 6 3 2 2 4 2 2 2 2" xfId="6773" xr:uid="{00000000-0005-0000-0000-00007C1A0000}"/>
    <cellStyle name="Standard 6 3 2 2 4 2 2 2 2 2" xfId="18734" xr:uid="{22775337-6F96-400A-8142-C98835960807}"/>
    <cellStyle name="Standard 6 3 2 2 4 2 2 2 3" xfId="18733" xr:uid="{F14FEEC1-4AA9-4D98-932D-E311AA0E68AB}"/>
    <cellStyle name="Standard 6 3 2 2 4 2 2 3" xfId="6774" xr:uid="{00000000-0005-0000-0000-00007D1A0000}"/>
    <cellStyle name="Standard 6 3 2 2 4 2 2 3 2" xfId="18735" xr:uid="{3E6E0327-CFDA-453B-9B6B-3BEB71AEA881}"/>
    <cellStyle name="Standard 6 3 2 2 4 2 2 4" xfId="18732" xr:uid="{B0F0E0B4-4125-4988-A1ED-4410964964F8}"/>
    <cellStyle name="Standard 6 3 2 2 4 2 3" xfId="6775" xr:uid="{00000000-0005-0000-0000-00007E1A0000}"/>
    <cellStyle name="Standard 6 3 2 2 4 2 3 2" xfId="6776" xr:uid="{00000000-0005-0000-0000-00007F1A0000}"/>
    <cellStyle name="Standard 6 3 2 2 4 2 3 2 2" xfId="6777" xr:uid="{00000000-0005-0000-0000-0000801A0000}"/>
    <cellStyle name="Standard 6 3 2 2 4 2 3 2 2 2" xfId="18738" xr:uid="{33BFCE6A-4AED-44C9-A3CE-E52AF2069EF1}"/>
    <cellStyle name="Standard 6 3 2 2 4 2 3 2 3" xfId="18737" xr:uid="{C07528D4-7B9E-475D-A90B-4D0CB1AFCACA}"/>
    <cellStyle name="Standard 6 3 2 2 4 2 3 3" xfId="6778" xr:uid="{00000000-0005-0000-0000-0000811A0000}"/>
    <cellStyle name="Standard 6 3 2 2 4 2 3 3 2" xfId="18739" xr:uid="{50E45283-A59B-4E41-8775-665FCC02958B}"/>
    <cellStyle name="Standard 6 3 2 2 4 2 3 4" xfId="18736" xr:uid="{81B6F053-72C8-48A8-AE24-6AC6E50C8FE8}"/>
    <cellStyle name="Standard 6 3 2 2 4 2 4" xfId="6779" xr:uid="{00000000-0005-0000-0000-0000821A0000}"/>
    <cellStyle name="Standard 6 3 2 2 4 2 4 2" xfId="6780" xr:uid="{00000000-0005-0000-0000-0000831A0000}"/>
    <cellStyle name="Standard 6 3 2 2 4 2 4 2 2" xfId="6781" xr:uid="{00000000-0005-0000-0000-0000841A0000}"/>
    <cellStyle name="Standard 6 3 2 2 4 2 4 2 2 2" xfId="18742" xr:uid="{26A65F9B-E2EF-49C2-AD28-B87BB08548E0}"/>
    <cellStyle name="Standard 6 3 2 2 4 2 4 2 3" xfId="18741" xr:uid="{22466A6C-01A5-4BD8-9B2B-BEAF79E04034}"/>
    <cellStyle name="Standard 6 3 2 2 4 2 4 3" xfId="6782" xr:uid="{00000000-0005-0000-0000-0000851A0000}"/>
    <cellStyle name="Standard 6 3 2 2 4 2 4 3 2" xfId="18743" xr:uid="{9F166273-98D7-4FFA-9381-40F5FE780B2E}"/>
    <cellStyle name="Standard 6 3 2 2 4 2 4 4" xfId="18740" xr:uid="{E7FD9C9D-4171-423D-B4E8-318D3FE091AD}"/>
    <cellStyle name="Standard 6 3 2 2 4 2 5" xfId="6783" xr:uid="{00000000-0005-0000-0000-0000861A0000}"/>
    <cellStyle name="Standard 6 3 2 2 4 2 5 2" xfId="6784" xr:uid="{00000000-0005-0000-0000-0000871A0000}"/>
    <cellStyle name="Standard 6 3 2 2 4 2 5 2 2" xfId="6785" xr:uid="{00000000-0005-0000-0000-0000881A0000}"/>
    <cellStyle name="Standard 6 3 2 2 4 2 5 2 2 2" xfId="18746" xr:uid="{33C01F36-25DF-467D-97EC-CAF99EA761EB}"/>
    <cellStyle name="Standard 6 3 2 2 4 2 5 2 3" xfId="18745" xr:uid="{1A3E8896-B43C-43D7-875A-277FDC4AFB2A}"/>
    <cellStyle name="Standard 6 3 2 2 4 2 5 3" xfId="6786" xr:uid="{00000000-0005-0000-0000-0000891A0000}"/>
    <cellStyle name="Standard 6 3 2 2 4 2 5 3 2" xfId="18747" xr:uid="{1EAE6FF4-C44D-41CC-8F71-CF622DE77EEE}"/>
    <cellStyle name="Standard 6 3 2 2 4 2 5 4" xfId="18744" xr:uid="{443744DC-1840-43CC-849F-2C64B07635B1}"/>
    <cellStyle name="Standard 6 3 2 2 4 2 6" xfId="6787" xr:uid="{00000000-0005-0000-0000-00008A1A0000}"/>
    <cellStyle name="Standard 6 3 2 2 4 2 6 2" xfId="6788" xr:uid="{00000000-0005-0000-0000-00008B1A0000}"/>
    <cellStyle name="Standard 6 3 2 2 4 2 6 2 2" xfId="6789" xr:uid="{00000000-0005-0000-0000-00008C1A0000}"/>
    <cellStyle name="Standard 6 3 2 2 4 2 6 2 2 2" xfId="18750" xr:uid="{55F831E3-6651-4843-A95A-8FBF9CBB25FE}"/>
    <cellStyle name="Standard 6 3 2 2 4 2 6 2 3" xfId="18749" xr:uid="{E4830C83-7B55-4AA9-914B-61BFC75FCEE3}"/>
    <cellStyle name="Standard 6 3 2 2 4 2 6 3" xfId="6790" xr:uid="{00000000-0005-0000-0000-00008D1A0000}"/>
    <cellStyle name="Standard 6 3 2 2 4 2 6 3 2" xfId="18751" xr:uid="{176B4C4C-CE37-4181-B86B-9F35DDDF0821}"/>
    <cellStyle name="Standard 6 3 2 2 4 2 6 4" xfId="18748" xr:uid="{4A51443D-247C-4386-B658-609FA9537AB4}"/>
    <cellStyle name="Standard 6 3 2 2 4 2 7" xfId="6791" xr:uid="{00000000-0005-0000-0000-00008E1A0000}"/>
    <cellStyle name="Standard 6 3 2 2 4 2 7 2" xfId="6792" xr:uid="{00000000-0005-0000-0000-00008F1A0000}"/>
    <cellStyle name="Standard 6 3 2 2 4 2 7 2 2" xfId="6793" xr:uid="{00000000-0005-0000-0000-0000901A0000}"/>
    <cellStyle name="Standard 6 3 2 2 4 2 7 2 2 2" xfId="18754" xr:uid="{5A64E010-F4CE-473A-9604-98F9D15681CB}"/>
    <cellStyle name="Standard 6 3 2 2 4 2 7 2 3" xfId="18753" xr:uid="{F7884D87-1644-458A-B28A-BEE563B690FA}"/>
    <cellStyle name="Standard 6 3 2 2 4 2 7 3" xfId="6794" xr:uid="{00000000-0005-0000-0000-0000911A0000}"/>
    <cellStyle name="Standard 6 3 2 2 4 2 7 3 2" xfId="18755" xr:uid="{E20564DA-C990-40D2-B5B0-8D96D574E447}"/>
    <cellStyle name="Standard 6 3 2 2 4 2 7 4" xfId="18752" xr:uid="{292B1206-3301-4EF0-B26D-857740FEC230}"/>
    <cellStyle name="Standard 6 3 2 2 4 2 8" xfId="6795" xr:uid="{00000000-0005-0000-0000-0000921A0000}"/>
    <cellStyle name="Standard 6 3 2 2 4 2 8 2" xfId="6796" xr:uid="{00000000-0005-0000-0000-0000931A0000}"/>
    <cellStyle name="Standard 6 3 2 2 4 2 8 2 2" xfId="18757" xr:uid="{594CE98B-4DB1-40D5-A0FE-378E7640E30C}"/>
    <cellStyle name="Standard 6 3 2 2 4 2 8 3" xfId="18756" xr:uid="{7966D6E4-82F1-4508-A2DE-6C2B4517E840}"/>
    <cellStyle name="Standard 6 3 2 2 4 2 9" xfId="6797" xr:uid="{00000000-0005-0000-0000-0000941A0000}"/>
    <cellStyle name="Standard 6 3 2 2 4 2 9 2" xfId="18758" xr:uid="{1B5CCF66-2DE7-4342-8E92-BDA1B8C57E1E}"/>
    <cellStyle name="Standard 6 3 2 2 4 3" xfId="6798" xr:uid="{00000000-0005-0000-0000-0000951A0000}"/>
    <cellStyle name="Standard 6 3 2 2 4 3 2" xfId="6799" xr:uid="{00000000-0005-0000-0000-0000961A0000}"/>
    <cellStyle name="Standard 6 3 2 2 4 3 2 2" xfId="6800" xr:uid="{00000000-0005-0000-0000-0000971A0000}"/>
    <cellStyle name="Standard 6 3 2 2 4 3 2 2 2" xfId="18761" xr:uid="{BBB05AE2-884F-4CD5-8C13-13A5F354305E}"/>
    <cellStyle name="Standard 6 3 2 2 4 3 2 3" xfId="18760" xr:uid="{5DC4FEE1-B9D9-4BCB-B85E-DA5F7E1EF2FB}"/>
    <cellStyle name="Standard 6 3 2 2 4 3 3" xfId="6801" xr:uid="{00000000-0005-0000-0000-0000981A0000}"/>
    <cellStyle name="Standard 6 3 2 2 4 3 3 2" xfId="18762" xr:uid="{88D51C9F-9142-4DFA-AFC0-23356650F4A3}"/>
    <cellStyle name="Standard 6 3 2 2 4 3 4" xfId="18759" xr:uid="{48207728-3411-44AE-9C0F-66345141208F}"/>
    <cellStyle name="Standard 6 3 2 2 4 4" xfId="6802" xr:uid="{00000000-0005-0000-0000-0000991A0000}"/>
    <cellStyle name="Standard 6 3 2 2 4 4 2" xfId="6803" xr:uid="{00000000-0005-0000-0000-00009A1A0000}"/>
    <cellStyle name="Standard 6 3 2 2 4 4 2 2" xfId="6804" xr:uid="{00000000-0005-0000-0000-00009B1A0000}"/>
    <cellStyle name="Standard 6 3 2 2 4 4 2 2 2" xfId="18765" xr:uid="{09DC6690-94E4-4E38-9E04-28EA3EFD6EF6}"/>
    <cellStyle name="Standard 6 3 2 2 4 4 2 3" xfId="18764" xr:uid="{18AFBC78-134F-41C7-89FA-8AF4F84F5427}"/>
    <cellStyle name="Standard 6 3 2 2 4 4 3" xfId="6805" xr:uid="{00000000-0005-0000-0000-00009C1A0000}"/>
    <cellStyle name="Standard 6 3 2 2 4 4 3 2" xfId="18766" xr:uid="{0D3732F0-05C6-472B-9785-4F65C58CF288}"/>
    <cellStyle name="Standard 6 3 2 2 4 4 4" xfId="18763" xr:uid="{FF79788B-5068-404B-A17B-2E0A095B3EF9}"/>
    <cellStyle name="Standard 6 3 2 2 4 5" xfId="6806" xr:uid="{00000000-0005-0000-0000-00009D1A0000}"/>
    <cellStyle name="Standard 6 3 2 2 4 5 2" xfId="6807" xr:uid="{00000000-0005-0000-0000-00009E1A0000}"/>
    <cellStyle name="Standard 6 3 2 2 4 5 2 2" xfId="6808" xr:uid="{00000000-0005-0000-0000-00009F1A0000}"/>
    <cellStyle name="Standard 6 3 2 2 4 5 2 2 2" xfId="18769" xr:uid="{CBBAC9DA-B826-41AC-BC23-874ED7FA8191}"/>
    <cellStyle name="Standard 6 3 2 2 4 5 2 3" xfId="18768" xr:uid="{358C93C8-0894-4CFE-AEA7-778B46779AC7}"/>
    <cellStyle name="Standard 6 3 2 2 4 5 3" xfId="6809" xr:uid="{00000000-0005-0000-0000-0000A01A0000}"/>
    <cellStyle name="Standard 6 3 2 2 4 5 3 2" xfId="18770" xr:uid="{7BFC41F2-E2FA-48E2-9537-0E5B148D853D}"/>
    <cellStyle name="Standard 6 3 2 2 4 5 4" xfId="18767" xr:uid="{53D229F7-C622-4C9E-9997-FC8909004623}"/>
    <cellStyle name="Standard 6 3 2 2 4 6" xfId="6810" xr:uid="{00000000-0005-0000-0000-0000A11A0000}"/>
    <cellStyle name="Standard 6 3 2 2 4 6 2" xfId="6811" xr:uid="{00000000-0005-0000-0000-0000A21A0000}"/>
    <cellStyle name="Standard 6 3 2 2 4 6 2 2" xfId="6812" xr:uid="{00000000-0005-0000-0000-0000A31A0000}"/>
    <cellStyle name="Standard 6 3 2 2 4 6 2 2 2" xfId="18773" xr:uid="{55B97D04-F6EF-456E-A0ED-885E91B17905}"/>
    <cellStyle name="Standard 6 3 2 2 4 6 2 3" xfId="18772" xr:uid="{337B91B2-AC18-4444-BCAD-B59188C0B298}"/>
    <cellStyle name="Standard 6 3 2 2 4 6 3" xfId="6813" xr:uid="{00000000-0005-0000-0000-0000A41A0000}"/>
    <cellStyle name="Standard 6 3 2 2 4 6 3 2" xfId="18774" xr:uid="{C26B0D22-CFDC-4251-9237-9A076B710DE7}"/>
    <cellStyle name="Standard 6 3 2 2 4 6 4" xfId="18771" xr:uid="{5365CB1A-4582-4A91-879F-FAC7551794B2}"/>
    <cellStyle name="Standard 6 3 2 2 4 7" xfId="6814" xr:uid="{00000000-0005-0000-0000-0000A51A0000}"/>
    <cellStyle name="Standard 6 3 2 2 4 7 2" xfId="6815" xr:uid="{00000000-0005-0000-0000-0000A61A0000}"/>
    <cellStyle name="Standard 6 3 2 2 4 7 2 2" xfId="6816" xr:uid="{00000000-0005-0000-0000-0000A71A0000}"/>
    <cellStyle name="Standard 6 3 2 2 4 7 2 2 2" xfId="18777" xr:uid="{53B87280-94A1-4B98-8A81-8186FC66979D}"/>
    <cellStyle name="Standard 6 3 2 2 4 7 2 3" xfId="18776" xr:uid="{B8DF0B54-AF71-44B7-950C-D80A5988CDF1}"/>
    <cellStyle name="Standard 6 3 2 2 4 7 3" xfId="6817" xr:uid="{00000000-0005-0000-0000-0000A81A0000}"/>
    <cellStyle name="Standard 6 3 2 2 4 7 3 2" xfId="18778" xr:uid="{0BB802FA-EE78-4935-9639-36AA0B2A075E}"/>
    <cellStyle name="Standard 6 3 2 2 4 7 4" xfId="18775" xr:uid="{2F54CB71-4BF2-417A-82B3-D76DA23C7428}"/>
    <cellStyle name="Standard 6 3 2 2 4 8" xfId="6818" xr:uid="{00000000-0005-0000-0000-0000A91A0000}"/>
    <cellStyle name="Standard 6 3 2 2 4 8 2" xfId="6819" xr:uid="{00000000-0005-0000-0000-0000AA1A0000}"/>
    <cellStyle name="Standard 6 3 2 2 4 8 2 2" xfId="6820" xr:uid="{00000000-0005-0000-0000-0000AB1A0000}"/>
    <cellStyle name="Standard 6 3 2 2 4 8 2 2 2" xfId="18781" xr:uid="{3E8E00D8-A6D4-4A24-A6C4-0022C1D9D2CB}"/>
    <cellStyle name="Standard 6 3 2 2 4 8 2 3" xfId="18780" xr:uid="{B8C3EB17-2564-49FB-90FA-8FB93D3B40C1}"/>
    <cellStyle name="Standard 6 3 2 2 4 8 3" xfId="6821" xr:uid="{00000000-0005-0000-0000-0000AC1A0000}"/>
    <cellStyle name="Standard 6 3 2 2 4 8 3 2" xfId="18782" xr:uid="{D70BFBDF-8A92-4151-BD74-B471AFF9343E}"/>
    <cellStyle name="Standard 6 3 2 2 4 8 4" xfId="18779" xr:uid="{27A69543-3033-435B-B2C0-29D65252D4FF}"/>
    <cellStyle name="Standard 6 3 2 2 4 9" xfId="6822" xr:uid="{00000000-0005-0000-0000-0000AD1A0000}"/>
    <cellStyle name="Standard 6 3 2 2 4 9 2" xfId="6823" xr:uid="{00000000-0005-0000-0000-0000AE1A0000}"/>
    <cellStyle name="Standard 6 3 2 2 4 9 2 2" xfId="18784" xr:uid="{EA8D048C-A6C8-4794-8A74-BD229A9B0723}"/>
    <cellStyle name="Standard 6 3 2 2 4 9 3" xfId="18783" xr:uid="{EC3EA6A4-B3AA-452B-A067-001EE79A8383}"/>
    <cellStyle name="Standard 6 3 2 2 5" xfId="6824" xr:uid="{00000000-0005-0000-0000-0000AF1A0000}"/>
    <cellStyle name="Standard 6 3 2 2 5 10" xfId="6825" xr:uid="{00000000-0005-0000-0000-0000B01A0000}"/>
    <cellStyle name="Standard 6 3 2 2 5 10 2" xfId="18786" xr:uid="{0A4B1C4C-0EE5-4097-A723-E95A2C1BE659}"/>
    <cellStyle name="Standard 6 3 2 2 5 11" xfId="18785" xr:uid="{22FB160F-4920-4EA2-B2B9-BBC857AC1D19}"/>
    <cellStyle name="Standard 6 3 2 2 5 2" xfId="6826" xr:uid="{00000000-0005-0000-0000-0000B11A0000}"/>
    <cellStyle name="Standard 6 3 2 2 5 2 10" xfId="18787" xr:uid="{7EC7A885-792F-4EA3-84BB-8212CBA297F6}"/>
    <cellStyle name="Standard 6 3 2 2 5 2 2" xfId="6827" xr:uid="{00000000-0005-0000-0000-0000B21A0000}"/>
    <cellStyle name="Standard 6 3 2 2 5 2 2 2" xfId="6828" xr:uid="{00000000-0005-0000-0000-0000B31A0000}"/>
    <cellStyle name="Standard 6 3 2 2 5 2 2 2 2" xfId="6829" xr:uid="{00000000-0005-0000-0000-0000B41A0000}"/>
    <cellStyle name="Standard 6 3 2 2 5 2 2 2 2 2" xfId="18790" xr:uid="{0655BB87-FDD9-4FBC-ADC0-8AD000A05562}"/>
    <cellStyle name="Standard 6 3 2 2 5 2 2 2 3" xfId="18789" xr:uid="{53E7AC52-F9D6-43BD-A55E-98B3518C177A}"/>
    <cellStyle name="Standard 6 3 2 2 5 2 2 3" xfId="6830" xr:uid="{00000000-0005-0000-0000-0000B51A0000}"/>
    <cellStyle name="Standard 6 3 2 2 5 2 2 3 2" xfId="18791" xr:uid="{BC9F637C-A231-4F74-A471-C06BB7CC920C}"/>
    <cellStyle name="Standard 6 3 2 2 5 2 2 4" xfId="18788" xr:uid="{5BDDEDFF-33AA-4F02-874D-E961A9D72E50}"/>
    <cellStyle name="Standard 6 3 2 2 5 2 3" xfId="6831" xr:uid="{00000000-0005-0000-0000-0000B61A0000}"/>
    <cellStyle name="Standard 6 3 2 2 5 2 3 2" xfId="6832" xr:uid="{00000000-0005-0000-0000-0000B71A0000}"/>
    <cellStyle name="Standard 6 3 2 2 5 2 3 2 2" xfId="6833" xr:uid="{00000000-0005-0000-0000-0000B81A0000}"/>
    <cellStyle name="Standard 6 3 2 2 5 2 3 2 2 2" xfId="18794" xr:uid="{160CB5EA-596D-4F92-9950-B1274DBBF01D}"/>
    <cellStyle name="Standard 6 3 2 2 5 2 3 2 3" xfId="18793" xr:uid="{B7174A85-073F-4491-9963-F80B2283A6F7}"/>
    <cellStyle name="Standard 6 3 2 2 5 2 3 3" xfId="6834" xr:uid="{00000000-0005-0000-0000-0000B91A0000}"/>
    <cellStyle name="Standard 6 3 2 2 5 2 3 3 2" xfId="18795" xr:uid="{942525C3-AED1-4F7D-9120-71C1846BEC4D}"/>
    <cellStyle name="Standard 6 3 2 2 5 2 3 4" xfId="18792" xr:uid="{5235F354-48C6-41E8-AB2D-2FC56573C64B}"/>
    <cellStyle name="Standard 6 3 2 2 5 2 4" xfId="6835" xr:uid="{00000000-0005-0000-0000-0000BA1A0000}"/>
    <cellStyle name="Standard 6 3 2 2 5 2 4 2" xfId="6836" xr:uid="{00000000-0005-0000-0000-0000BB1A0000}"/>
    <cellStyle name="Standard 6 3 2 2 5 2 4 2 2" xfId="6837" xr:uid="{00000000-0005-0000-0000-0000BC1A0000}"/>
    <cellStyle name="Standard 6 3 2 2 5 2 4 2 2 2" xfId="18798" xr:uid="{C5E0492A-5EC5-49B1-BE5A-BA0C24807BA0}"/>
    <cellStyle name="Standard 6 3 2 2 5 2 4 2 3" xfId="18797" xr:uid="{8295A5C2-5494-4369-A5F2-F2DDB39023CD}"/>
    <cellStyle name="Standard 6 3 2 2 5 2 4 3" xfId="6838" xr:uid="{00000000-0005-0000-0000-0000BD1A0000}"/>
    <cellStyle name="Standard 6 3 2 2 5 2 4 3 2" xfId="18799" xr:uid="{1C9FEBE7-502F-40C1-8B69-F620D313050C}"/>
    <cellStyle name="Standard 6 3 2 2 5 2 4 4" xfId="18796" xr:uid="{46646073-EDFB-4E0A-B54D-2B0F4C1154ED}"/>
    <cellStyle name="Standard 6 3 2 2 5 2 5" xfId="6839" xr:uid="{00000000-0005-0000-0000-0000BE1A0000}"/>
    <cellStyle name="Standard 6 3 2 2 5 2 5 2" xfId="6840" xr:uid="{00000000-0005-0000-0000-0000BF1A0000}"/>
    <cellStyle name="Standard 6 3 2 2 5 2 5 2 2" xfId="6841" xr:uid="{00000000-0005-0000-0000-0000C01A0000}"/>
    <cellStyle name="Standard 6 3 2 2 5 2 5 2 2 2" xfId="18802" xr:uid="{9B5CFBEE-2206-406F-B800-79853E91C8C7}"/>
    <cellStyle name="Standard 6 3 2 2 5 2 5 2 3" xfId="18801" xr:uid="{27982C6A-6F19-45DC-91D8-CA82D2B364B7}"/>
    <cellStyle name="Standard 6 3 2 2 5 2 5 3" xfId="6842" xr:uid="{00000000-0005-0000-0000-0000C11A0000}"/>
    <cellStyle name="Standard 6 3 2 2 5 2 5 3 2" xfId="18803" xr:uid="{6EFCDE7D-CE12-41FF-9A70-034BC8089B3A}"/>
    <cellStyle name="Standard 6 3 2 2 5 2 5 4" xfId="18800" xr:uid="{A9BA377E-0E85-4355-AA56-D360808BDF29}"/>
    <cellStyle name="Standard 6 3 2 2 5 2 6" xfId="6843" xr:uid="{00000000-0005-0000-0000-0000C21A0000}"/>
    <cellStyle name="Standard 6 3 2 2 5 2 6 2" xfId="6844" xr:uid="{00000000-0005-0000-0000-0000C31A0000}"/>
    <cellStyle name="Standard 6 3 2 2 5 2 6 2 2" xfId="6845" xr:uid="{00000000-0005-0000-0000-0000C41A0000}"/>
    <cellStyle name="Standard 6 3 2 2 5 2 6 2 2 2" xfId="18806" xr:uid="{80ECA560-006B-4A31-AE4C-F706711EB040}"/>
    <cellStyle name="Standard 6 3 2 2 5 2 6 2 3" xfId="18805" xr:uid="{E5C2F65D-D1FE-474B-942A-752A1AC880EC}"/>
    <cellStyle name="Standard 6 3 2 2 5 2 6 3" xfId="6846" xr:uid="{00000000-0005-0000-0000-0000C51A0000}"/>
    <cellStyle name="Standard 6 3 2 2 5 2 6 3 2" xfId="18807" xr:uid="{ADF8A0FC-6D27-45FB-AEBC-99A5DF3DC317}"/>
    <cellStyle name="Standard 6 3 2 2 5 2 6 4" xfId="18804" xr:uid="{FF7B807A-0D97-47F3-B3F8-8A0CE605FFC7}"/>
    <cellStyle name="Standard 6 3 2 2 5 2 7" xfId="6847" xr:uid="{00000000-0005-0000-0000-0000C61A0000}"/>
    <cellStyle name="Standard 6 3 2 2 5 2 7 2" xfId="6848" xr:uid="{00000000-0005-0000-0000-0000C71A0000}"/>
    <cellStyle name="Standard 6 3 2 2 5 2 7 2 2" xfId="6849" xr:uid="{00000000-0005-0000-0000-0000C81A0000}"/>
    <cellStyle name="Standard 6 3 2 2 5 2 7 2 2 2" xfId="18810" xr:uid="{9A7329F1-085E-4D50-815A-74837655C1FD}"/>
    <cellStyle name="Standard 6 3 2 2 5 2 7 2 3" xfId="18809" xr:uid="{D861429F-1892-4E67-AE6A-66E4D3E2475A}"/>
    <cellStyle name="Standard 6 3 2 2 5 2 7 3" xfId="6850" xr:uid="{00000000-0005-0000-0000-0000C91A0000}"/>
    <cellStyle name="Standard 6 3 2 2 5 2 7 3 2" xfId="18811" xr:uid="{DCEB162E-75D7-44DB-A56E-C226CE17725A}"/>
    <cellStyle name="Standard 6 3 2 2 5 2 7 4" xfId="18808" xr:uid="{D27EBB99-2A98-4320-8755-25B0B1F5679D}"/>
    <cellStyle name="Standard 6 3 2 2 5 2 8" xfId="6851" xr:uid="{00000000-0005-0000-0000-0000CA1A0000}"/>
    <cellStyle name="Standard 6 3 2 2 5 2 8 2" xfId="6852" xr:uid="{00000000-0005-0000-0000-0000CB1A0000}"/>
    <cellStyle name="Standard 6 3 2 2 5 2 8 2 2" xfId="18813" xr:uid="{7D81E7FD-5315-42D2-B5FB-C6B528FA103B}"/>
    <cellStyle name="Standard 6 3 2 2 5 2 8 3" xfId="18812" xr:uid="{4E1F3FC3-0FE7-45FD-966B-50F556EAF5DF}"/>
    <cellStyle name="Standard 6 3 2 2 5 2 9" xfId="6853" xr:uid="{00000000-0005-0000-0000-0000CC1A0000}"/>
    <cellStyle name="Standard 6 3 2 2 5 2 9 2" xfId="18814" xr:uid="{84E19539-7E79-43B5-97FB-F65BC76C6630}"/>
    <cellStyle name="Standard 6 3 2 2 5 3" xfId="6854" xr:uid="{00000000-0005-0000-0000-0000CD1A0000}"/>
    <cellStyle name="Standard 6 3 2 2 5 3 2" xfId="6855" xr:uid="{00000000-0005-0000-0000-0000CE1A0000}"/>
    <cellStyle name="Standard 6 3 2 2 5 3 2 2" xfId="6856" xr:uid="{00000000-0005-0000-0000-0000CF1A0000}"/>
    <cellStyle name="Standard 6 3 2 2 5 3 2 2 2" xfId="18817" xr:uid="{0871F539-BE7A-49C5-861F-37D95023263E}"/>
    <cellStyle name="Standard 6 3 2 2 5 3 2 3" xfId="18816" xr:uid="{D4D0550E-E2A0-43D6-9AD3-60F57018DDAC}"/>
    <cellStyle name="Standard 6 3 2 2 5 3 3" xfId="6857" xr:uid="{00000000-0005-0000-0000-0000D01A0000}"/>
    <cellStyle name="Standard 6 3 2 2 5 3 3 2" xfId="18818" xr:uid="{CA2FE08B-CA80-4A52-9D6F-43364D16A104}"/>
    <cellStyle name="Standard 6 3 2 2 5 3 4" xfId="18815" xr:uid="{653AA8E6-2791-4848-A84E-9142C06F5413}"/>
    <cellStyle name="Standard 6 3 2 2 5 4" xfId="6858" xr:uid="{00000000-0005-0000-0000-0000D11A0000}"/>
    <cellStyle name="Standard 6 3 2 2 5 4 2" xfId="6859" xr:uid="{00000000-0005-0000-0000-0000D21A0000}"/>
    <cellStyle name="Standard 6 3 2 2 5 4 2 2" xfId="6860" xr:uid="{00000000-0005-0000-0000-0000D31A0000}"/>
    <cellStyle name="Standard 6 3 2 2 5 4 2 2 2" xfId="18821" xr:uid="{2FA050CF-F668-4F7A-9F3F-73F894EE95F7}"/>
    <cellStyle name="Standard 6 3 2 2 5 4 2 3" xfId="18820" xr:uid="{743B19B6-C470-4998-BA6E-6B90163618D9}"/>
    <cellStyle name="Standard 6 3 2 2 5 4 3" xfId="6861" xr:uid="{00000000-0005-0000-0000-0000D41A0000}"/>
    <cellStyle name="Standard 6 3 2 2 5 4 3 2" xfId="18822" xr:uid="{955C2CD6-4565-4EDE-9A43-5F82753BF13C}"/>
    <cellStyle name="Standard 6 3 2 2 5 4 4" xfId="18819" xr:uid="{2399FB9B-6DB9-4597-B187-652268FC8005}"/>
    <cellStyle name="Standard 6 3 2 2 5 5" xfId="6862" xr:uid="{00000000-0005-0000-0000-0000D51A0000}"/>
    <cellStyle name="Standard 6 3 2 2 5 5 2" xfId="6863" xr:uid="{00000000-0005-0000-0000-0000D61A0000}"/>
    <cellStyle name="Standard 6 3 2 2 5 5 2 2" xfId="6864" xr:uid="{00000000-0005-0000-0000-0000D71A0000}"/>
    <cellStyle name="Standard 6 3 2 2 5 5 2 2 2" xfId="18825" xr:uid="{B0A066DE-E99E-47B1-A9FB-5CDBC253CFE6}"/>
    <cellStyle name="Standard 6 3 2 2 5 5 2 3" xfId="18824" xr:uid="{9C00574A-36AB-4956-B033-A0390C8794B9}"/>
    <cellStyle name="Standard 6 3 2 2 5 5 3" xfId="6865" xr:uid="{00000000-0005-0000-0000-0000D81A0000}"/>
    <cellStyle name="Standard 6 3 2 2 5 5 3 2" xfId="18826" xr:uid="{C5C020A4-9E16-4441-8DC0-7AD3E20E4AD7}"/>
    <cellStyle name="Standard 6 3 2 2 5 5 4" xfId="18823" xr:uid="{653C5DBE-A4B1-4BBB-9527-80F7193FC98F}"/>
    <cellStyle name="Standard 6 3 2 2 5 6" xfId="6866" xr:uid="{00000000-0005-0000-0000-0000D91A0000}"/>
    <cellStyle name="Standard 6 3 2 2 5 6 2" xfId="6867" xr:uid="{00000000-0005-0000-0000-0000DA1A0000}"/>
    <cellStyle name="Standard 6 3 2 2 5 6 2 2" xfId="6868" xr:uid="{00000000-0005-0000-0000-0000DB1A0000}"/>
    <cellStyle name="Standard 6 3 2 2 5 6 2 2 2" xfId="18829" xr:uid="{66159C26-2525-4DE9-80CD-BC38468523EE}"/>
    <cellStyle name="Standard 6 3 2 2 5 6 2 3" xfId="18828" xr:uid="{9455BA73-ABC3-42ED-B113-8CEFDB6B38F1}"/>
    <cellStyle name="Standard 6 3 2 2 5 6 3" xfId="6869" xr:uid="{00000000-0005-0000-0000-0000DC1A0000}"/>
    <cellStyle name="Standard 6 3 2 2 5 6 3 2" xfId="18830" xr:uid="{56EB1E8E-0C61-411C-BED7-C353B499A85E}"/>
    <cellStyle name="Standard 6 3 2 2 5 6 4" xfId="18827" xr:uid="{C64134D2-1A88-47E6-B2A4-58247AC94D1F}"/>
    <cellStyle name="Standard 6 3 2 2 5 7" xfId="6870" xr:uid="{00000000-0005-0000-0000-0000DD1A0000}"/>
    <cellStyle name="Standard 6 3 2 2 5 7 2" xfId="6871" xr:uid="{00000000-0005-0000-0000-0000DE1A0000}"/>
    <cellStyle name="Standard 6 3 2 2 5 7 2 2" xfId="6872" xr:uid="{00000000-0005-0000-0000-0000DF1A0000}"/>
    <cellStyle name="Standard 6 3 2 2 5 7 2 2 2" xfId="18833" xr:uid="{33B2FDF1-3F9D-4664-A687-12B7D1AE4B27}"/>
    <cellStyle name="Standard 6 3 2 2 5 7 2 3" xfId="18832" xr:uid="{B3F43CF1-F7F1-472C-9594-A4C554880D30}"/>
    <cellStyle name="Standard 6 3 2 2 5 7 3" xfId="6873" xr:uid="{00000000-0005-0000-0000-0000E01A0000}"/>
    <cellStyle name="Standard 6 3 2 2 5 7 3 2" xfId="18834" xr:uid="{BECD4E82-3D74-4C7D-9D88-3E35476BA80C}"/>
    <cellStyle name="Standard 6 3 2 2 5 7 4" xfId="18831" xr:uid="{39A90742-1C98-4B07-A9EE-7A80B691880E}"/>
    <cellStyle name="Standard 6 3 2 2 5 8" xfId="6874" xr:uid="{00000000-0005-0000-0000-0000E11A0000}"/>
    <cellStyle name="Standard 6 3 2 2 5 8 2" xfId="6875" xr:uid="{00000000-0005-0000-0000-0000E21A0000}"/>
    <cellStyle name="Standard 6 3 2 2 5 8 2 2" xfId="6876" xr:uid="{00000000-0005-0000-0000-0000E31A0000}"/>
    <cellStyle name="Standard 6 3 2 2 5 8 2 2 2" xfId="18837" xr:uid="{70E411A3-4438-4CAA-A023-3A00721AC572}"/>
    <cellStyle name="Standard 6 3 2 2 5 8 2 3" xfId="18836" xr:uid="{8213B959-F5E7-48D2-AE8E-995270D7E7FA}"/>
    <cellStyle name="Standard 6 3 2 2 5 8 3" xfId="6877" xr:uid="{00000000-0005-0000-0000-0000E41A0000}"/>
    <cellStyle name="Standard 6 3 2 2 5 8 3 2" xfId="18838" xr:uid="{93915DBC-4B18-473B-8C77-BA50254DB23C}"/>
    <cellStyle name="Standard 6 3 2 2 5 8 4" xfId="18835" xr:uid="{CAFAD033-E6AD-4B93-80CE-A5F86F698163}"/>
    <cellStyle name="Standard 6 3 2 2 5 9" xfId="6878" xr:uid="{00000000-0005-0000-0000-0000E51A0000}"/>
    <cellStyle name="Standard 6 3 2 2 5 9 2" xfId="6879" xr:uid="{00000000-0005-0000-0000-0000E61A0000}"/>
    <cellStyle name="Standard 6 3 2 2 5 9 2 2" xfId="18840" xr:uid="{A871F21E-766A-41CB-A341-EA9A9129416E}"/>
    <cellStyle name="Standard 6 3 2 2 5 9 3" xfId="18839" xr:uid="{7105E9D5-6B44-483D-AF07-ABC0A1B8824A}"/>
    <cellStyle name="Standard 6 3 2 2 6" xfId="6880" xr:uid="{00000000-0005-0000-0000-0000E71A0000}"/>
    <cellStyle name="Standard 6 3 2 2 6 10" xfId="6881" xr:uid="{00000000-0005-0000-0000-0000E81A0000}"/>
    <cellStyle name="Standard 6 3 2 2 6 10 2" xfId="18842" xr:uid="{9731B7C3-8B57-4D36-9319-BF208DAA8F6B}"/>
    <cellStyle name="Standard 6 3 2 2 6 11" xfId="18841" xr:uid="{F6F48AC5-E9BA-4B4A-B13D-60298EBC1FD6}"/>
    <cellStyle name="Standard 6 3 2 2 6 2" xfId="6882" xr:uid="{00000000-0005-0000-0000-0000E91A0000}"/>
    <cellStyle name="Standard 6 3 2 2 6 2 10" xfId="18843" xr:uid="{A7249960-425D-4E37-BA36-C85A6E0C15E5}"/>
    <cellStyle name="Standard 6 3 2 2 6 2 2" xfId="6883" xr:uid="{00000000-0005-0000-0000-0000EA1A0000}"/>
    <cellStyle name="Standard 6 3 2 2 6 2 2 2" xfId="6884" xr:uid="{00000000-0005-0000-0000-0000EB1A0000}"/>
    <cellStyle name="Standard 6 3 2 2 6 2 2 2 2" xfId="6885" xr:uid="{00000000-0005-0000-0000-0000EC1A0000}"/>
    <cellStyle name="Standard 6 3 2 2 6 2 2 2 2 2" xfId="18846" xr:uid="{FC87FDC3-D7F2-4A43-9733-D8B6ED1AA82A}"/>
    <cellStyle name="Standard 6 3 2 2 6 2 2 2 3" xfId="18845" xr:uid="{E1BF9420-D880-4512-B5E2-1FADCF34BB65}"/>
    <cellStyle name="Standard 6 3 2 2 6 2 2 3" xfId="6886" xr:uid="{00000000-0005-0000-0000-0000ED1A0000}"/>
    <cellStyle name="Standard 6 3 2 2 6 2 2 3 2" xfId="18847" xr:uid="{D4EEA605-4B17-4FFC-8737-667FB1FEF429}"/>
    <cellStyle name="Standard 6 3 2 2 6 2 2 4" xfId="18844" xr:uid="{B7B5BE99-F69D-427F-81E7-CF927D80345E}"/>
    <cellStyle name="Standard 6 3 2 2 6 2 3" xfId="6887" xr:uid="{00000000-0005-0000-0000-0000EE1A0000}"/>
    <cellStyle name="Standard 6 3 2 2 6 2 3 2" xfId="6888" xr:uid="{00000000-0005-0000-0000-0000EF1A0000}"/>
    <cellStyle name="Standard 6 3 2 2 6 2 3 2 2" xfId="6889" xr:uid="{00000000-0005-0000-0000-0000F01A0000}"/>
    <cellStyle name="Standard 6 3 2 2 6 2 3 2 2 2" xfId="18850" xr:uid="{91315836-A1A4-4A41-A79D-6A907DDCE509}"/>
    <cellStyle name="Standard 6 3 2 2 6 2 3 2 3" xfId="18849" xr:uid="{3E9381C3-F45A-4C4F-B065-10A5032506D8}"/>
    <cellStyle name="Standard 6 3 2 2 6 2 3 3" xfId="6890" xr:uid="{00000000-0005-0000-0000-0000F11A0000}"/>
    <cellStyle name="Standard 6 3 2 2 6 2 3 3 2" xfId="18851" xr:uid="{62F9A8D6-D684-4B23-828B-18874582E570}"/>
    <cellStyle name="Standard 6 3 2 2 6 2 3 4" xfId="18848" xr:uid="{E237811F-7007-44C7-8F75-C571E1064E4D}"/>
    <cellStyle name="Standard 6 3 2 2 6 2 4" xfId="6891" xr:uid="{00000000-0005-0000-0000-0000F21A0000}"/>
    <cellStyle name="Standard 6 3 2 2 6 2 4 2" xfId="6892" xr:uid="{00000000-0005-0000-0000-0000F31A0000}"/>
    <cellStyle name="Standard 6 3 2 2 6 2 4 2 2" xfId="6893" xr:uid="{00000000-0005-0000-0000-0000F41A0000}"/>
    <cellStyle name="Standard 6 3 2 2 6 2 4 2 2 2" xfId="18854" xr:uid="{F0750140-66F2-459B-8EE2-ED627FF31574}"/>
    <cellStyle name="Standard 6 3 2 2 6 2 4 2 3" xfId="18853" xr:uid="{0DDB6A95-2333-4F11-8197-E2BD2807CB00}"/>
    <cellStyle name="Standard 6 3 2 2 6 2 4 3" xfId="6894" xr:uid="{00000000-0005-0000-0000-0000F51A0000}"/>
    <cellStyle name="Standard 6 3 2 2 6 2 4 3 2" xfId="18855" xr:uid="{FBC5735E-6B2A-4C87-BF80-7A1C4F712756}"/>
    <cellStyle name="Standard 6 3 2 2 6 2 4 4" xfId="18852" xr:uid="{A4D1B7C7-6BED-4EE5-BE92-DCF02F06A6B6}"/>
    <cellStyle name="Standard 6 3 2 2 6 2 5" xfId="6895" xr:uid="{00000000-0005-0000-0000-0000F61A0000}"/>
    <cellStyle name="Standard 6 3 2 2 6 2 5 2" xfId="6896" xr:uid="{00000000-0005-0000-0000-0000F71A0000}"/>
    <cellStyle name="Standard 6 3 2 2 6 2 5 2 2" xfId="6897" xr:uid="{00000000-0005-0000-0000-0000F81A0000}"/>
    <cellStyle name="Standard 6 3 2 2 6 2 5 2 2 2" xfId="18858" xr:uid="{5945E9BB-8B5A-460E-9F4F-AB13DF44BAD8}"/>
    <cellStyle name="Standard 6 3 2 2 6 2 5 2 3" xfId="18857" xr:uid="{5C35928C-3119-4DCF-829F-A9608D45377A}"/>
    <cellStyle name="Standard 6 3 2 2 6 2 5 3" xfId="6898" xr:uid="{00000000-0005-0000-0000-0000F91A0000}"/>
    <cellStyle name="Standard 6 3 2 2 6 2 5 3 2" xfId="18859" xr:uid="{CB062840-BBBA-4864-8198-649F5D3B6FBD}"/>
    <cellStyle name="Standard 6 3 2 2 6 2 5 4" xfId="18856" xr:uid="{9A3CDA0A-F995-4DBF-AB02-56C850385A76}"/>
    <cellStyle name="Standard 6 3 2 2 6 2 6" xfId="6899" xr:uid="{00000000-0005-0000-0000-0000FA1A0000}"/>
    <cellStyle name="Standard 6 3 2 2 6 2 6 2" xfId="6900" xr:uid="{00000000-0005-0000-0000-0000FB1A0000}"/>
    <cellStyle name="Standard 6 3 2 2 6 2 6 2 2" xfId="6901" xr:uid="{00000000-0005-0000-0000-0000FC1A0000}"/>
    <cellStyle name="Standard 6 3 2 2 6 2 6 2 2 2" xfId="18862" xr:uid="{9A2A1225-7306-4268-AC00-BD585B5E965A}"/>
    <cellStyle name="Standard 6 3 2 2 6 2 6 2 3" xfId="18861" xr:uid="{36690691-22D3-4280-8B9B-615E03E3FA42}"/>
    <cellStyle name="Standard 6 3 2 2 6 2 6 3" xfId="6902" xr:uid="{00000000-0005-0000-0000-0000FD1A0000}"/>
    <cellStyle name="Standard 6 3 2 2 6 2 6 3 2" xfId="18863" xr:uid="{43D453EA-9A7E-4414-94F6-E31C0296DBF4}"/>
    <cellStyle name="Standard 6 3 2 2 6 2 6 4" xfId="18860" xr:uid="{E2528877-636B-4BF6-8D44-813BB04AFCF7}"/>
    <cellStyle name="Standard 6 3 2 2 6 2 7" xfId="6903" xr:uid="{00000000-0005-0000-0000-0000FE1A0000}"/>
    <cellStyle name="Standard 6 3 2 2 6 2 7 2" xfId="6904" xr:uid="{00000000-0005-0000-0000-0000FF1A0000}"/>
    <cellStyle name="Standard 6 3 2 2 6 2 7 2 2" xfId="6905" xr:uid="{00000000-0005-0000-0000-0000001B0000}"/>
    <cellStyle name="Standard 6 3 2 2 6 2 7 2 2 2" xfId="18866" xr:uid="{577F279D-9D56-4E71-846F-1ABA43C42542}"/>
    <cellStyle name="Standard 6 3 2 2 6 2 7 2 3" xfId="18865" xr:uid="{A6AACFC1-739A-4628-B47C-E55635793129}"/>
    <cellStyle name="Standard 6 3 2 2 6 2 7 3" xfId="6906" xr:uid="{00000000-0005-0000-0000-0000011B0000}"/>
    <cellStyle name="Standard 6 3 2 2 6 2 7 3 2" xfId="18867" xr:uid="{C3F48ED4-9572-40C2-9F22-1AC8B015908C}"/>
    <cellStyle name="Standard 6 3 2 2 6 2 7 4" xfId="18864" xr:uid="{40A20243-DC2F-4117-901E-6FD8E553AF69}"/>
    <cellStyle name="Standard 6 3 2 2 6 2 8" xfId="6907" xr:uid="{00000000-0005-0000-0000-0000021B0000}"/>
    <cellStyle name="Standard 6 3 2 2 6 2 8 2" xfId="6908" xr:uid="{00000000-0005-0000-0000-0000031B0000}"/>
    <cellStyle name="Standard 6 3 2 2 6 2 8 2 2" xfId="18869" xr:uid="{216611C8-BB0B-4E21-87E3-3D7D75CAF76D}"/>
    <cellStyle name="Standard 6 3 2 2 6 2 8 3" xfId="18868" xr:uid="{8621D8C6-F67C-4B46-ADE8-E2D9578E735F}"/>
    <cellStyle name="Standard 6 3 2 2 6 2 9" xfId="6909" xr:uid="{00000000-0005-0000-0000-0000041B0000}"/>
    <cellStyle name="Standard 6 3 2 2 6 2 9 2" xfId="18870" xr:uid="{037E873C-E35A-416E-A10C-915465ECD498}"/>
    <cellStyle name="Standard 6 3 2 2 6 3" xfId="6910" xr:uid="{00000000-0005-0000-0000-0000051B0000}"/>
    <cellStyle name="Standard 6 3 2 2 6 3 2" xfId="6911" xr:uid="{00000000-0005-0000-0000-0000061B0000}"/>
    <cellStyle name="Standard 6 3 2 2 6 3 2 2" xfId="6912" xr:uid="{00000000-0005-0000-0000-0000071B0000}"/>
    <cellStyle name="Standard 6 3 2 2 6 3 2 2 2" xfId="18873" xr:uid="{D51ECFC3-5449-492F-8DBE-EA225D61B7B6}"/>
    <cellStyle name="Standard 6 3 2 2 6 3 2 3" xfId="18872" xr:uid="{137CF468-1463-40DC-B811-3D1CB75ABE82}"/>
    <cellStyle name="Standard 6 3 2 2 6 3 3" xfId="6913" xr:uid="{00000000-0005-0000-0000-0000081B0000}"/>
    <cellStyle name="Standard 6 3 2 2 6 3 3 2" xfId="18874" xr:uid="{69C2987C-1EF3-405A-ABDD-7BAF3586FD4B}"/>
    <cellStyle name="Standard 6 3 2 2 6 3 4" xfId="18871" xr:uid="{AA4DD644-55C1-42EF-A393-59D95410770D}"/>
    <cellStyle name="Standard 6 3 2 2 6 4" xfId="6914" xr:uid="{00000000-0005-0000-0000-0000091B0000}"/>
    <cellStyle name="Standard 6 3 2 2 6 4 2" xfId="6915" xr:uid="{00000000-0005-0000-0000-00000A1B0000}"/>
    <cellStyle name="Standard 6 3 2 2 6 4 2 2" xfId="6916" xr:uid="{00000000-0005-0000-0000-00000B1B0000}"/>
    <cellStyle name="Standard 6 3 2 2 6 4 2 2 2" xfId="18877" xr:uid="{2DCC1D4C-1755-4C5D-A8CB-9260E3BC39CD}"/>
    <cellStyle name="Standard 6 3 2 2 6 4 2 3" xfId="18876" xr:uid="{33DDFB22-60A9-4D3F-BB7D-1D9D1EBBF339}"/>
    <cellStyle name="Standard 6 3 2 2 6 4 3" xfId="6917" xr:uid="{00000000-0005-0000-0000-00000C1B0000}"/>
    <cellStyle name="Standard 6 3 2 2 6 4 3 2" xfId="18878" xr:uid="{B2480210-B03A-4704-AEC3-AE61228C6C7A}"/>
    <cellStyle name="Standard 6 3 2 2 6 4 4" xfId="18875" xr:uid="{E30E707D-3433-4224-A97B-5F35ABB1D8C9}"/>
    <cellStyle name="Standard 6 3 2 2 6 5" xfId="6918" xr:uid="{00000000-0005-0000-0000-00000D1B0000}"/>
    <cellStyle name="Standard 6 3 2 2 6 5 2" xfId="6919" xr:uid="{00000000-0005-0000-0000-00000E1B0000}"/>
    <cellStyle name="Standard 6 3 2 2 6 5 2 2" xfId="6920" xr:uid="{00000000-0005-0000-0000-00000F1B0000}"/>
    <cellStyle name="Standard 6 3 2 2 6 5 2 2 2" xfId="18881" xr:uid="{A11290D3-4517-4923-AA8E-E6E3BEBD0A0C}"/>
    <cellStyle name="Standard 6 3 2 2 6 5 2 3" xfId="18880" xr:uid="{F7248CEE-D9A2-4B80-BEA3-7A368797DF63}"/>
    <cellStyle name="Standard 6 3 2 2 6 5 3" xfId="6921" xr:uid="{00000000-0005-0000-0000-0000101B0000}"/>
    <cellStyle name="Standard 6 3 2 2 6 5 3 2" xfId="18882" xr:uid="{E3995989-3737-4926-8947-2503CE8EAE56}"/>
    <cellStyle name="Standard 6 3 2 2 6 5 4" xfId="18879" xr:uid="{2469C1EB-0FE4-4C64-B476-DF997C79E558}"/>
    <cellStyle name="Standard 6 3 2 2 6 6" xfId="6922" xr:uid="{00000000-0005-0000-0000-0000111B0000}"/>
    <cellStyle name="Standard 6 3 2 2 6 6 2" xfId="6923" xr:uid="{00000000-0005-0000-0000-0000121B0000}"/>
    <cellStyle name="Standard 6 3 2 2 6 6 2 2" xfId="6924" xr:uid="{00000000-0005-0000-0000-0000131B0000}"/>
    <cellStyle name="Standard 6 3 2 2 6 6 2 2 2" xfId="18885" xr:uid="{67A814AE-5113-4DC4-BE5F-A948B8916A4F}"/>
    <cellStyle name="Standard 6 3 2 2 6 6 2 3" xfId="18884" xr:uid="{1B993566-1368-418C-893F-D99FCB0FC656}"/>
    <cellStyle name="Standard 6 3 2 2 6 6 3" xfId="6925" xr:uid="{00000000-0005-0000-0000-0000141B0000}"/>
    <cellStyle name="Standard 6 3 2 2 6 6 3 2" xfId="18886" xr:uid="{96711F10-DCE5-4B85-B06A-F740BC89EF1D}"/>
    <cellStyle name="Standard 6 3 2 2 6 6 4" xfId="18883" xr:uid="{F25BE961-C8E4-4C95-9AE3-728C86288328}"/>
    <cellStyle name="Standard 6 3 2 2 6 7" xfId="6926" xr:uid="{00000000-0005-0000-0000-0000151B0000}"/>
    <cellStyle name="Standard 6 3 2 2 6 7 2" xfId="6927" xr:uid="{00000000-0005-0000-0000-0000161B0000}"/>
    <cellStyle name="Standard 6 3 2 2 6 7 2 2" xfId="6928" xr:uid="{00000000-0005-0000-0000-0000171B0000}"/>
    <cellStyle name="Standard 6 3 2 2 6 7 2 2 2" xfId="18889" xr:uid="{99A9A316-F629-4163-BF6D-F6E70086AB85}"/>
    <cellStyle name="Standard 6 3 2 2 6 7 2 3" xfId="18888" xr:uid="{4D360EBD-1DB8-4A77-8A88-B2C334B2F6C0}"/>
    <cellStyle name="Standard 6 3 2 2 6 7 3" xfId="6929" xr:uid="{00000000-0005-0000-0000-0000181B0000}"/>
    <cellStyle name="Standard 6 3 2 2 6 7 3 2" xfId="18890" xr:uid="{D181AE78-8577-4019-A35A-2C760EB80BF4}"/>
    <cellStyle name="Standard 6 3 2 2 6 7 4" xfId="18887" xr:uid="{A8DFA1B3-1B81-4DAA-A5FD-6A7275AB78D5}"/>
    <cellStyle name="Standard 6 3 2 2 6 8" xfId="6930" xr:uid="{00000000-0005-0000-0000-0000191B0000}"/>
    <cellStyle name="Standard 6 3 2 2 6 8 2" xfId="6931" xr:uid="{00000000-0005-0000-0000-00001A1B0000}"/>
    <cellStyle name="Standard 6 3 2 2 6 8 2 2" xfId="6932" xr:uid="{00000000-0005-0000-0000-00001B1B0000}"/>
    <cellStyle name="Standard 6 3 2 2 6 8 2 2 2" xfId="18893" xr:uid="{0C0595E7-7FDB-439F-A9FB-9648313B8FAE}"/>
    <cellStyle name="Standard 6 3 2 2 6 8 2 3" xfId="18892" xr:uid="{25CEAC91-6C7D-4E0E-B1BB-732431EBA2D0}"/>
    <cellStyle name="Standard 6 3 2 2 6 8 3" xfId="6933" xr:uid="{00000000-0005-0000-0000-00001C1B0000}"/>
    <cellStyle name="Standard 6 3 2 2 6 8 3 2" xfId="18894" xr:uid="{93E06923-789B-4084-A33B-AF3FF927B3EF}"/>
    <cellStyle name="Standard 6 3 2 2 6 8 4" xfId="18891" xr:uid="{E341818E-9E61-46C3-B551-E2D251CF7389}"/>
    <cellStyle name="Standard 6 3 2 2 6 9" xfId="6934" xr:uid="{00000000-0005-0000-0000-00001D1B0000}"/>
    <cellStyle name="Standard 6 3 2 2 6 9 2" xfId="6935" xr:uid="{00000000-0005-0000-0000-00001E1B0000}"/>
    <cellStyle name="Standard 6 3 2 2 6 9 2 2" xfId="18896" xr:uid="{46C3F954-7CD9-43F3-A1A1-3BA5BAD7A184}"/>
    <cellStyle name="Standard 6 3 2 2 6 9 3" xfId="18895" xr:uid="{0B308E12-6B1A-488C-B4FC-CC5D736B04B6}"/>
    <cellStyle name="Standard 6 3 2 2 7" xfId="6936" xr:uid="{00000000-0005-0000-0000-00001F1B0000}"/>
    <cellStyle name="Standard 6 3 2 2 7 10" xfId="6937" xr:uid="{00000000-0005-0000-0000-0000201B0000}"/>
    <cellStyle name="Standard 6 3 2 2 7 10 2" xfId="18898" xr:uid="{EECB631B-25E8-47F4-8647-4FAE06DD8C83}"/>
    <cellStyle name="Standard 6 3 2 2 7 11" xfId="18897" xr:uid="{7E1E864A-526C-4A28-B332-B54F9C22F34D}"/>
    <cellStyle name="Standard 6 3 2 2 7 2" xfId="6938" xr:uid="{00000000-0005-0000-0000-0000211B0000}"/>
    <cellStyle name="Standard 6 3 2 2 7 2 10" xfId="18899" xr:uid="{9BF4C5BF-B360-4CF3-9915-D1D849D723FA}"/>
    <cellStyle name="Standard 6 3 2 2 7 2 2" xfId="6939" xr:uid="{00000000-0005-0000-0000-0000221B0000}"/>
    <cellStyle name="Standard 6 3 2 2 7 2 2 2" xfId="6940" xr:uid="{00000000-0005-0000-0000-0000231B0000}"/>
    <cellStyle name="Standard 6 3 2 2 7 2 2 2 2" xfId="6941" xr:uid="{00000000-0005-0000-0000-0000241B0000}"/>
    <cellStyle name="Standard 6 3 2 2 7 2 2 2 2 2" xfId="18902" xr:uid="{6687E849-FDA9-498A-864F-6C9843D5754D}"/>
    <cellStyle name="Standard 6 3 2 2 7 2 2 2 3" xfId="18901" xr:uid="{5EE83A77-DCC7-4B03-B727-5B15E9A2CB14}"/>
    <cellStyle name="Standard 6 3 2 2 7 2 2 3" xfId="6942" xr:uid="{00000000-0005-0000-0000-0000251B0000}"/>
    <cellStyle name="Standard 6 3 2 2 7 2 2 3 2" xfId="18903" xr:uid="{41EF8F19-158E-4EA0-811D-323C26698B11}"/>
    <cellStyle name="Standard 6 3 2 2 7 2 2 4" xfId="18900" xr:uid="{4B543C0A-198C-43A8-8D99-C3F1BADED5FB}"/>
    <cellStyle name="Standard 6 3 2 2 7 2 3" xfId="6943" xr:uid="{00000000-0005-0000-0000-0000261B0000}"/>
    <cellStyle name="Standard 6 3 2 2 7 2 3 2" xfId="6944" xr:uid="{00000000-0005-0000-0000-0000271B0000}"/>
    <cellStyle name="Standard 6 3 2 2 7 2 3 2 2" xfId="6945" xr:uid="{00000000-0005-0000-0000-0000281B0000}"/>
    <cellStyle name="Standard 6 3 2 2 7 2 3 2 2 2" xfId="18906" xr:uid="{2736AAC1-15B5-41C7-BD3E-B87A062DA63B}"/>
    <cellStyle name="Standard 6 3 2 2 7 2 3 2 3" xfId="18905" xr:uid="{F4705916-F193-4E18-8B7E-99974798D008}"/>
    <cellStyle name="Standard 6 3 2 2 7 2 3 3" xfId="6946" xr:uid="{00000000-0005-0000-0000-0000291B0000}"/>
    <cellStyle name="Standard 6 3 2 2 7 2 3 3 2" xfId="18907" xr:uid="{A52FC236-4415-4B5D-ACD6-0D0587397CF9}"/>
    <cellStyle name="Standard 6 3 2 2 7 2 3 4" xfId="18904" xr:uid="{0294D474-313A-4404-9501-F9AC13A92644}"/>
    <cellStyle name="Standard 6 3 2 2 7 2 4" xfId="6947" xr:uid="{00000000-0005-0000-0000-00002A1B0000}"/>
    <cellStyle name="Standard 6 3 2 2 7 2 4 2" xfId="6948" xr:uid="{00000000-0005-0000-0000-00002B1B0000}"/>
    <cellStyle name="Standard 6 3 2 2 7 2 4 2 2" xfId="6949" xr:uid="{00000000-0005-0000-0000-00002C1B0000}"/>
    <cellStyle name="Standard 6 3 2 2 7 2 4 2 2 2" xfId="18910" xr:uid="{43D8F764-5C5B-420B-8D99-C869454F453B}"/>
    <cellStyle name="Standard 6 3 2 2 7 2 4 2 3" xfId="18909" xr:uid="{CC941C65-A6D0-4AA7-AA5B-1450A5D21E37}"/>
    <cellStyle name="Standard 6 3 2 2 7 2 4 3" xfId="6950" xr:uid="{00000000-0005-0000-0000-00002D1B0000}"/>
    <cellStyle name="Standard 6 3 2 2 7 2 4 3 2" xfId="18911" xr:uid="{3476D649-83AF-4BFE-A9FD-5D645E8FA607}"/>
    <cellStyle name="Standard 6 3 2 2 7 2 4 4" xfId="18908" xr:uid="{115AF052-36B1-44FB-B98B-29E7DFDC8E1C}"/>
    <cellStyle name="Standard 6 3 2 2 7 2 5" xfId="6951" xr:uid="{00000000-0005-0000-0000-00002E1B0000}"/>
    <cellStyle name="Standard 6 3 2 2 7 2 5 2" xfId="6952" xr:uid="{00000000-0005-0000-0000-00002F1B0000}"/>
    <cellStyle name="Standard 6 3 2 2 7 2 5 2 2" xfId="6953" xr:uid="{00000000-0005-0000-0000-0000301B0000}"/>
    <cellStyle name="Standard 6 3 2 2 7 2 5 2 2 2" xfId="18914" xr:uid="{E79DA902-89C7-49D9-831C-4937B729A58F}"/>
    <cellStyle name="Standard 6 3 2 2 7 2 5 2 3" xfId="18913" xr:uid="{D82F632E-05CF-4E2C-AB79-4310CFBEE6C8}"/>
    <cellStyle name="Standard 6 3 2 2 7 2 5 3" xfId="6954" xr:uid="{00000000-0005-0000-0000-0000311B0000}"/>
    <cellStyle name="Standard 6 3 2 2 7 2 5 3 2" xfId="18915" xr:uid="{1094FBA7-1977-4D9F-8DDC-13614BFA2650}"/>
    <cellStyle name="Standard 6 3 2 2 7 2 5 4" xfId="18912" xr:uid="{146F84FB-C41A-4AFC-8FAA-E3D9F9689DC1}"/>
    <cellStyle name="Standard 6 3 2 2 7 2 6" xfId="6955" xr:uid="{00000000-0005-0000-0000-0000321B0000}"/>
    <cellStyle name="Standard 6 3 2 2 7 2 6 2" xfId="6956" xr:uid="{00000000-0005-0000-0000-0000331B0000}"/>
    <cellStyle name="Standard 6 3 2 2 7 2 6 2 2" xfId="6957" xr:uid="{00000000-0005-0000-0000-0000341B0000}"/>
    <cellStyle name="Standard 6 3 2 2 7 2 6 2 2 2" xfId="18918" xr:uid="{1570898E-4749-4E06-AFD8-559065C803C1}"/>
    <cellStyle name="Standard 6 3 2 2 7 2 6 2 3" xfId="18917" xr:uid="{B4218178-3EA6-4184-9EE3-4AB58C742C9E}"/>
    <cellStyle name="Standard 6 3 2 2 7 2 6 3" xfId="6958" xr:uid="{00000000-0005-0000-0000-0000351B0000}"/>
    <cellStyle name="Standard 6 3 2 2 7 2 6 3 2" xfId="18919" xr:uid="{710C0EBB-D67F-4188-B652-9C78461F4A37}"/>
    <cellStyle name="Standard 6 3 2 2 7 2 6 4" xfId="18916" xr:uid="{2A6FADA1-69B3-408B-9F4A-CB01C593C9A5}"/>
    <cellStyle name="Standard 6 3 2 2 7 2 7" xfId="6959" xr:uid="{00000000-0005-0000-0000-0000361B0000}"/>
    <cellStyle name="Standard 6 3 2 2 7 2 7 2" xfId="6960" xr:uid="{00000000-0005-0000-0000-0000371B0000}"/>
    <cellStyle name="Standard 6 3 2 2 7 2 7 2 2" xfId="6961" xr:uid="{00000000-0005-0000-0000-0000381B0000}"/>
    <cellStyle name="Standard 6 3 2 2 7 2 7 2 2 2" xfId="18922" xr:uid="{44590673-25E6-4FE1-B063-001703D3BEAF}"/>
    <cellStyle name="Standard 6 3 2 2 7 2 7 2 3" xfId="18921" xr:uid="{58A78BE1-24E2-4B11-B7EC-A4E9D5DC9941}"/>
    <cellStyle name="Standard 6 3 2 2 7 2 7 3" xfId="6962" xr:uid="{00000000-0005-0000-0000-0000391B0000}"/>
    <cellStyle name="Standard 6 3 2 2 7 2 7 3 2" xfId="18923" xr:uid="{DA920C2A-3547-4C70-88AA-800F6A9002EC}"/>
    <cellStyle name="Standard 6 3 2 2 7 2 7 4" xfId="18920" xr:uid="{EA765D68-2FD6-4635-9B99-86EF6701AB2A}"/>
    <cellStyle name="Standard 6 3 2 2 7 2 8" xfId="6963" xr:uid="{00000000-0005-0000-0000-00003A1B0000}"/>
    <cellStyle name="Standard 6 3 2 2 7 2 8 2" xfId="6964" xr:uid="{00000000-0005-0000-0000-00003B1B0000}"/>
    <cellStyle name="Standard 6 3 2 2 7 2 8 2 2" xfId="18925" xr:uid="{3E8FB6A6-59E8-4760-8836-C5F69F179497}"/>
    <cellStyle name="Standard 6 3 2 2 7 2 8 3" xfId="18924" xr:uid="{6DFCB984-2182-4A86-9657-BF3023406360}"/>
    <cellStyle name="Standard 6 3 2 2 7 2 9" xfId="6965" xr:uid="{00000000-0005-0000-0000-00003C1B0000}"/>
    <cellStyle name="Standard 6 3 2 2 7 2 9 2" xfId="18926" xr:uid="{8F4397F3-DB0C-477A-ADD4-F16742867951}"/>
    <cellStyle name="Standard 6 3 2 2 7 3" xfId="6966" xr:uid="{00000000-0005-0000-0000-00003D1B0000}"/>
    <cellStyle name="Standard 6 3 2 2 7 3 2" xfId="6967" xr:uid="{00000000-0005-0000-0000-00003E1B0000}"/>
    <cellStyle name="Standard 6 3 2 2 7 3 2 2" xfId="6968" xr:uid="{00000000-0005-0000-0000-00003F1B0000}"/>
    <cellStyle name="Standard 6 3 2 2 7 3 2 2 2" xfId="18929" xr:uid="{AFF232C3-F86F-4CB7-A30A-7DDA5336D57C}"/>
    <cellStyle name="Standard 6 3 2 2 7 3 2 3" xfId="18928" xr:uid="{CC521E37-E7E2-48CA-B939-CB96440110FE}"/>
    <cellStyle name="Standard 6 3 2 2 7 3 3" xfId="6969" xr:uid="{00000000-0005-0000-0000-0000401B0000}"/>
    <cellStyle name="Standard 6 3 2 2 7 3 3 2" xfId="18930" xr:uid="{D390DCB9-0232-4997-BF13-44FF44AF179F}"/>
    <cellStyle name="Standard 6 3 2 2 7 3 4" xfId="18927" xr:uid="{1B4A7ECD-2965-4E2F-8E3E-ADB82B8E8009}"/>
    <cellStyle name="Standard 6 3 2 2 7 4" xfId="6970" xr:uid="{00000000-0005-0000-0000-0000411B0000}"/>
    <cellStyle name="Standard 6 3 2 2 7 4 2" xfId="6971" xr:uid="{00000000-0005-0000-0000-0000421B0000}"/>
    <cellStyle name="Standard 6 3 2 2 7 4 2 2" xfId="6972" xr:uid="{00000000-0005-0000-0000-0000431B0000}"/>
    <cellStyle name="Standard 6 3 2 2 7 4 2 2 2" xfId="18933" xr:uid="{40C39CDC-9E2A-4859-A34B-9A4AB8C39AED}"/>
    <cellStyle name="Standard 6 3 2 2 7 4 2 3" xfId="18932" xr:uid="{C36FE381-E5E8-43E3-BDFE-B28C55E0BCC7}"/>
    <cellStyle name="Standard 6 3 2 2 7 4 3" xfId="6973" xr:uid="{00000000-0005-0000-0000-0000441B0000}"/>
    <cellStyle name="Standard 6 3 2 2 7 4 3 2" xfId="18934" xr:uid="{D64A7B58-FC57-4991-B2EB-4C7EBC0D529E}"/>
    <cellStyle name="Standard 6 3 2 2 7 4 4" xfId="18931" xr:uid="{BE94D79C-C018-4E22-97D0-D1748B457A71}"/>
    <cellStyle name="Standard 6 3 2 2 7 5" xfId="6974" xr:uid="{00000000-0005-0000-0000-0000451B0000}"/>
    <cellStyle name="Standard 6 3 2 2 7 5 2" xfId="6975" xr:uid="{00000000-0005-0000-0000-0000461B0000}"/>
    <cellStyle name="Standard 6 3 2 2 7 5 2 2" xfId="6976" xr:uid="{00000000-0005-0000-0000-0000471B0000}"/>
    <cellStyle name="Standard 6 3 2 2 7 5 2 2 2" xfId="18937" xr:uid="{B9415C76-FA9F-41A3-AF14-E05F9B509DDC}"/>
    <cellStyle name="Standard 6 3 2 2 7 5 2 3" xfId="18936" xr:uid="{7F6CF8C0-0E75-4452-99A6-4A8F7DCFD183}"/>
    <cellStyle name="Standard 6 3 2 2 7 5 3" xfId="6977" xr:uid="{00000000-0005-0000-0000-0000481B0000}"/>
    <cellStyle name="Standard 6 3 2 2 7 5 3 2" xfId="18938" xr:uid="{DD938A3B-2614-40F9-8D58-F5D46F0F775E}"/>
    <cellStyle name="Standard 6 3 2 2 7 5 4" xfId="18935" xr:uid="{D7A59440-EE6C-4985-8EDC-0B265610EAB5}"/>
    <cellStyle name="Standard 6 3 2 2 7 6" xfId="6978" xr:uid="{00000000-0005-0000-0000-0000491B0000}"/>
    <cellStyle name="Standard 6 3 2 2 7 6 2" xfId="6979" xr:uid="{00000000-0005-0000-0000-00004A1B0000}"/>
    <cellStyle name="Standard 6 3 2 2 7 6 2 2" xfId="6980" xr:uid="{00000000-0005-0000-0000-00004B1B0000}"/>
    <cellStyle name="Standard 6 3 2 2 7 6 2 2 2" xfId="18941" xr:uid="{9CF60DBE-F4EB-4EAE-96C0-79450F37F35A}"/>
    <cellStyle name="Standard 6 3 2 2 7 6 2 3" xfId="18940" xr:uid="{F04E846D-B433-4271-912E-183269521C0D}"/>
    <cellStyle name="Standard 6 3 2 2 7 6 3" xfId="6981" xr:uid="{00000000-0005-0000-0000-00004C1B0000}"/>
    <cellStyle name="Standard 6 3 2 2 7 6 3 2" xfId="18942" xr:uid="{C6EFB726-756A-4748-B2A1-66FAA2E556A0}"/>
    <cellStyle name="Standard 6 3 2 2 7 6 4" xfId="18939" xr:uid="{0AC09B2F-BD77-4C11-B0D6-80880E595D6B}"/>
    <cellStyle name="Standard 6 3 2 2 7 7" xfId="6982" xr:uid="{00000000-0005-0000-0000-00004D1B0000}"/>
    <cellStyle name="Standard 6 3 2 2 7 7 2" xfId="6983" xr:uid="{00000000-0005-0000-0000-00004E1B0000}"/>
    <cellStyle name="Standard 6 3 2 2 7 7 2 2" xfId="6984" xr:uid="{00000000-0005-0000-0000-00004F1B0000}"/>
    <cellStyle name="Standard 6 3 2 2 7 7 2 2 2" xfId="18945" xr:uid="{B6FD288F-D37E-4161-B9D9-DACD126D5DA8}"/>
    <cellStyle name="Standard 6 3 2 2 7 7 2 3" xfId="18944" xr:uid="{146E389B-B6CE-4725-AD17-442A5455219F}"/>
    <cellStyle name="Standard 6 3 2 2 7 7 3" xfId="6985" xr:uid="{00000000-0005-0000-0000-0000501B0000}"/>
    <cellStyle name="Standard 6 3 2 2 7 7 3 2" xfId="18946" xr:uid="{8DBF72F8-11A0-47AE-85AB-54AB06B2EA47}"/>
    <cellStyle name="Standard 6 3 2 2 7 7 4" xfId="18943" xr:uid="{FDEF54BF-34FA-4643-A7B2-EB058EF0EB41}"/>
    <cellStyle name="Standard 6 3 2 2 7 8" xfId="6986" xr:uid="{00000000-0005-0000-0000-0000511B0000}"/>
    <cellStyle name="Standard 6 3 2 2 7 8 2" xfId="6987" xr:uid="{00000000-0005-0000-0000-0000521B0000}"/>
    <cellStyle name="Standard 6 3 2 2 7 8 2 2" xfId="6988" xr:uid="{00000000-0005-0000-0000-0000531B0000}"/>
    <cellStyle name="Standard 6 3 2 2 7 8 2 2 2" xfId="18949" xr:uid="{A85D5954-FEEE-4C45-A03C-7BF96DF444D2}"/>
    <cellStyle name="Standard 6 3 2 2 7 8 2 3" xfId="18948" xr:uid="{91B95E58-3480-4642-A991-3FAC3B7843F2}"/>
    <cellStyle name="Standard 6 3 2 2 7 8 3" xfId="6989" xr:uid="{00000000-0005-0000-0000-0000541B0000}"/>
    <cellStyle name="Standard 6 3 2 2 7 8 3 2" xfId="18950" xr:uid="{1F1903E8-0C0A-459F-95EF-10243DCB1D01}"/>
    <cellStyle name="Standard 6 3 2 2 7 8 4" xfId="18947" xr:uid="{D24A6075-A9CF-42B5-8B38-418D21AC4609}"/>
    <cellStyle name="Standard 6 3 2 2 7 9" xfId="6990" xr:uid="{00000000-0005-0000-0000-0000551B0000}"/>
    <cellStyle name="Standard 6 3 2 2 7 9 2" xfId="6991" xr:uid="{00000000-0005-0000-0000-0000561B0000}"/>
    <cellStyle name="Standard 6 3 2 2 7 9 2 2" xfId="18952" xr:uid="{8D64F6C9-1729-4221-84D7-214E2CB4A3AD}"/>
    <cellStyle name="Standard 6 3 2 2 7 9 3" xfId="18951" xr:uid="{B978AC70-C7A2-4CFA-8951-F46327003E89}"/>
    <cellStyle name="Standard 6 3 2 2 8" xfId="6992" xr:uid="{00000000-0005-0000-0000-0000571B0000}"/>
    <cellStyle name="Standard 6 3 2 2 8 10" xfId="18953" xr:uid="{169C4B2C-B882-4A1F-9647-D0274147236B}"/>
    <cellStyle name="Standard 6 3 2 2 8 2" xfId="6993" xr:uid="{00000000-0005-0000-0000-0000581B0000}"/>
    <cellStyle name="Standard 6 3 2 2 8 2 2" xfId="6994" xr:uid="{00000000-0005-0000-0000-0000591B0000}"/>
    <cellStyle name="Standard 6 3 2 2 8 2 2 2" xfId="6995" xr:uid="{00000000-0005-0000-0000-00005A1B0000}"/>
    <cellStyle name="Standard 6 3 2 2 8 2 2 2 2" xfId="18956" xr:uid="{B2C0F75D-61AA-4432-A471-30806B87DA83}"/>
    <cellStyle name="Standard 6 3 2 2 8 2 2 3" xfId="18955" xr:uid="{53F57E3C-6F17-4C1F-A6E7-C05B35B3EB50}"/>
    <cellStyle name="Standard 6 3 2 2 8 2 3" xfId="6996" xr:uid="{00000000-0005-0000-0000-00005B1B0000}"/>
    <cellStyle name="Standard 6 3 2 2 8 2 3 2" xfId="18957" xr:uid="{EC33A72A-85A4-4E5A-A3FB-D5AEFC15DBBB}"/>
    <cellStyle name="Standard 6 3 2 2 8 2 4" xfId="18954" xr:uid="{5BF61D44-13BD-4811-84B5-F15A9D8D7BFE}"/>
    <cellStyle name="Standard 6 3 2 2 8 3" xfId="6997" xr:uid="{00000000-0005-0000-0000-00005C1B0000}"/>
    <cellStyle name="Standard 6 3 2 2 8 3 2" xfId="6998" xr:uid="{00000000-0005-0000-0000-00005D1B0000}"/>
    <cellStyle name="Standard 6 3 2 2 8 3 2 2" xfId="6999" xr:uid="{00000000-0005-0000-0000-00005E1B0000}"/>
    <cellStyle name="Standard 6 3 2 2 8 3 2 2 2" xfId="18960" xr:uid="{3A5AFC45-F7F9-406F-8305-489B0CABDB97}"/>
    <cellStyle name="Standard 6 3 2 2 8 3 2 3" xfId="18959" xr:uid="{B0C1DD1F-2A0E-4FEA-9559-E596CF493EE8}"/>
    <cellStyle name="Standard 6 3 2 2 8 3 3" xfId="7000" xr:uid="{00000000-0005-0000-0000-00005F1B0000}"/>
    <cellStyle name="Standard 6 3 2 2 8 3 3 2" xfId="18961" xr:uid="{EF51DB4D-C97C-444B-ADD5-34396BF89871}"/>
    <cellStyle name="Standard 6 3 2 2 8 3 4" xfId="18958" xr:uid="{09969CB7-BB03-4CD8-AC00-EED1DB018081}"/>
    <cellStyle name="Standard 6 3 2 2 8 4" xfId="7001" xr:uid="{00000000-0005-0000-0000-0000601B0000}"/>
    <cellStyle name="Standard 6 3 2 2 8 4 2" xfId="7002" xr:uid="{00000000-0005-0000-0000-0000611B0000}"/>
    <cellStyle name="Standard 6 3 2 2 8 4 2 2" xfId="7003" xr:uid="{00000000-0005-0000-0000-0000621B0000}"/>
    <cellStyle name="Standard 6 3 2 2 8 4 2 2 2" xfId="18964" xr:uid="{7881DC2B-B300-4A95-8F4D-38B482C81DEA}"/>
    <cellStyle name="Standard 6 3 2 2 8 4 2 3" xfId="18963" xr:uid="{EA025C13-6A9E-4852-9C26-75F5730708E8}"/>
    <cellStyle name="Standard 6 3 2 2 8 4 3" xfId="7004" xr:uid="{00000000-0005-0000-0000-0000631B0000}"/>
    <cellStyle name="Standard 6 3 2 2 8 4 3 2" xfId="18965" xr:uid="{6BBE67CB-830E-4704-B7AF-8294F0FB827D}"/>
    <cellStyle name="Standard 6 3 2 2 8 4 4" xfId="18962" xr:uid="{7DD3393B-47D5-40F8-90E5-20568B331F1C}"/>
    <cellStyle name="Standard 6 3 2 2 8 5" xfId="7005" xr:uid="{00000000-0005-0000-0000-0000641B0000}"/>
    <cellStyle name="Standard 6 3 2 2 8 5 2" xfId="7006" xr:uid="{00000000-0005-0000-0000-0000651B0000}"/>
    <cellStyle name="Standard 6 3 2 2 8 5 2 2" xfId="7007" xr:uid="{00000000-0005-0000-0000-0000661B0000}"/>
    <cellStyle name="Standard 6 3 2 2 8 5 2 2 2" xfId="18968" xr:uid="{B7FCFB8A-6372-40B3-BC4F-B45C55D12769}"/>
    <cellStyle name="Standard 6 3 2 2 8 5 2 3" xfId="18967" xr:uid="{D072916F-AEE3-44CE-B456-6FD7ADF7784A}"/>
    <cellStyle name="Standard 6 3 2 2 8 5 3" xfId="7008" xr:uid="{00000000-0005-0000-0000-0000671B0000}"/>
    <cellStyle name="Standard 6 3 2 2 8 5 3 2" xfId="18969" xr:uid="{A22AB7BE-AEC6-4CF0-B013-898792692DF2}"/>
    <cellStyle name="Standard 6 3 2 2 8 5 4" xfId="18966" xr:uid="{84463FA0-4FBA-487A-88C2-6A75ED23D481}"/>
    <cellStyle name="Standard 6 3 2 2 8 6" xfId="7009" xr:uid="{00000000-0005-0000-0000-0000681B0000}"/>
    <cellStyle name="Standard 6 3 2 2 8 6 2" xfId="7010" xr:uid="{00000000-0005-0000-0000-0000691B0000}"/>
    <cellStyle name="Standard 6 3 2 2 8 6 2 2" xfId="7011" xr:uid="{00000000-0005-0000-0000-00006A1B0000}"/>
    <cellStyle name="Standard 6 3 2 2 8 6 2 2 2" xfId="18972" xr:uid="{B80BA0F7-4A27-4EE9-BB46-5313BB8E7FAA}"/>
    <cellStyle name="Standard 6 3 2 2 8 6 2 3" xfId="18971" xr:uid="{E98E114B-9129-4777-8014-8B329D9CD85E}"/>
    <cellStyle name="Standard 6 3 2 2 8 6 3" xfId="7012" xr:uid="{00000000-0005-0000-0000-00006B1B0000}"/>
    <cellStyle name="Standard 6 3 2 2 8 6 3 2" xfId="18973" xr:uid="{2626214D-D305-4465-8FD9-3A53058ED4B5}"/>
    <cellStyle name="Standard 6 3 2 2 8 6 4" xfId="18970" xr:uid="{995CA50E-3F9A-486A-AE87-6CAE450707EF}"/>
    <cellStyle name="Standard 6 3 2 2 8 7" xfId="7013" xr:uid="{00000000-0005-0000-0000-00006C1B0000}"/>
    <cellStyle name="Standard 6 3 2 2 8 7 2" xfId="7014" xr:uid="{00000000-0005-0000-0000-00006D1B0000}"/>
    <cellStyle name="Standard 6 3 2 2 8 7 2 2" xfId="7015" xr:uid="{00000000-0005-0000-0000-00006E1B0000}"/>
    <cellStyle name="Standard 6 3 2 2 8 7 2 2 2" xfId="18976" xr:uid="{225C6BC2-B7A2-4E76-871F-8F2BA53AF35B}"/>
    <cellStyle name="Standard 6 3 2 2 8 7 2 3" xfId="18975" xr:uid="{21FD19AC-7F07-408C-85A1-417BD46193CB}"/>
    <cellStyle name="Standard 6 3 2 2 8 7 3" xfId="7016" xr:uid="{00000000-0005-0000-0000-00006F1B0000}"/>
    <cellStyle name="Standard 6 3 2 2 8 7 3 2" xfId="18977" xr:uid="{60B1D334-06D8-4BF1-B559-759368181CA1}"/>
    <cellStyle name="Standard 6 3 2 2 8 7 4" xfId="18974" xr:uid="{ED5791D2-08DC-4F23-A13B-E8C75080CDDC}"/>
    <cellStyle name="Standard 6 3 2 2 8 8" xfId="7017" xr:uid="{00000000-0005-0000-0000-0000701B0000}"/>
    <cellStyle name="Standard 6 3 2 2 8 8 2" xfId="7018" xr:uid="{00000000-0005-0000-0000-0000711B0000}"/>
    <cellStyle name="Standard 6 3 2 2 8 8 2 2" xfId="18979" xr:uid="{E3938CDD-A03F-4B43-A99E-7C9E4508A897}"/>
    <cellStyle name="Standard 6 3 2 2 8 8 3" xfId="18978" xr:uid="{A331DCF1-8D42-4C7A-A042-6AFCDC6DD96D}"/>
    <cellStyle name="Standard 6 3 2 2 8 9" xfId="7019" xr:uid="{00000000-0005-0000-0000-0000721B0000}"/>
    <cellStyle name="Standard 6 3 2 2 8 9 2" xfId="18980" xr:uid="{958110E2-E5CB-448E-9D07-10D2A2D9BA56}"/>
    <cellStyle name="Standard 6 3 2 2 9" xfId="7020" xr:uid="{00000000-0005-0000-0000-0000731B0000}"/>
    <cellStyle name="Standard 6 3 2 2 9 2" xfId="7021" xr:uid="{00000000-0005-0000-0000-0000741B0000}"/>
    <cellStyle name="Standard 6 3 2 2 9 2 2" xfId="7022" xr:uid="{00000000-0005-0000-0000-0000751B0000}"/>
    <cellStyle name="Standard 6 3 2 2 9 2 2 2" xfId="7023" xr:uid="{00000000-0005-0000-0000-0000761B0000}"/>
    <cellStyle name="Standard 6 3 2 2 9 2 2 2 2" xfId="18984" xr:uid="{2EC0E383-C98E-4E24-ADFC-B9249B82B201}"/>
    <cellStyle name="Standard 6 3 2 2 9 2 2 3" xfId="18983" xr:uid="{4A55F6EF-738D-45B7-81EA-AB00DDB0D0CA}"/>
    <cellStyle name="Standard 6 3 2 2 9 2 3" xfId="7024" xr:uid="{00000000-0005-0000-0000-0000771B0000}"/>
    <cellStyle name="Standard 6 3 2 2 9 2 3 2" xfId="18985" xr:uid="{65C4C149-F7B4-429D-913D-092F1EB1CAB2}"/>
    <cellStyle name="Standard 6 3 2 2 9 2 4" xfId="18982" xr:uid="{ACB311BF-EE17-46A3-A43F-9F355FCECA80}"/>
    <cellStyle name="Standard 6 3 2 2 9 3" xfId="7025" xr:uid="{00000000-0005-0000-0000-0000781B0000}"/>
    <cellStyle name="Standard 6 3 2 2 9 3 2" xfId="7026" xr:uid="{00000000-0005-0000-0000-0000791B0000}"/>
    <cellStyle name="Standard 6 3 2 2 9 3 2 2" xfId="7027" xr:uid="{00000000-0005-0000-0000-00007A1B0000}"/>
    <cellStyle name="Standard 6 3 2 2 9 3 2 2 2" xfId="18988" xr:uid="{8FDC0E4B-9FF9-40E0-845C-46D5A4552E2A}"/>
    <cellStyle name="Standard 6 3 2 2 9 3 2 3" xfId="18987" xr:uid="{75FB0E89-4C80-4C8A-8D06-6576C759B4C5}"/>
    <cellStyle name="Standard 6 3 2 2 9 3 3" xfId="7028" xr:uid="{00000000-0005-0000-0000-00007B1B0000}"/>
    <cellStyle name="Standard 6 3 2 2 9 3 3 2" xfId="18989" xr:uid="{52E81D39-0236-41D5-8F19-712030E56FA1}"/>
    <cellStyle name="Standard 6 3 2 2 9 3 4" xfId="18986" xr:uid="{AC65B3F6-65F5-431C-9E32-FBB9A80D4D24}"/>
    <cellStyle name="Standard 6 3 2 2 9 4" xfId="7029" xr:uid="{00000000-0005-0000-0000-00007C1B0000}"/>
    <cellStyle name="Standard 6 3 2 2 9 4 2" xfId="7030" xr:uid="{00000000-0005-0000-0000-00007D1B0000}"/>
    <cellStyle name="Standard 6 3 2 2 9 4 2 2" xfId="7031" xr:uid="{00000000-0005-0000-0000-00007E1B0000}"/>
    <cellStyle name="Standard 6 3 2 2 9 4 2 2 2" xfId="18992" xr:uid="{78A07C45-AE99-4FBE-A813-6A5B0B5B7742}"/>
    <cellStyle name="Standard 6 3 2 2 9 4 2 3" xfId="18991" xr:uid="{D2232C1B-0199-48B7-BCB4-9C67FFD47712}"/>
    <cellStyle name="Standard 6 3 2 2 9 4 3" xfId="7032" xr:uid="{00000000-0005-0000-0000-00007F1B0000}"/>
    <cellStyle name="Standard 6 3 2 2 9 4 3 2" xfId="18993" xr:uid="{A3F40CF4-74AB-41BD-8DA3-084E93606E95}"/>
    <cellStyle name="Standard 6 3 2 2 9 4 4" xfId="18990" xr:uid="{7574B86C-7E75-429D-8B9A-F28B708227DB}"/>
    <cellStyle name="Standard 6 3 2 2 9 5" xfId="7033" xr:uid="{00000000-0005-0000-0000-0000801B0000}"/>
    <cellStyle name="Standard 6 3 2 2 9 5 2" xfId="7034" xr:uid="{00000000-0005-0000-0000-0000811B0000}"/>
    <cellStyle name="Standard 6 3 2 2 9 5 2 2" xfId="7035" xr:uid="{00000000-0005-0000-0000-0000821B0000}"/>
    <cellStyle name="Standard 6 3 2 2 9 5 2 2 2" xfId="18996" xr:uid="{0A9AF09B-3FDF-4063-ACBA-C7A6CDEDE348}"/>
    <cellStyle name="Standard 6 3 2 2 9 5 2 3" xfId="18995" xr:uid="{8D464C82-D0BB-470D-8876-6E63C68A5144}"/>
    <cellStyle name="Standard 6 3 2 2 9 5 3" xfId="7036" xr:uid="{00000000-0005-0000-0000-0000831B0000}"/>
    <cellStyle name="Standard 6 3 2 2 9 5 3 2" xfId="18997" xr:uid="{532DB925-BB72-4216-8C05-C033F05C21A4}"/>
    <cellStyle name="Standard 6 3 2 2 9 5 4" xfId="18994" xr:uid="{659CC299-7E49-4D98-9E70-F2B76240EAF3}"/>
    <cellStyle name="Standard 6 3 2 2 9 6" xfId="7037" xr:uid="{00000000-0005-0000-0000-0000841B0000}"/>
    <cellStyle name="Standard 6 3 2 2 9 6 2" xfId="7038" xr:uid="{00000000-0005-0000-0000-0000851B0000}"/>
    <cellStyle name="Standard 6 3 2 2 9 6 2 2" xfId="7039" xr:uid="{00000000-0005-0000-0000-0000861B0000}"/>
    <cellStyle name="Standard 6 3 2 2 9 6 2 2 2" xfId="19000" xr:uid="{B712DCDD-C826-4439-958E-F767AC1F9AEC}"/>
    <cellStyle name="Standard 6 3 2 2 9 6 2 3" xfId="18999" xr:uid="{5BA988C0-1C52-4ACA-AF90-5BA4512EB13F}"/>
    <cellStyle name="Standard 6 3 2 2 9 6 3" xfId="7040" xr:uid="{00000000-0005-0000-0000-0000871B0000}"/>
    <cellStyle name="Standard 6 3 2 2 9 6 3 2" xfId="19001" xr:uid="{00068EC4-5212-4DED-812E-D9BED3A33E18}"/>
    <cellStyle name="Standard 6 3 2 2 9 6 4" xfId="18998" xr:uid="{4AD2DA97-AA7F-49F7-BE71-66DA5D56712A}"/>
    <cellStyle name="Standard 6 3 2 2 9 7" xfId="7041" xr:uid="{00000000-0005-0000-0000-0000881B0000}"/>
    <cellStyle name="Standard 6 3 2 2 9 7 2" xfId="7042" xr:uid="{00000000-0005-0000-0000-0000891B0000}"/>
    <cellStyle name="Standard 6 3 2 2 9 7 2 2" xfId="19003" xr:uid="{3A8212C7-2C22-4429-9168-5C66010A0EB0}"/>
    <cellStyle name="Standard 6 3 2 2 9 7 3" xfId="19002" xr:uid="{67AD2442-AE90-4E5A-8E7C-758CA9342BD7}"/>
    <cellStyle name="Standard 6 3 2 2 9 8" xfId="7043" xr:uid="{00000000-0005-0000-0000-00008A1B0000}"/>
    <cellStyle name="Standard 6 3 2 2 9 8 2" xfId="19004" xr:uid="{F776CBF8-EED1-4813-839A-9C2061461445}"/>
    <cellStyle name="Standard 6 3 2 2 9 9" xfId="18981" xr:uid="{BD39E372-8CF4-4E77-A6CB-4DEE34D965C0}"/>
    <cellStyle name="Standard 6 3 2 20" xfId="7044" xr:uid="{00000000-0005-0000-0000-00008B1B0000}"/>
    <cellStyle name="Standard 6 3 2 20 2" xfId="7045" xr:uid="{00000000-0005-0000-0000-00008C1B0000}"/>
    <cellStyle name="Standard 6 3 2 20 2 2" xfId="7046" xr:uid="{00000000-0005-0000-0000-00008D1B0000}"/>
    <cellStyle name="Standard 6 3 2 20 2 2 2" xfId="19007" xr:uid="{353D1058-55B4-4BD1-8120-7BFDE54DE252}"/>
    <cellStyle name="Standard 6 3 2 20 2 3" xfId="19006" xr:uid="{DAE77D2E-00FE-4123-B7DE-999AA488F77D}"/>
    <cellStyle name="Standard 6 3 2 20 3" xfId="7047" xr:uid="{00000000-0005-0000-0000-00008E1B0000}"/>
    <cellStyle name="Standard 6 3 2 20 3 2" xfId="19008" xr:uid="{38CE9B00-6876-41B7-9336-AB4AA6147232}"/>
    <cellStyle name="Standard 6 3 2 20 4" xfId="19005" xr:uid="{20505C5F-118F-45CF-BF05-265FCDBB7D65}"/>
    <cellStyle name="Standard 6 3 2 21" xfId="7048" xr:uid="{00000000-0005-0000-0000-00008F1B0000}"/>
    <cellStyle name="Standard 6 3 2 21 2" xfId="7049" xr:uid="{00000000-0005-0000-0000-0000901B0000}"/>
    <cellStyle name="Standard 6 3 2 21 2 2" xfId="7050" xr:uid="{00000000-0005-0000-0000-0000911B0000}"/>
    <cellStyle name="Standard 6 3 2 21 2 2 2" xfId="19011" xr:uid="{2B7F0A19-D163-41FD-8E87-3042A7AF477D}"/>
    <cellStyle name="Standard 6 3 2 21 2 3" xfId="19010" xr:uid="{1175B27C-D249-4164-B6B6-41D3CD980704}"/>
    <cellStyle name="Standard 6 3 2 21 3" xfId="7051" xr:uid="{00000000-0005-0000-0000-0000921B0000}"/>
    <cellStyle name="Standard 6 3 2 21 3 2" xfId="19012" xr:uid="{2734AEEC-5B08-4708-B4B9-7C1AAF669F48}"/>
    <cellStyle name="Standard 6 3 2 21 4" xfId="19009" xr:uid="{BD7AF4F7-9F42-4803-8755-6C59963BE146}"/>
    <cellStyle name="Standard 6 3 2 22" xfId="7052" xr:uid="{00000000-0005-0000-0000-0000931B0000}"/>
    <cellStyle name="Standard 6 3 2 22 2" xfId="7053" xr:uid="{00000000-0005-0000-0000-0000941B0000}"/>
    <cellStyle name="Standard 6 3 2 22 2 2" xfId="19014" xr:uid="{EFC4A9C6-C87B-4677-AF7D-F77F632022D0}"/>
    <cellStyle name="Standard 6 3 2 22 3" xfId="19013" xr:uid="{FA3BFF86-97FD-4C2F-AA3F-3507D94D5AE7}"/>
    <cellStyle name="Standard 6 3 2 23" xfId="7054" xr:uid="{00000000-0005-0000-0000-0000951B0000}"/>
    <cellStyle name="Standard 6 3 2 23 2" xfId="19015" xr:uid="{64C887B2-9F01-4E07-980B-C916F5B21B29}"/>
    <cellStyle name="Standard 6 3 2 24" xfId="7055" xr:uid="{00000000-0005-0000-0000-0000961B0000}"/>
    <cellStyle name="Standard 6 3 2 24 2" xfId="19016" xr:uid="{F15018F1-1EA1-4561-821E-3E4AD69874EC}"/>
    <cellStyle name="Standard 6 3 2 25" xfId="18431" xr:uid="{72EC6078-1935-4ED6-B4F2-6DD3E530CE9D}"/>
    <cellStyle name="Standard 6 3 2 3" xfId="7056" xr:uid="{00000000-0005-0000-0000-0000971B0000}"/>
    <cellStyle name="Standard 6 3 2 3 10" xfId="7057" xr:uid="{00000000-0005-0000-0000-0000981B0000}"/>
    <cellStyle name="Standard 6 3 2 3 10 2" xfId="7058" xr:uid="{00000000-0005-0000-0000-0000991B0000}"/>
    <cellStyle name="Standard 6 3 2 3 10 2 2" xfId="7059" xr:uid="{00000000-0005-0000-0000-00009A1B0000}"/>
    <cellStyle name="Standard 6 3 2 3 10 2 2 2" xfId="19020" xr:uid="{E805AEE7-B16D-455A-836D-194964CC03D0}"/>
    <cellStyle name="Standard 6 3 2 3 10 2 3" xfId="19019" xr:uid="{EBA213B7-390D-48E9-8816-42E4521AB9F7}"/>
    <cellStyle name="Standard 6 3 2 3 10 3" xfId="7060" xr:uid="{00000000-0005-0000-0000-00009B1B0000}"/>
    <cellStyle name="Standard 6 3 2 3 10 3 2" xfId="19021" xr:uid="{EAE37D99-4817-400F-8E2D-717E534335E4}"/>
    <cellStyle name="Standard 6 3 2 3 10 4" xfId="19018" xr:uid="{4531A2B9-74AE-46D4-8E35-B3D52A722DBC}"/>
    <cellStyle name="Standard 6 3 2 3 11" xfId="7061" xr:uid="{00000000-0005-0000-0000-00009C1B0000}"/>
    <cellStyle name="Standard 6 3 2 3 11 2" xfId="7062" xr:uid="{00000000-0005-0000-0000-00009D1B0000}"/>
    <cellStyle name="Standard 6 3 2 3 11 2 2" xfId="7063" xr:uid="{00000000-0005-0000-0000-00009E1B0000}"/>
    <cellStyle name="Standard 6 3 2 3 11 2 2 2" xfId="19024" xr:uid="{BCE4A608-1C7E-4DB5-9158-232D5232CB21}"/>
    <cellStyle name="Standard 6 3 2 3 11 2 3" xfId="19023" xr:uid="{820ED656-0C37-4071-A5E2-6C3968F9565D}"/>
    <cellStyle name="Standard 6 3 2 3 11 3" xfId="7064" xr:uid="{00000000-0005-0000-0000-00009F1B0000}"/>
    <cellStyle name="Standard 6 3 2 3 11 3 2" xfId="19025" xr:uid="{FD6F921E-2C3E-4408-B6EB-05D766C23318}"/>
    <cellStyle name="Standard 6 3 2 3 11 4" xfId="19022" xr:uid="{F389B2A0-388B-4227-95C5-B7133EF6E481}"/>
    <cellStyle name="Standard 6 3 2 3 12" xfId="7065" xr:uid="{00000000-0005-0000-0000-0000A01B0000}"/>
    <cellStyle name="Standard 6 3 2 3 12 2" xfId="7066" xr:uid="{00000000-0005-0000-0000-0000A11B0000}"/>
    <cellStyle name="Standard 6 3 2 3 12 2 2" xfId="7067" xr:uid="{00000000-0005-0000-0000-0000A21B0000}"/>
    <cellStyle name="Standard 6 3 2 3 12 2 2 2" xfId="19028" xr:uid="{F53CCCDA-695F-4456-88FE-8A0723884D7F}"/>
    <cellStyle name="Standard 6 3 2 3 12 2 3" xfId="19027" xr:uid="{5329F418-226D-4A7B-8AA4-95AFD43D1ED8}"/>
    <cellStyle name="Standard 6 3 2 3 12 3" xfId="7068" xr:uid="{00000000-0005-0000-0000-0000A31B0000}"/>
    <cellStyle name="Standard 6 3 2 3 12 3 2" xfId="19029" xr:uid="{5D5EC20A-74F7-4080-91B6-42116B1597B6}"/>
    <cellStyle name="Standard 6 3 2 3 12 4" xfId="19026" xr:uid="{C0281327-6A98-466F-AC2D-E74CF19C6C16}"/>
    <cellStyle name="Standard 6 3 2 3 13" xfId="7069" xr:uid="{00000000-0005-0000-0000-0000A41B0000}"/>
    <cellStyle name="Standard 6 3 2 3 13 2" xfId="7070" xr:uid="{00000000-0005-0000-0000-0000A51B0000}"/>
    <cellStyle name="Standard 6 3 2 3 13 2 2" xfId="7071" xr:uid="{00000000-0005-0000-0000-0000A61B0000}"/>
    <cellStyle name="Standard 6 3 2 3 13 2 2 2" xfId="19032" xr:uid="{35EF549E-F664-4904-9162-10FAC26D61B9}"/>
    <cellStyle name="Standard 6 3 2 3 13 2 3" xfId="19031" xr:uid="{B5903CB6-5B39-4FED-A443-5B631B659D9A}"/>
    <cellStyle name="Standard 6 3 2 3 13 3" xfId="7072" xr:uid="{00000000-0005-0000-0000-0000A71B0000}"/>
    <cellStyle name="Standard 6 3 2 3 13 3 2" xfId="19033" xr:uid="{F0D94FC7-0654-4C12-8CBD-04C5DB046564}"/>
    <cellStyle name="Standard 6 3 2 3 13 4" xfId="19030" xr:uid="{E9D7002E-FFE2-4884-B920-77AAA0B4D052}"/>
    <cellStyle name="Standard 6 3 2 3 14" xfId="7073" xr:uid="{00000000-0005-0000-0000-0000A81B0000}"/>
    <cellStyle name="Standard 6 3 2 3 14 2" xfId="7074" xr:uid="{00000000-0005-0000-0000-0000A91B0000}"/>
    <cellStyle name="Standard 6 3 2 3 14 2 2" xfId="7075" xr:uid="{00000000-0005-0000-0000-0000AA1B0000}"/>
    <cellStyle name="Standard 6 3 2 3 14 2 2 2" xfId="19036" xr:uid="{C275D110-80A3-4354-A585-0203B907C133}"/>
    <cellStyle name="Standard 6 3 2 3 14 2 3" xfId="19035" xr:uid="{4B780BE7-6DC2-4BEA-9FE2-0DEC042CB057}"/>
    <cellStyle name="Standard 6 3 2 3 14 3" xfId="7076" xr:uid="{00000000-0005-0000-0000-0000AB1B0000}"/>
    <cellStyle name="Standard 6 3 2 3 14 3 2" xfId="19037" xr:uid="{8693B729-C220-4F27-8F34-207E1457BDDE}"/>
    <cellStyle name="Standard 6 3 2 3 14 4" xfId="19034" xr:uid="{05B8428D-3884-4875-A440-A6FEBB3A3BA0}"/>
    <cellStyle name="Standard 6 3 2 3 15" xfId="7077" xr:uid="{00000000-0005-0000-0000-0000AC1B0000}"/>
    <cellStyle name="Standard 6 3 2 3 15 2" xfId="7078" xr:uid="{00000000-0005-0000-0000-0000AD1B0000}"/>
    <cellStyle name="Standard 6 3 2 3 15 2 2" xfId="7079" xr:uid="{00000000-0005-0000-0000-0000AE1B0000}"/>
    <cellStyle name="Standard 6 3 2 3 15 2 2 2" xfId="19040" xr:uid="{D7448642-7BE1-463E-B1C1-79DBC53FC186}"/>
    <cellStyle name="Standard 6 3 2 3 15 2 3" xfId="19039" xr:uid="{A3636A14-197F-4E8B-BA83-56B426E1455E}"/>
    <cellStyle name="Standard 6 3 2 3 15 3" xfId="7080" xr:uid="{00000000-0005-0000-0000-0000AF1B0000}"/>
    <cellStyle name="Standard 6 3 2 3 15 3 2" xfId="19041" xr:uid="{0B3AF2B4-A016-406F-A771-B51F2383F2E8}"/>
    <cellStyle name="Standard 6 3 2 3 15 4" xfId="19038" xr:uid="{6259E03E-1110-4111-B125-94D74A5CA858}"/>
    <cellStyle name="Standard 6 3 2 3 16" xfId="7081" xr:uid="{00000000-0005-0000-0000-0000B01B0000}"/>
    <cellStyle name="Standard 6 3 2 3 16 2" xfId="7082" xr:uid="{00000000-0005-0000-0000-0000B11B0000}"/>
    <cellStyle name="Standard 6 3 2 3 16 2 2" xfId="7083" xr:uid="{00000000-0005-0000-0000-0000B21B0000}"/>
    <cellStyle name="Standard 6 3 2 3 16 2 2 2" xfId="19044" xr:uid="{BFC9AC6A-40A6-4E85-B0F1-30A0ECA2318D}"/>
    <cellStyle name="Standard 6 3 2 3 16 2 3" xfId="19043" xr:uid="{43471822-64C0-4B0E-A1EC-DEA4A8874640}"/>
    <cellStyle name="Standard 6 3 2 3 16 3" xfId="7084" xr:uid="{00000000-0005-0000-0000-0000B31B0000}"/>
    <cellStyle name="Standard 6 3 2 3 16 3 2" xfId="19045" xr:uid="{C555A44F-69AE-4B5B-A078-D1131331F565}"/>
    <cellStyle name="Standard 6 3 2 3 16 4" xfId="19042" xr:uid="{80BCB209-9EE7-4FBB-A179-E3473A7C49D4}"/>
    <cellStyle name="Standard 6 3 2 3 17" xfId="7085" xr:uid="{00000000-0005-0000-0000-0000B41B0000}"/>
    <cellStyle name="Standard 6 3 2 3 17 2" xfId="7086" xr:uid="{00000000-0005-0000-0000-0000B51B0000}"/>
    <cellStyle name="Standard 6 3 2 3 17 2 2" xfId="7087" xr:uid="{00000000-0005-0000-0000-0000B61B0000}"/>
    <cellStyle name="Standard 6 3 2 3 17 2 2 2" xfId="19048" xr:uid="{AE71FC07-0693-4D55-8298-3300A2C9FF57}"/>
    <cellStyle name="Standard 6 3 2 3 17 2 3" xfId="19047" xr:uid="{79B38278-9550-4ADC-8164-9865803F7933}"/>
    <cellStyle name="Standard 6 3 2 3 17 3" xfId="7088" xr:uid="{00000000-0005-0000-0000-0000B71B0000}"/>
    <cellStyle name="Standard 6 3 2 3 17 3 2" xfId="19049" xr:uid="{F7D84333-A1F5-477C-90E3-FE1E65D7ED69}"/>
    <cellStyle name="Standard 6 3 2 3 17 4" xfId="19046" xr:uid="{0BFDB865-9C2A-4500-8EEC-09A84B1EFD26}"/>
    <cellStyle name="Standard 6 3 2 3 18" xfId="7089" xr:uid="{00000000-0005-0000-0000-0000B81B0000}"/>
    <cellStyle name="Standard 6 3 2 3 18 2" xfId="7090" xr:uid="{00000000-0005-0000-0000-0000B91B0000}"/>
    <cellStyle name="Standard 6 3 2 3 18 2 2" xfId="7091" xr:uid="{00000000-0005-0000-0000-0000BA1B0000}"/>
    <cellStyle name="Standard 6 3 2 3 18 2 2 2" xfId="19052" xr:uid="{80C4C5C5-6E01-4AFC-9573-77DF132F1605}"/>
    <cellStyle name="Standard 6 3 2 3 18 2 3" xfId="19051" xr:uid="{F451F6C8-6457-48B3-A0A9-FE8E0A255E01}"/>
    <cellStyle name="Standard 6 3 2 3 18 3" xfId="7092" xr:uid="{00000000-0005-0000-0000-0000BB1B0000}"/>
    <cellStyle name="Standard 6 3 2 3 18 3 2" xfId="19053" xr:uid="{689A0EE2-D075-4AFE-9841-B972C258C135}"/>
    <cellStyle name="Standard 6 3 2 3 18 4" xfId="19050" xr:uid="{CABC2F57-2FE5-43EA-BE36-926CEC4C51E7}"/>
    <cellStyle name="Standard 6 3 2 3 19" xfId="7093" xr:uid="{00000000-0005-0000-0000-0000BC1B0000}"/>
    <cellStyle name="Standard 6 3 2 3 19 2" xfId="7094" xr:uid="{00000000-0005-0000-0000-0000BD1B0000}"/>
    <cellStyle name="Standard 6 3 2 3 19 2 2" xfId="7095" xr:uid="{00000000-0005-0000-0000-0000BE1B0000}"/>
    <cellStyle name="Standard 6 3 2 3 19 2 2 2" xfId="19056" xr:uid="{092D6381-B0D2-441E-8BF0-D754EE5F95F8}"/>
    <cellStyle name="Standard 6 3 2 3 19 2 3" xfId="19055" xr:uid="{DAD308BF-783B-4388-92DB-D8631AEA78AE}"/>
    <cellStyle name="Standard 6 3 2 3 19 3" xfId="7096" xr:uid="{00000000-0005-0000-0000-0000BF1B0000}"/>
    <cellStyle name="Standard 6 3 2 3 19 3 2" xfId="19057" xr:uid="{968F918C-FC8C-4060-A7F1-74F3DAEBE581}"/>
    <cellStyle name="Standard 6 3 2 3 19 4" xfId="19054" xr:uid="{F67B94EE-42C0-4F32-BE72-840DE58CAF6E}"/>
    <cellStyle name="Standard 6 3 2 3 2" xfId="7097" xr:uid="{00000000-0005-0000-0000-0000C01B0000}"/>
    <cellStyle name="Standard 6 3 2 3 2 10" xfId="7098" xr:uid="{00000000-0005-0000-0000-0000C11B0000}"/>
    <cellStyle name="Standard 6 3 2 3 2 10 2" xfId="7099" xr:uid="{00000000-0005-0000-0000-0000C21B0000}"/>
    <cellStyle name="Standard 6 3 2 3 2 10 2 2" xfId="19060" xr:uid="{C513076F-F518-4B8C-851C-C4709E500E00}"/>
    <cellStyle name="Standard 6 3 2 3 2 10 3" xfId="19059" xr:uid="{5D2A0439-B2A1-4B06-9B7F-C345795A6B9C}"/>
    <cellStyle name="Standard 6 3 2 3 2 11" xfId="7100" xr:uid="{00000000-0005-0000-0000-0000C31B0000}"/>
    <cellStyle name="Standard 6 3 2 3 2 11 2" xfId="19061" xr:uid="{DB358BAD-A11D-4ECC-9270-1EA1E6DA46F5}"/>
    <cellStyle name="Standard 6 3 2 3 2 12" xfId="19058" xr:uid="{4BFE2A95-93AD-4DB8-8367-94FC446DA212}"/>
    <cellStyle name="Standard 6 3 2 3 2 2" xfId="7101" xr:uid="{00000000-0005-0000-0000-0000C41B0000}"/>
    <cellStyle name="Standard 6 3 2 3 2 2 10" xfId="7102" xr:uid="{00000000-0005-0000-0000-0000C51B0000}"/>
    <cellStyle name="Standard 6 3 2 3 2 2 10 2" xfId="19063" xr:uid="{1A117985-46C6-49DA-8A5B-528250BF59DF}"/>
    <cellStyle name="Standard 6 3 2 3 2 2 11" xfId="19062" xr:uid="{2CB7F12E-709D-4615-9BBB-41ED6CF02137}"/>
    <cellStyle name="Standard 6 3 2 3 2 2 2" xfId="7103" xr:uid="{00000000-0005-0000-0000-0000C61B0000}"/>
    <cellStyle name="Standard 6 3 2 3 2 2 2 10" xfId="19064" xr:uid="{40EFC7BB-E6CF-4163-8CB2-AD2D315E613D}"/>
    <cellStyle name="Standard 6 3 2 3 2 2 2 2" xfId="7104" xr:uid="{00000000-0005-0000-0000-0000C71B0000}"/>
    <cellStyle name="Standard 6 3 2 3 2 2 2 2 2" xfId="7105" xr:uid="{00000000-0005-0000-0000-0000C81B0000}"/>
    <cellStyle name="Standard 6 3 2 3 2 2 2 2 2 2" xfId="7106" xr:uid="{00000000-0005-0000-0000-0000C91B0000}"/>
    <cellStyle name="Standard 6 3 2 3 2 2 2 2 2 2 2" xfId="19067" xr:uid="{863D9097-9DAF-46C6-A468-BFDD89A6203F}"/>
    <cellStyle name="Standard 6 3 2 3 2 2 2 2 2 3" xfId="19066" xr:uid="{DD43D700-2648-40A9-A876-55BE9A0C1311}"/>
    <cellStyle name="Standard 6 3 2 3 2 2 2 2 3" xfId="7107" xr:uid="{00000000-0005-0000-0000-0000CA1B0000}"/>
    <cellStyle name="Standard 6 3 2 3 2 2 2 2 3 2" xfId="19068" xr:uid="{DD5CAE03-5FE6-4A54-B66A-F275100932CF}"/>
    <cellStyle name="Standard 6 3 2 3 2 2 2 2 4" xfId="19065" xr:uid="{A32F14E6-C641-4245-A01F-90B9D68B2621}"/>
    <cellStyle name="Standard 6 3 2 3 2 2 2 3" xfId="7108" xr:uid="{00000000-0005-0000-0000-0000CB1B0000}"/>
    <cellStyle name="Standard 6 3 2 3 2 2 2 3 2" xfId="7109" xr:uid="{00000000-0005-0000-0000-0000CC1B0000}"/>
    <cellStyle name="Standard 6 3 2 3 2 2 2 3 2 2" xfId="7110" xr:uid="{00000000-0005-0000-0000-0000CD1B0000}"/>
    <cellStyle name="Standard 6 3 2 3 2 2 2 3 2 2 2" xfId="19071" xr:uid="{C56E5F4B-EE07-4D1B-A7DB-7A320707FCD4}"/>
    <cellStyle name="Standard 6 3 2 3 2 2 2 3 2 3" xfId="19070" xr:uid="{B8CEFB6C-A04B-4BD8-95F6-EED7B06BABB5}"/>
    <cellStyle name="Standard 6 3 2 3 2 2 2 3 3" xfId="7111" xr:uid="{00000000-0005-0000-0000-0000CE1B0000}"/>
    <cellStyle name="Standard 6 3 2 3 2 2 2 3 3 2" xfId="19072" xr:uid="{8D3B8C0C-ED63-4AD6-B696-E14AE86891FB}"/>
    <cellStyle name="Standard 6 3 2 3 2 2 2 3 4" xfId="19069" xr:uid="{E63A6919-25BB-407D-B4E1-AC32AF9B2F39}"/>
    <cellStyle name="Standard 6 3 2 3 2 2 2 4" xfId="7112" xr:uid="{00000000-0005-0000-0000-0000CF1B0000}"/>
    <cellStyle name="Standard 6 3 2 3 2 2 2 4 2" xfId="7113" xr:uid="{00000000-0005-0000-0000-0000D01B0000}"/>
    <cellStyle name="Standard 6 3 2 3 2 2 2 4 2 2" xfId="7114" xr:uid="{00000000-0005-0000-0000-0000D11B0000}"/>
    <cellStyle name="Standard 6 3 2 3 2 2 2 4 2 2 2" xfId="19075" xr:uid="{C9726CA0-A1B6-466C-A383-D3676CC23C3F}"/>
    <cellStyle name="Standard 6 3 2 3 2 2 2 4 2 3" xfId="19074" xr:uid="{00D48D90-3034-4DBB-AD39-DE0137EB64FC}"/>
    <cellStyle name="Standard 6 3 2 3 2 2 2 4 3" xfId="7115" xr:uid="{00000000-0005-0000-0000-0000D21B0000}"/>
    <cellStyle name="Standard 6 3 2 3 2 2 2 4 3 2" xfId="19076" xr:uid="{291C05B8-D758-4E3E-BD08-91BF72FC4C50}"/>
    <cellStyle name="Standard 6 3 2 3 2 2 2 4 4" xfId="19073" xr:uid="{8CD4243F-A1B3-4CBB-AF0A-4677EDBB460E}"/>
    <cellStyle name="Standard 6 3 2 3 2 2 2 5" xfId="7116" xr:uid="{00000000-0005-0000-0000-0000D31B0000}"/>
    <cellStyle name="Standard 6 3 2 3 2 2 2 5 2" xfId="7117" xr:uid="{00000000-0005-0000-0000-0000D41B0000}"/>
    <cellStyle name="Standard 6 3 2 3 2 2 2 5 2 2" xfId="7118" xr:uid="{00000000-0005-0000-0000-0000D51B0000}"/>
    <cellStyle name="Standard 6 3 2 3 2 2 2 5 2 2 2" xfId="19079" xr:uid="{B7AB2F10-A899-4D0B-9070-EBE239C78FB0}"/>
    <cellStyle name="Standard 6 3 2 3 2 2 2 5 2 3" xfId="19078" xr:uid="{E3DBE559-BEE3-4492-B0A2-E7BF4B40B591}"/>
    <cellStyle name="Standard 6 3 2 3 2 2 2 5 3" xfId="7119" xr:uid="{00000000-0005-0000-0000-0000D61B0000}"/>
    <cellStyle name="Standard 6 3 2 3 2 2 2 5 3 2" xfId="19080" xr:uid="{77970433-0457-45F5-8F86-B6935BF1EDA5}"/>
    <cellStyle name="Standard 6 3 2 3 2 2 2 5 4" xfId="19077" xr:uid="{A78ABFCD-EC05-49E0-AD2C-D8234CBCF1E9}"/>
    <cellStyle name="Standard 6 3 2 3 2 2 2 6" xfId="7120" xr:uid="{00000000-0005-0000-0000-0000D71B0000}"/>
    <cellStyle name="Standard 6 3 2 3 2 2 2 6 2" xfId="7121" xr:uid="{00000000-0005-0000-0000-0000D81B0000}"/>
    <cellStyle name="Standard 6 3 2 3 2 2 2 6 2 2" xfId="7122" xr:uid="{00000000-0005-0000-0000-0000D91B0000}"/>
    <cellStyle name="Standard 6 3 2 3 2 2 2 6 2 2 2" xfId="19083" xr:uid="{D6E65B93-3B7E-4ACD-A660-45740E743EB6}"/>
    <cellStyle name="Standard 6 3 2 3 2 2 2 6 2 3" xfId="19082" xr:uid="{A08ECB58-3194-4FAE-BB54-3C8BCEC87B7B}"/>
    <cellStyle name="Standard 6 3 2 3 2 2 2 6 3" xfId="7123" xr:uid="{00000000-0005-0000-0000-0000DA1B0000}"/>
    <cellStyle name="Standard 6 3 2 3 2 2 2 6 3 2" xfId="19084" xr:uid="{33074F3C-0386-490D-B04E-9BC4BFD1D6B1}"/>
    <cellStyle name="Standard 6 3 2 3 2 2 2 6 4" xfId="19081" xr:uid="{76A6779C-28BB-45AF-93B1-4193C78EC51C}"/>
    <cellStyle name="Standard 6 3 2 3 2 2 2 7" xfId="7124" xr:uid="{00000000-0005-0000-0000-0000DB1B0000}"/>
    <cellStyle name="Standard 6 3 2 3 2 2 2 7 2" xfId="7125" xr:uid="{00000000-0005-0000-0000-0000DC1B0000}"/>
    <cellStyle name="Standard 6 3 2 3 2 2 2 7 2 2" xfId="7126" xr:uid="{00000000-0005-0000-0000-0000DD1B0000}"/>
    <cellStyle name="Standard 6 3 2 3 2 2 2 7 2 2 2" xfId="19087" xr:uid="{B03F25B4-62E2-4DEE-802E-0E13F2309382}"/>
    <cellStyle name="Standard 6 3 2 3 2 2 2 7 2 3" xfId="19086" xr:uid="{416312D7-1FB0-4090-914F-5266E9DB70AF}"/>
    <cellStyle name="Standard 6 3 2 3 2 2 2 7 3" xfId="7127" xr:uid="{00000000-0005-0000-0000-0000DE1B0000}"/>
    <cellStyle name="Standard 6 3 2 3 2 2 2 7 3 2" xfId="19088" xr:uid="{36C04BC6-0DE6-4F4E-ACB9-38702AFCEE33}"/>
    <cellStyle name="Standard 6 3 2 3 2 2 2 7 4" xfId="19085" xr:uid="{DE727BB8-A8BD-4EC5-BF78-939285E747FC}"/>
    <cellStyle name="Standard 6 3 2 3 2 2 2 8" xfId="7128" xr:uid="{00000000-0005-0000-0000-0000DF1B0000}"/>
    <cellStyle name="Standard 6 3 2 3 2 2 2 8 2" xfId="7129" xr:uid="{00000000-0005-0000-0000-0000E01B0000}"/>
    <cellStyle name="Standard 6 3 2 3 2 2 2 8 2 2" xfId="19090" xr:uid="{BDEBEABA-E568-40BE-B4AC-707D700248BC}"/>
    <cellStyle name="Standard 6 3 2 3 2 2 2 8 3" xfId="19089" xr:uid="{CE06785A-8E58-481A-AE31-532FA1BD9914}"/>
    <cellStyle name="Standard 6 3 2 3 2 2 2 9" xfId="7130" xr:uid="{00000000-0005-0000-0000-0000E11B0000}"/>
    <cellStyle name="Standard 6 3 2 3 2 2 2 9 2" xfId="19091" xr:uid="{9201BF50-A08C-4025-89D5-0330E1FD9EB2}"/>
    <cellStyle name="Standard 6 3 2 3 2 2 3" xfId="7131" xr:uid="{00000000-0005-0000-0000-0000E21B0000}"/>
    <cellStyle name="Standard 6 3 2 3 2 2 3 2" xfId="7132" xr:uid="{00000000-0005-0000-0000-0000E31B0000}"/>
    <cellStyle name="Standard 6 3 2 3 2 2 3 2 2" xfId="7133" xr:uid="{00000000-0005-0000-0000-0000E41B0000}"/>
    <cellStyle name="Standard 6 3 2 3 2 2 3 2 2 2" xfId="19094" xr:uid="{3C2B3D7E-B323-4205-ACBA-8A1E155C71E0}"/>
    <cellStyle name="Standard 6 3 2 3 2 2 3 2 3" xfId="19093" xr:uid="{C6AC3B02-E8D5-4F49-AFD5-41E912E05E19}"/>
    <cellStyle name="Standard 6 3 2 3 2 2 3 3" xfId="7134" xr:uid="{00000000-0005-0000-0000-0000E51B0000}"/>
    <cellStyle name="Standard 6 3 2 3 2 2 3 3 2" xfId="19095" xr:uid="{5CAE9879-B7A7-40A6-8B0E-243496688AA8}"/>
    <cellStyle name="Standard 6 3 2 3 2 2 3 4" xfId="19092" xr:uid="{B21850C8-1F73-4FEB-8306-AD8804E2C8E2}"/>
    <cellStyle name="Standard 6 3 2 3 2 2 4" xfId="7135" xr:uid="{00000000-0005-0000-0000-0000E61B0000}"/>
    <cellStyle name="Standard 6 3 2 3 2 2 4 2" xfId="7136" xr:uid="{00000000-0005-0000-0000-0000E71B0000}"/>
    <cellStyle name="Standard 6 3 2 3 2 2 4 2 2" xfId="7137" xr:uid="{00000000-0005-0000-0000-0000E81B0000}"/>
    <cellStyle name="Standard 6 3 2 3 2 2 4 2 2 2" xfId="19098" xr:uid="{7AAF3C6C-26B5-4DDB-9799-51A78E571A3C}"/>
    <cellStyle name="Standard 6 3 2 3 2 2 4 2 3" xfId="19097" xr:uid="{6203492A-2C5F-4080-ABD8-197A2F69FAE2}"/>
    <cellStyle name="Standard 6 3 2 3 2 2 4 3" xfId="7138" xr:uid="{00000000-0005-0000-0000-0000E91B0000}"/>
    <cellStyle name="Standard 6 3 2 3 2 2 4 3 2" xfId="19099" xr:uid="{35BAC8B1-97A7-43C3-A5BD-65C328D2D3BB}"/>
    <cellStyle name="Standard 6 3 2 3 2 2 4 4" xfId="19096" xr:uid="{4426CC53-AED6-4B9B-8351-B4497A5BCD88}"/>
    <cellStyle name="Standard 6 3 2 3 2 2 5" xfId="7139" xr:uid="{00000000-0005-0000-0000-0000EA1B0000}"/>
    <cellStyle name="Standard 6 3 2 3 2 2 5 2" xfId="7140" xr:uid="{00000000-0005-0000-0000-0000EB1B0000}"/>
    <cellStyle name="Standard 6 3 2 3 2 2 5 2 2" xfId="7141" xr:uid="{00000000-0005-0000-0000-0000EC1B0000}"/>
    <cellStyle name="Standard 6 3 2 3 2 2 5 2 2 2" xfId="19102" xr:uid="{093F57F7-D27B-44D6-A67A-6062149CA69E}"/>
    <cellStyle name="Standard 6 3 2 3 2 2 5 2 3" xfId="19101" xr:uid="{86541EE8-3D53-4F2A-BCCF-B18A8C2FDEF3}"/>
    <cellStyle name="Standard 6 3 2 3 2 2 5 3" xfId="7142" xr:uid="{00000000-0005-0000-0000-0000ED1B0000}"/>
    <cellStyle name="Standard 6 3 2 3 2 2 5 3 2" xfId="19103" xr:uid="{8931B6F0-1067-4C69-B727-C9BF4374AE82}"/>
    <cellStyle name="Standard 6 3 2 3 2 2 5 4" xfId="19100" xr:uid="{70803202-BA0C-4E64-937D-C67626189408}"/>
    <cellStyle name="Standard 6 3 2 3 2 2 6" xfId="7143" xr:uid="{00000000-0005-0000-0000-0000EE1B0000}"/>
    <cellStyle name="Standard 6 3 2 3 2 2 6 2" xfId="7144" xr:uid="{00000000-0005-0000-0000-0000EF1B0000}"/>
    <cellStyle name="Standard 6 3 2 3 2 2 6 2 2" xfId="7145" xr:uid="{00000000-0005-0000-0000-0000F01B0000}"/>
    <cellStyle name="Standard 6 3 2 3 2 2 6 2 2 2" xfId="19106" xr:uid="{A89DBCF6-7B9A-4F56-8A19-3B86AC66C9F4}"/>
    <cellStyle name="Standard 6 3 2 3 2 2 6 2 3" xfId="19105" xr:uid="{E4CF0F93-E74E-4341-9464-067FA8C62CFD}"/>
    <cellStyle name="Standard 6 3 2 3 2 2 6 3" xfId="7146" xr:uid="{00000000-0005-0000-0000-0000F11B0000}"/>
    <cellStyle name="Standard 6 3 2 3 2 2 6 3 2" xfId="19107" xr:uid="{F03F4FB3-56BD-408A-905C-D488D565C530}"/>
    <cellStyle name="Standard 6 3 2 3 2 2 6 4" xfId="19104" xr:uid="{3CA33A82-8CAF-4916-AD2E-B88166CE0F23}"/>
    <cellStyle name="Standard 6 3 2 3 2 2 7" xfId="7147" xr:uid="{00000000-0005-0000-0000-0000F21B0000}"/>
    <cellStyle name="Standard 6 3 2 3 2 2 7 2" xfId="7148" xr:uid="{00000000-0005-0000-0000-0000F31B0000}"/>
    <cellStyle name="Standard 6 3 2 3 2 2 7 2 2" xfId="7149" xr:uid="{00000000-0005-0000-0000-0000F41B0000}"/>
    <cellStyle name="Standard 6 3 2 3 2 2 7 2 2 2" xfId="19110" xr:uid="{3559EDF1-29B5-48DB-B36C-3EF1F06F087D}"/>
    <cellStyle name="Standard 6 3 2 3 2 2 7 2 3" xfId="19109" xr:uid="{20B8F1BC-3C87-49BE-A89E-E6D5F2CF1E59}"/>
    <cellStyle name="Standard 6 3 2 3 2 2 7 3" xfId="7150" xr:uid="{00000000-0005-0000-0000-0000F51B0000}"/>
    <cellStyle name="Standard 6 3 2 3 2 2 7 3 2" xfId="19111" xr:uid="{A1BED74D-5727-4062-A0AE-532F2A171374}"/>
    <cellStyle name="Standard 6 3 2 3 2 2 7 4" xfId="19108" xr:uid="{00677980-F671-449E-9AC6-EBABA5AFEA1F}"/>
    <cellStyle name="Standard 6 3 2 3 2 2 8" xfId="7151" xr:uid="{00000000-0005-0000-0000-0000F61B0000}"/>
    <cellStyle name="Standard 6 3 2 3 2 2 8 2" xfId="7152" xr:uid="{00000000-0005-0000-0000-0000F71B0000}"/>
    <cellStyle name="Standard 6 3 2 3 2 2 8 2 2" xfId="7153" xr:uid="{00000000-0005-0000-0000-0000F81B0000}"/>
    <cellStyle name="Standard 6 3 2 3 2 2 8 2 2 2" xfId="19114" xr:uid="{C28DF1D7-51AA-415F-9EBE-1B8C2871E98F}"/>
    <cellStyle name="Standard 6 3 2 3 2 2 8 2 3" xfId="19113" xr:uid="{B9C70390-6794-44D6-BE0E-5350C11A07E6}"/>
    <cellStyle name="Standard 6 3 2 3 2 2 8 3" xfId="7154" xr:uid="{00000000-0005-0000-0000-0000F91B0000}"/>
    <cellStyle name="Standard 6 3 2 3 2 2 8 3 2" xfId="19115" xr:uid="{7E2E41EC-83B2-4A7F-9CAF-7C5991AB2759}"/>
    <cellStyle name="Standard 6 3 2 3 2 2 8 4" xfId="19112" xr:uid="{20499A64-2CBF-4458-AE26-2822D21B92C6}"/>
    <cellStyle name="Standard 6 3 2 3 2 2 9" xfId="7155" xr:uid="{00000000-0005-0000-0000-0000FA1B0000}"/>
    <cellStyle name="Standard 6 3 2 3 2 2 9 2" xfId="7156" xr:uid="{00000000-0005-0000-0000-0000FB1B0000}"/>
    <cellStyle name="Standard 6 3 2 3 2 2 9 2 2" xfId="19117" xr:uid="{845D526D-9F84-4914-89D9-CFA381847190}"/>
    <cellStyle name="Standard 6 3 2 3 2 2 9 3" xfId="19116" xr:uid="{964B8CAA-9286-46E8-B6E9-E1D6177F08DA}"/>
    <cellStyle name="Standard 6 3 2 3 2 3" xfId="7157" xr:uid="{00000000-0005-0000-0000-0000FC1B0000}"/>
    <cellStyle name="Standard 6 3 2 3 2 3 10" xfId="19118" xr:uid="{E232C2DC-1707-412C-9742-A48CFC901C20}"/>
    <cellStyle name="Standard 6 3 2 3 2 3 2" xfId="7158" xr:uid="{00000000-0005-0000-0000-0000FD1B0000}"/>
    <cellStyle name="Standard 6 3 2 3 2 3 2 2" xfId="7159" xr:uid="{00000000-0005-0000-0000-0000FE1B0000}"/>
    <cellStyle name="Standard 6 3 2 3 2 3 2 2 2" xfId="7160" xr:uid="{00000000-0005-0000-0000-0000FF1B0000}"/>
    <cellStyle name="Standard 6 3 2 3 2 3 2 2 2 2" xfId="19121" xr:uid="{F4440E11-AD51-45D6-937B-316B83138B66}"/>
    <cellStyle name="Standard 6 3 2 3 2 3 2 2 3" xfId="19120" xr:uid="{009306D8-F978-4A1B-9C4F-E22776730B6C}"/>
    <cellStyle name="Standard 6 3 2 3 2 3 2 3" xfId="7161" xr:uid="{00000000-0005-0000-0000-0000001C0000}"/>
    <cellStyle name="Standard 6 3 2 3 2 3 2 3 2" xfId="19122" xr:uid="{1AB7FA7F-36AF-485A-95B0-5924976674FA}"/>
    <cellStyle name="Standard 6 3 2 3 2 3 2 4" xfId="19119" xr:uid="{5ACE08C1-D8C5-4D2F-9819-87E082A15225}"/>
    <cellStyle name="Standard 6 3 2 3 2 3 3" xfId="7162" xr:uid="{00000000-0005-0000-0000-0000011C0000}"/>
    <cellStyle name="Standard 6 3 2 3 2 3 3 2" xfId="7163" xr:uid="{00000000-0005-0000-0000-0000021C0000}"/>
    <cellStyle name="Standard 6 3 2 3 2 3 3 2 2" xfId="7164" xr:uid="{00000000-0005-0000-0000-0000031C0000}"/>
    <cellStyle name="Standard 6 3 2 3 2 3 3 2 2 2" xfId="19125" xr:uid="{1360FA63-69C6-4BEB-B5AA-8333DAA81F5A}"/>
    <cellStyle name="Standard 6 3 2 3 2 3 3 2 3" xfId="19124" xr:uid="{0A19070D-6879-4254-B2FB-1F85B7EF0D9B}"/>
    <cellStyle name="Standard 6 3 2 3 2 3 3 3" xfId="7165" xr:uid="{00000000-0005-0000-0000-0000041C0000}"/>
    <cellStyle name="Standard 6 3 2 3 2 3 3 3 2" xfId="19126" xr:uid="{625DE88E-B768-404F-9513-7A09FEA2C69E}"/>
    <cellStyle name="Standard 6 3 2 3 2 3 3 4" xfId="19123" xr:uid="{D35EFC6F-43F0-4326-8071-7DCF7C875715}"/>
    <cellStyle name="Standard 6 3 2 3 2 3 4" xfId="7166" xr:uid="{00000000-0005-0000-0000-0000051C0000}"/>
    <cellStyle name="Standard 6 3 2 3 2 3 4 2" xfId="7167" xr:uid="{00000000-0005-0000-0000-0000061C0000}"/>
    <cellStyle name="Standard 6 3 2 3 2 3 4 2 2" xfId="7168" xr:uid="{00000000-0005-0000-0000-0000071C0000}"/>
    <cellStyle name="Standard 6 3 2 3 2 3 4 2 2 2" xfId="19129" xr:uid="{DA5D3E0F-F3E2-4405-88F7-E0E082F1C98A}"/>
    <cellStyle name="Standard 6 3 2 3 2 3 4 2 3" xfId="19128" xr:uid="{6AA2EC8C-0DF2-4DB5-A248-7F16B9A29D0E}"/>
    <cellStyle name="Standard 6 3 2 3 2 3 4 3" xfId="7169" xr:uid="{00000000-0005-0000-0000-0000081C0000}"/>
    <cellStyle name="Standard 6 3 2 3 2 3 4 3 2" xfId="19130" xr:uid="{514C0BF8-35D6-4DA5-9F25-3D152FA02D86}"/>
    <cellStyle name="Standard 6 3 2 3 2 3 4 4" xfId="19127" xr:uid="{311D9447-07DB-4236-B55E-6E3F5D49545C}"/>
    <cellStyle name="Standard 6 3 2 3 2 3 5" xfId="7170" xr:uid="{00000000-0005-0000-0000-0000091C0000}"/>
    <cellStyle name="Standard 6 3 2 3 2 3 5 2" xfId="7171" xr:uid="{00000000-0005-0000-0000-00000A1C0000}"/>
    <cellStyle name="Standard 6 3 2 3 2 3 5 2 2" xfId="7172" xr:uid="{00000000-0005-0000-0000-00000B1C0000}"/>
    <cellStyle name="Standard 6 3 2 3 2 3 5 2 2 2" xfId="19133" xr:uid="{F16372ED-6AA3-41F9-89EA-D7238E8FB321}"/>
    <cellStyle name="Standard 6 3 2 3 2 3 5 2 3" xfId="19132" xr:uid="{93951666-29B5-496C-8BCB-74689D4546CF}"/>
    <cellStyle name="Standard 6 3 2 3 2 3 5 3" xfId="7173" xr:uid="{00000000-0005-0000-0000-00000C1C0000}"/>
    <cellStyle name="Standard 6 3 2 3 2 3 5 3 2" xfId="19134" xr:uid="{032895EC-21EC-4DDE-826D-D3B54F61CDC5}"/>
    <cellStyle name="Standard 6 3 2 3 2 3 5 4" xfId="19131" xr:uid="{9DBFDD25-95C6-4E4C-B77A-4872838D6DCC}"/>
    <cellStyle name="Standard 6 3 2 3 2 3 6" xfId="7174" xr:uid="{00000000-0005-0000-0000-00000D1C0000}"/>
    <cellStyle name="Standard 6 3 2 3 2 3 6 2" xfId="7175" xr:uid="{00000000-0005-0000-0000-00000E1C0000}"/>
    <cellStyle name="Standard 6 3 2 3 2 3 6 2 2" xfId="7176" xr:uid="{00000000-0005-0000-0000-00000F1C0000}"/>
    <cellStyle name="Standard 6 3 2 3 2 3 6 2 2 2" xfId="19137" xr:uid="{25DDF2AD-B899-4497-B8D6-BF92C33B2BE5}"/>
    <cellStyle name="Standard 6 3 2 3 2 3 6 2 3" xfId="19136" xr:uid="{28C57F31-408F-4A51-BB68-FE8276192755}"/>
    <cellStyle name="Standard 6 3 2 3 2 3 6 3" xfId="7177" xr:uid="{00000000-0005-0000-0000-0000101C0000}"/>
    <cellStyle name="Standard 6 3 2 3 2 3 6 3 2" xfId="19138" xr:uid="{CE94E8C6-802B-4642-9C31-860F7C6A5F4C}"/>
    <cellStyle name="Standard 6 3 2 3 2 3 6 4" xfId="19135" xr:uid="{4BF29888-4B61-4864-A131-D14ACE660027}"/>
    <cellStyle name="Standard 6 3 2 3 2 3 7" xfId="7178" xr:uid="{00000000-0005-0000-0000-0000111C0000}"/>
    <cellStyle name="Standard 6 3 2 3 2 3 7 2" xfId="7179" xr:uid="{00000000-0005-0000-0000-0000121C0000}"/>
    <cellStyle name="Standard 6 3 2 3 2 3 7 2 2" xfId="7180" xr:uid="{00000000-0005-0000-0000-0000131C0000}"/>
    <cellStyle name="Standard 6 3 2 3 2 3 7 2 2 2" xfId="19141" xr:uid="{70B0A018-0DB4-4725-AEEC-636B1F01EE97}"/>
    <cellStyle name="Standard 6 3 2 3 2 3 7 2 3" xfId="19140" xr:uid="{86FA25B7-D4AC-4032-B8B8-3FC14ADFDA9F}"/>
    <cellStyle name="Standard 6 3 2 3 2 3 7 3" xfId="7181" xr:uid="{00000000-0005-0000-0000-0000141C0000}"/>
    <cellStyle name="Standard 6 3 2 3 2 3 7 3 2" xfId="19142" xr:uid="{87A1531C-95F4-4A3B-BD43-19D6C1F490F6}"/>
    <cellStyle name="Standard 6 3 2 3 2 3 7 4" xfId="19139" xr:uid="{E063275C-C148-48BC-AA8B-43B66EEDD4CE}"/>
    <cellStyle name="Standard 6 3 2 3 2 3 8" xfId="7182" xr:uid="{00000000-0005-0000-0000-0000151C0000}"/>
    <cellStyle name="Standard 6 3 2 3 2 3 8 2" xfId="7183" xr:uid="{00000000-0005-0000-0000-0000161C0000}"/>
    <cellStyle name="Standard 6 3 2 3 2 3 8 2 2" xfId="19144" xr:uid="{1D7EEBD7-E4C4-457D-89F9-E1CC066F758C}"/>
    <cellStyle name="Standard 6 3 2 3 2 3 8 3" xfId="19143" xr:uid="{7127A7CC-9CED-426C-8544-C03958CD7990}"/>
    <cellStyle name="Standard 6 3 2 3 2 3 9" xfId="7184" xr:uid="{00000000-0005-0000-0000-0000171C0000}"/>
    <cellStyle name="Standard 6 3 2 3 2 3 9 2" xfId="19145" xr:uid="{09116FF7-2A1D-4D04-968C-2DF0750A9926}"/>
    <cellStyle name="Standard 6 3 2 3 2 4" xfId="7185" xr:uid="{00000000-0005-0000-0000-0000181C0000}"/>
    <cellStyle name="Standard 6 3 2 3 2 4 2" xfId="7186" xr:uid="{00000000-0005-0000-0000-0000191C0000}"/>
    <cellStyle name="Standard 6 3 2 3 2 4 2 2" xfId="7187" xr:uid="{00000000-0005-0000-0000-00001A1C0000}"/>
    <cellStyle name="Standard 6 3 2 3 2 4 2 2 2" xfId="19148" xr:uid="{996619F1-037A-4762-9CB6-73017EA957CA}"/>
    <cellStyle name="Standard 6 3 2 3 2 4 2 3" xfId="19147" xr:uid="{0D2EC0F6-F50B-4C7E-98DC-D61BF6E3B025}"/>
    <cellStyle name="Standard 6 3 2 3 2 4 3" xfId="7188" xr:uid="{00000000-0005-0000-0000-00001B1C0000}"/>
    <cellStyle name="Standard 6 3 2 3 2 4 3 2" xfId="19149" xr:uid="{72545039-7ED8-45CE-B990-D150763AEC46}"/>
    <cellStyle name="Standard 6 3 2 3 2 4 4" xfId="19146" xr:uid="{5E14D755-8DD7-4D2E-AA32-9C430E5504B5}"/>
    <cellStyle name="Standard 6 3 2 3 2 5" xfId="7189" xr:uid="{00000000-0005-0000-0000-00001C1C0000}"/>
    <cellStyle name="Standard 6 3 2 3 2 5 2" xfId="7190" xr:uid="{00000000-0005-0000-0000-00001D1C0000}"/>
    <cellStyle name="Standard 6 3 2 3 2 5 2 2" xfId="7191" xr:uid="{00000000-0005-0000-0000-00001E1C0000}"/>
    <cellStyle name="Standard 6 3 2 3 2 5 2 2 2" xfId="19152" xr:uid="{D68D4BD5-C553-4601-BE65-D8FEDD7C8423}"/>
    <cellStyle name="Standard 6 3 2 3 2 5 2 3" xfId="19151" xr:uid="{14811265-D2AE-4E47-8D16-349A9EF0712C}"/>
    <cellStyle name="Standard 6 3 2 3 2 5 3" xfId="7192" xr:uid="{00000000-0005-0000-0000-00001F1C0000}"/>
    <cellStyle name="Standard 6 3 2 3 2 5 3 2" xfId="19153" xr:uid="{28BEDD63-D521-4952-B64A-4D98350166BB}"/>
    <cellStyle name="Standard 6 3 2 3 2 5 4" xfId="19150" xr:uid="{2A924A70-9283-44C8-BEF6-83B31DA9FB5A}"/>
    <cellStyle name="Standard 6 3 2 3 2 6" xfId="7193" xr:uid="{00000000-0005-0000-0000-0000201C0000}"/>
    <cellStyle name="Standard 6 3 2 3 2 6 2" xfId="7194" xr:uid="{00000000-0005-0000-0000-0000211C0000}"/>
    <cellStyle name="Standard 6 3 2 3 2 6 2 2" xfId="7195" xr:uid="{00000000-0005-0000-0000-0000221C0000}"/>
    <cellStyle name="Standard 6 3 2 3 2 6 2 2 2" xfId="19156" xr:uid="{3B41D206-F793-416E-BEA4-0EEF4C10FF28}"/>
    <cellStyle name="Standard 6 3 2 3 2 6 2 3" xfId="19155" xr:uid="{3EA4AB75-2741-4F34-8043-C3BB2C75D0E4}"/>
    <cellStyle name="Standard 6 3 2 3 2 6 3" xfId="7196" xr:uid="{00000000-0005-0000-0000-0000231C0000}"/>
    <cellStyle name="Standard 6 3 2 3 2 6 3 2" xfId="19157" xr:uid="{08036DFC-F602-42A0-A1D4-F4DD49BC7235}"/>
    <cellStyle name="Standard 6 3 2 3 2 6 4" xfId="19154" xr:uid="{90E848D8-291D-4048-8C81-C562DD6FC2BA}"/>
    <cellStyle name="Standard 6 3 2 3 2 7" xfId="7197" xr:uid="{00000000-0005-0000-0000-0000241C0000}"/>
    <cellStyle name="Standard 6 3 2 3 2 7 2" xfId="7198" xr:uid="{00000000-0005-0000-0000-0000251C0000}"/>
    <cellStyle name="Standard 6 3 2 3 2 7 2 2" xfId="7199" xr:uid="{00000000-0005-0000-0000-0000261C0000}"/>
    <cellStyle name="Standard 6 3 2 3 2 7 2 2 2" xfId="19160" xr:uid="{E6BFCFB9-472C-47B2-B98C-ADCAA3B79668}"/>
    <cellStyle name="Standard 6 3 2 3 2 7 2 3" xfId="19159" xr:uid="{75B1F899-42C5-438D-B481-483889F6745A}"/>
    <cellStyle name="Standard 6 3 2 3 2 7 3" xfId="7200" xr:uid="{00000000-0005-0000-0000-0000271C0000}"/>
    <cellStyle name="Standard 6 3 2 3 2 7 3 2" xfId="19161" xr:uid="{E6752C0B-3AD1-4F60-AEEE-2A369EABA58D}"/>
    <cellStyle name="Standard 6 3 2 3 2 7 4" xfId="19158" xr:uid="{9E3B75A9-95AE-4862-A514-EC4E423CC596}"/>
    <cellStyle name="Standard 6 3 2 3 2 8" xfId="7201" xr:uid="{00000000-0005-0000-0000-0000281C0000}"/>
    <cellStyle name="Standard 6 3 2 3 2 8 2" xfId="7202" xr:uid="{00000000-0005-0000-0000-0000291C0000}"/>
    <cellStyle name="Standard 6 3 2 3 2 8 2 2" xfId="7203" xr:uid="{00000000-0005-0000-0000-00002A1C0000}"/>
    <cellStyle name="Standard 6 3 2 3 2 8 2 2 2" xfId="19164" xr:uid="{A59411E8-B37B-4EA5-AE77-DC96FC5E48F0}"/>
    <cellStyle name="Standard 6 3 2 3 2 8 2 3" xfId="19163" xr:uid="{D9DC0748-0E58-473B-A805-A8E49C35F46B}"/>
    <cellStyle name="Standard 6 3 2 3 2 8 3" xfId="7204" xr:uid="{00000000-0005-0000-0000-00002B1C0000}"/>
    <cellStyle name="Standard 6 3 2 3 2 8 3 2" xfId="19165" xr:uid="{5B7E6BF3-EBEC-4511-875D-9135C4ACC751}"/>
    <cellStyle name="Standard 6 3 2 3 2 8 4" xfId="19162" xr:uid="{0D6DFF87-341B-4986-8DFD-0B80F2DE36C2}"/>
    <cellStyle name="Standard 6 3 2 3 2 9" xfId="7205" xr:uid="{00000000-0005-0000-0000-00002C1C0000}"/>
    <cellStyle name="Standard 6 3 2 3 2 9 2" xfId="7206" xr:uid="{00000000-0005-0000-0000-00002D1C0000}"/>
    <cellStyle name="Standard 6 3 2 3 2 9 2 2" xfId="7207" xr:uid="{00000000-0005-0000-0000-00002E1C0000}"/>
    <cellStyle name="Standard 6 3 2 3 2 9 2 2 2" xfId="19168" xr:uid="{FFAD7C32-30BD-4990-AD95-E7E9AB49BABD}"/>
    <cellStyle name="Standard 6 3 2 3 2 9 2 3" xfId="19167" xr:uid="{795F1D72-3E90-4E83-93E9-3065E10025C0}"/>
    <cellStyle name="Standard 6 3 2 3 2 9 3" xfId="7208" xr:uid="{00000000-0005-0000-0000-00002F1C0000}"/>
    <cellStyle name="Standard 6 3 2 3 2 9 3 2" xfId="19169" xr:uid="{123D0D37-76D3-4C66-9376-C970EAECD91D}"/>
    <cellStyle name="Standard 6 3 2 3 2 9 4" xfId="19166" xr:uid="{7CB73819-DE0E-43FB-B534-4077DE2032AD}"/>
    <cellStyle name="Standard 6 3 2 3 20" xfId="7209" xr:uid="{00000000-0005-0000-0000-0000301C0000}"/>
    <cellStyle name="Standard 6 3 2 3 20 2" xfId="7210" xr:uid="{00000000-0005-0000-0000-0000311C0000}"/>
    <cellStyle name="Standard 6 3 2 3 20 2 2" xfId="19171" xr:uid="{68CA7BE1-4779-47F5-8A57-5763B2002BC7}"/>
    <cellStyle name="Standard 6 3 2 3 20 3" xfId="19170" xr:uid="{FF157229-6480-4F1E-9EDB-6CB09A08DB92}"/>
    <cellStyle name="Standard 6 3 2 3 21" xfId="7211" xr:uid="{00000000-0005-0000-0000-0000321C0000}"/>
    <cellStyle name="Standard 6 3 2 3 21 2" xfId="19172" xr:uid="{22783C2E-7EAA-4F6A-9F25-072683B9CE30}"/>
    <cellStyle name="Standard 6 3 2 3 22" xfId="7212" xr:uid="{00000000-0005-0000-0000-0000331C0000}"/>
    <cellStyle name="Standard 6 3 2 3 22 2" xfId="19173" xr:uid="{5A50D3C2-BCFA-4B1C-9982-AAD2E27A40FE}"/>
    <cellStyle name="Standard 6 3 2 3 23" xfId="19017" xr:uid="{C1B645D4-B237-48A9-9C91-A61617886F6B}"/>
    <cellStyle name="Standard 6 3 2 3 3" xfId="7213" xr:uid="{00000000-0005-0000-0000-0000341C0000}"/>
    <cellStyle name="Standard 6 3 2 3 3 10" xfId="7214" xr:uid="{00000000-0005-0000-0000-0000351C0000}"/>
    <cellStyle name="Standard 6 3 2 3 3 10 2" xfId="19175" xr:uid="{9A0B27C7-7E5A-4C49-956E-0A310813DB2C}"/>
    <cellStyle name="Standard 6 3 2 3 3 11" xfId="19174" xr:uid="{C87018C8-5302-477A-87A1-433999321494}"/>
    <cellStyle name="Standard 6 3 2 3 3 2" xfId="7215" xr:uid="{00000000-0005-0000-0000-0000361C0000}"/>
    <cellStyle name="Standard 6 3 2 3 3 2 10" xfId="19176" xr:uid="{FD0A92B4-F7AD-48B8-A330-693D184E4F55}"/>
    <cellStyle name="Standard 6 3 2 3 3 2 2" xfId="7216" xr:uid="{00000000-0005-0000-0000-0000371C0000}"/>
    <cellStyle name="Standard 6 3 2 3 3 2 2 2" xfId="7217" xr:uid="{00000000-0005-0000-0000-0000381C0000}"/>
    <cellStyle name="Standard 6 3 2 3 3 2 2 2 2" xfId="7218" xr:uid="{00000000-0005-0000-0000-0000391C0000}"/>
    <cellStyle name="Standard 6 3 2 3 3 2 2 2 2 2" xfId="19179" xr:uid="{A111EFC7-667C-42C8-B514-8A974128A2EF}"/>
    <cellStyle name="Standard 6 3 2 3 3 2 2 2 3" xfId="19178" xr:uid="{75C4D843-4F89-419C-AC8E-2CA39EA9EF88}"/>
    <cellStyle name="Standard 6 3 2 3 3 2 2 3" xfId="7219" xr:uid="{00000000-0005-0000-0000-00003A1C0000}"/>
    <cellStyle name="Standard 6 3 2 3 3 2 2 3 2" xfId="19180" xr:uid="{AB99E4EF-CDFA-48B7-8FFE-AC3D7095FCA9}"/>
    <cellStyle name="Standard 6 3 2 3 3 2 2 4" xfId="19177" xr:uid="{D0152003-54AB-4C51-9371-C371F8B41437}"/>
    <cellStyle name="Standard 6 3 2 3 3 2 3" xfId="7220" xr:uid="{00000000-0005-0000-0000-00003B1C0000}"/>
    <cellStyle name="Standard 6 3 2 3 3 2 3 2" xfId="7221" xr:uid="{00000000-0005-0000-0000-00003C1C0000}"/>
    <cellStyle name="Standard 6 3 2 3 3 2 3 2 2" xfId="7222" xr:uid="{00000000-0005-0000-0000-00003D1C0000}"/>
    <cellStyle name="Standard 6 3 2 3 3 2 3 2 2 2" xfId="19183" xr:uid="{FB098918-FA7D-458C-8868-EB062ACF26C2}"/>
    <cellStyle name="Standard 6 3 2 3 3 2 3 2 3" xfId="19182" xr:uid="{2E59900C-1BBB-45F5-A49E-8FE6558ACC2B}"/>
    <cellStyle name="Standard 6 3 2 3 3 2 3 3" xfId="7223" xr:uid="{00000000-0005-0000-0000-00003E1C0000}"/>
    <cellStyle name="Standard 6 3 2 3 3 2 3 3 2" xfId="19184" xr:uid="{D1DB1A48-C505-4B7F-9629-1208AF923977}"/>
    <cellStyle name="Standard 6 3 2 3 3 2 3 4" xfId="19181" xr:uid="{3DAA08E0-1402-49C2-9303-CD7D9BBF4E99}"/>
    <cellStyle name="Standard 6 3 2 3 3 2 4" xfId="7224" xr:uid="{00000000-0005-0000-0000-00003F1C0000}"/>
    <cellStyle name="Standard 6 3 2 3 3 2 4 2" xfId="7225" xr:uid="{00000000-0005-0000-0000-0000401C0000}"/>
    <cellStyle name="Standard 6 3 2 3 3 2 4 2 2" xfId="7226" xr:uid="{00000000-0005-0000-0000-0000411C0000}"/>
    <cellStyle name="Standard 6 3 2 3 3 2 4 2 2 2" xfId="19187" xr:uid="{7926F988-C7B0-477F-9300-9052930C285B}"/>
    <cellStyle name="Standard 6 3 2 3 3 2 4 2 3" xfId="19186" xr:uid="{A27FF461-D4A8-4300-B6A5-D111266EC2A4}"/>
    <cellStyle name="Standard 6 3 2 3 3 2 4 3" xfId="7227" xr:uid="{00000000-0005-0000-0000-0000421C0000}"/>
    <cellStyle name="Standard 6 3 2 3 3 2 4 3 2" xfId="19188" xr:uid="{713035DE-7DCD-4E8A-97A9-6FB1EE8E4137}"/>
    <cellStyle name="Standard 6 3 2 3 3 2 4 4" xfId="19185" xr:uid="{F12010B0-69FA-4D60-A5A3-A5586015EB6B}"/>
    <cellStyle name="Standard 6 3 2 3 3 2 5" xfId="7228" xr:uid="{00000000-0005-0000-0000-0000431C0000}"/>
    <cellStyle name="Standard 6 3 2 3 3 2 5 2" xfId="7229" xr:uid="{00000000-0005-0000-0000-0000441C0000}"/>
    <cellStyle name="Standard 6 3 2 3 3 2 5 2 2" xfId="7230" xr:uid="{00000000-0005-0000-0000-0000451C0000}"/>
    <cellStyle name="Standard 6 3 2 3 3 2 5 2 2 2" xfId="19191" xr:uid="{AF57FFB6-5D0A-453B-B0DF-9E4A1A7A0A1C}"/>
    <cellStyle name="Standard 6 3 2 3 3 2 5 2 3" xfId="19190" xr:uid="{09B35C59-5FA7-48D0-B255-8D4A591D7CE2}"/>
    <cellStyle name="Standard 6 3 2 3 3 2 5 3" xfId="7231" xr:uid="{00000000-0005-0000-0000-0000461C0000}"/>
    <cellStyle name="Standard 6 3 2 3 3 2 5 3 2" xfId="19192" xr:uid="{42E46D6A-1176-4F1E-B7B0-0FD8A4605E76}"/>
    <cellStyle name="Standard 6 3 2 3 3 2 5 4" xfId="19189" xr:uid="{EF41F53A-133D-4197-A7CA-933207EABBB5}"/>
    <cellStyle name="Standard 6 3 2 3 3 2 6" xfId="7232" xr:uid="{00000000-0005-0000-0000-0000471C0000}"/>
    <cellStyle name="Standard 6 3 2 3 3 2 6 2" xfId="7233" xr:uid="{00000000-0005-0000-0000-0000481C0000}"/>
    <cellStyle name="Standard 6 3 2 3 3 2 6 2 2" xfId="7234" xr:uid="{00000000-0005-0000-0000-0000491C0000}"/>
    <cellStyle name="Standard 6 3 2 3 3 2 6 2 2 2" xfId="19195" xr:uid="{F01F7E63-5F9D-4CA4-A2A4-0F0E75D576DE}"/>
    <cellStyle name="Standard 6 3 2 3 3 2 6 2 3" xfId="19194" xr:uid="{746F8553-5419-4D9C-B68C-2D7373D62C6A}"/>
    <cellStyle name="Standard 6 3 2 3 3 2 6 3" xfId="7235" xr:uid="{00000000-0005-0000-0000-00004A1C0000}"/>
    <cellStyle name="Standard 6 3 2 3 3 2 6 3 2" xfId="19196" xr:uid="{4BCA35B3-F4D8-49F7-96D0-AB554850363C}"/>
    <cellStyle name="Standard 6 3 2 3 3 2 6 4" xfId="19193" xr:uid="{6AB24E69-A8F7-4EA7-9899-764F13500FF8}"/>
    <cellStyle name="Standard 6 3 2 3 3 2 7" xfId="7236" xr:uid="{00000000-0005-0000-0000-00004B1C0000}"/>
    <cellStyle name="Standard 6 3 2 3 3 2 7 2" xfId="7237" xr:uid="{00000000-0005-0000-0000-00004C1C0000}"/>
    <cellStyle name="Standard 6 3 2 3 3 2 7 2 2" xfId="7238" xr:uid="{00000000-0005-0000-0000-00004D1C0000}"/>
    <cellStyle name="Standard 6 3 2 3 3 2 7 2 2 2" xfId="19199" xr:uid="{2CF4F524-FEAF-4FCC-843D-23C4CB925DD0}"/>
    <cellStyle name="Standard 6 3 2 3 3 2 7 2 3" xfId="19198" xr:uid="{6846A783-8051-49C0-A151-B671871EDF4D}"/>
    <cellStyle name="Standard 6 3 2 3 3 2 7 3" xfId="7239" xr:uid="{00000000-0005-0000-0000-00004E1C0000}"/>
    <cellStyle name="Standard 6 3 2 3 3 2 7 3 2" xfId="19200" xr:uid="{1ABC6CB1-C7EC-473B-98B4-DE1CCF5D7D01}"/>
    <cellStyle name="Standard 6 3 2 3 3 2 7 4" xfId="19197" xr:uid="{D4531197-B773-48BC-B056-A1ADF576DEE7}"/>
    <cellStyle name="Standard 6 3 2 3 3 2 8" xfId="7240" xr:uid="{00000000-0005-0000-0000-00004F1C0000}"/>
    <cellStyle name="Standard 6 3 2 3 3 2 8 2" xfId="7241" xr:uid="{00000000-0005-0000-0000-0000501C0000}"/>
    <cellStyle name="Standard 6 3 2 3 3 2 8 2 2" xfId="19202" xr:uid="{4D7F8401-9021-4B8E-A446-70146C42828E}"/>
    <cellStyle name="Standard 6 3 2 3 3 2 8 3" xfId="19201" xr:uid="{91782930-E8A2-43A8-9606-652CDAA10A65}"/>
    <cellStyle name="Standard 6 3 2 3 3 2 9" xfId="7242" xr:uid="{00000000-0005-0000-0000-0000511C0000}"/>
    <cellStyle name="Standard 6 3 2 3 3 2 9 2" xfId="19203" xr:uid="{D9989FB4-EA96-48A1-82F6-26427A222CC8}"/>
    <cellStyle name="Standard 6 3 2 3 3 3" xfId="7243" xr:uid="{00000000-0005-0000-0000-0000521C0000}"/>
    <cellStyle name="Standard 6 3 2 3 3 3 2" xfId="7244" xr:uid="{00000000-0005-0000-0000-0000531C0000}"/>
    <cellStyle name="Standard 6 3 2 3 3 3 2 2" xfId="7245" xr:uid="{00000000-0005-0000-0000-0000541C0000}"/>
    <cellStyle name="Standard 6 3 2 3 3 3 2 2 2" xfId="19206" xr:uid="{19F2B843-B0FF-4A95-AE3D-DACBDB7AA7A1}"/>
    <cellStyle name="Standard 6 3 2 3 3 3 2 3" xfId="19205" xr:uid="{9EAAF3E4-2A91-404A-9026-E85F3AF8AF33}"/>
    <cellStyle name="Standard 6 3 2 3 3 3 3" xfId="7246" xr:uid="{00000000-0005-0000-0000-0000551C0000}"/>
    <cellStyle name="Standard 6 3 2 3 3 3 3 2" xfId="19207" xr:uid="{D0776BA2-7168-414B-A21A-12DE1FBBDBED}"/>
    <cellStyle name="Standard 6 3 2 3 3 3 4" xfId="19204" xr:uid="{1BE49C3B-BD91-452D-93B7-067FE89C2B0F}"/>
    <cellStyle name="Standard 6 3 2 3 3 4" xfId="7247" xr:uid="{00000000-0005-0000-0000-0000561C0000}"/>
    <cellStyle name="Standard 6 3 2 3 3 4 2" xfId="7248" xr:uid="{00000000-0005-0000-0000-0000571C0000}"/>
    <cellStyle name="Standard 6 3 2 3 3 4 2 2" xfId="7249" xr:uid="{00000000-0005-0000-0000-0000581C0000}"/>
    <cellStyle name="Standard 6 3 2 3 3 4 2 2 2" xfId="19210" xr:uid="{9528258A-7BD9-4330-9072-75B2AA9B5654}"/>
    <cellStyle name="Standard 6 3 2 3 3 4 2 3" xfId="19209" xr:uid="{9A4813A9-0B94-4073-8A63-D46DFCC894EF}"/>
    <cellStyle name="Standard 6 3 2 3 3 4 3" xfId="7250" xr:uid="{00000000-0005-0000-0000-0000591C0000}"/>
    <cellStyle name="Standard 6 3 2 3 3 4 3 2" xfId="19211" xr:uid="{4734DCAB-C672-447E-BFBA-C765F960A667}"/>
    <cellStyle name="Standard 6 3 2 3 3 4 4" xfId="19208" xr:uid="{D6A10DDF-C2C3-4AC8-A4D4-FBEC60B3F98E}"/>
    <cellStyle name="Standard 6 3 2 3 3 5" xfId="7251" xr:uid="{00000000-0005-0000-0000-00005A1C0000}"/>
    <cellStyle name="Standard 6 3 2 3 3 5 2" xfId="7252" xr:uid="{00000000-0005-0000-0000-00005B1C0000}"/>
    <cellStyle name="Standard 6 3 2 3 3 5 2 2" xfId="7253" xr:uid="{00000000-0005-0000-0000-00005C1C0000}"/>
    <cellStyle name="Standard 6 3 2 3 3 5 2 2 2" xfId="19214" xr:uid="{F63BBEE2-A184-41C8-818F-31DF00B81420}"/>
    <cellStyle name="Standard 6 3 2 3 3 5 2 3" xfId="19213" xr:uid="{6A04E13E-6E83-40AB-B0F3-2EBF83BCAFCC}"/>
    <cellStyle name="Standard 6 3 2 3 3 5 3" xfId="7254" xr:uid="{00000000-0005-0000-0000-00005D1C0000}"/>
    <cellStyle name="Standard 6 3 2 3 3 5 3 2" xfId="19215" xr:uid="{B7445433-D31C-435C-9170-07AA8E18FC93}"/>
    <cellStyle name="Standard 6 3 2 3 3 5 4" xfId="19212" xr:uid="{063A1C4E-6027-44FA-99CC-20F9505B9C68}"/>
    <cellStyle name="Standard 6 3 2 3 3 6" xfId="7255" xr:uid="{00000000-0005-0000-0000-00005E1C0000}"/>
    <cellStyle name="Standard 6 3 2 3 3 6 2" xfId="7256" xr:uid="{00000000-0005-0000-0000-00005F1C0000}"/>
    <cellStyle name="Standard 6 3 2 3 3 6 2 2" xfId="7257" xr:uid="{00000000-0005-0000-0000-0000601C0000}"/>
    <cellStyle name="Standard 6 3 2 3 3 6 2 2 2" xfId="19218" xr:uid="{C347F930-23D1-4654-81DD-907E72E6FA0A}"/>
    <cellStyle name="Standard 6 3 2 3 3 6 2 3" xfId="19217" xr:uid="{BFFC509C-BF40-4D03-B07B-D22DED28EB3B}"/>
    <cellStyle name="Standard 6 3 2 3 3 6 3" xfId="7258" xr:uid="{00000000-0005-0000-0000-0000611C0000}"/>
    <cellStyle name="Standard 6 3 2 3 3 6 3 2" xfId="19219" xr:uid="{A34D1564-7BF8-4A04-A95D-1B7B47CE0BFD}"/>
    <cellStyle name="Standard 6 3 2 3 3 6 4" xfId="19216" xr:uid="{9019775E-FF0E-4828-BEC8-6A3320986B8E}"/>
    <cellStyle name="Standard 6 3 2 3 3 7" xfId="7259" xr:uid="{00000000-0005-0000-0000-0000621C0000}"/>
    <cellStyle name="Standard 6 3 2 3 3 7 2" xfId="7260" xr:uid="{00000000-0005-0000-0000-0000631C0000}"/>
    <cellStyle name="Standard 6 3 2 3 3 7 2 2" xfId="7261" xr:uid="{00000000-0005-0000-0000-0000641C0000}"/>
    <cellStyle name="Standard 6 3 2 3 3 7 2 2 2" xfId="19222" xr:uid="{2FCCA170-8DEE-47BD-B8EA-36B1835B3A53}"/>
    <cellStyle name="Standard 6 3 2 3 3 7 2 3" xfId="19221" xr:uid="{F4B846A7-55F1-4437-93A8-3CA2CC1E3E88}"/>
    <cellStyle name="Standard 6 3 2 3 3 7 3" xfId="7262" xr:uid="{00000000-0005-0000-0000-0000651C0000}"/>
    <cellStyle name="Standard 6 3 2 3 3 7 3 2" xfId="19223" xr:uid="{68CEB797-51C3-464A-AE21-F79C4AAD6728}"/>
    <cellStyle name="Standard 6 3 2 3 3 7 4" xfId="19220" xr:uid="{68E90585-FB80-4E1C-8564-95F2B9203FB3}"/>
    <cellStyle name="Standard 6 3 2 3 3 8" xfId="7263" xr:uid="{00000000-0005-0000-0000-0000661C0000}"/>
    <cellStyle name="Standard 6 3 2 3 3 8 2" xfId="7264" xr:uid="{00000000-0005-0000-0000-0000671C0000}"/>
    <cellStyle name="Standard 6 3 2 3 3 8 2 2" xfId="7265" xr:uid="{00000000-0005-0000-0000-0000681C0000}"/>
    <cellStyle name="Standard 6 3 2 3 3 8 2 2 2" xfId="19226" xr:uid="{63354734-217E-46D0-8F63-C7103E1B57ED}"/>
    <cellStyle name="Standard 6 3 2 3 3 8 2 3" xfId="19225" xr:uid="{42D8D267-FD75-4EBC-98E0-08A4996AC630}"/>
    <cellStyle name="Standard 6 3 2 3 3 8 3" xfId="7266" xr:uid="{00000000-0005-0000-0000-0000691C0000}"/>
    <cellStyle name="Standard 6 3 2 3 3 8 3 2" xfId="19227" xr:uid="{00C49946-7F23-4582-BADB-20B265CE63F1}"/>
    <cellStyle name="Standard 6 3 2 3 3 8 4" xfId="19224" xr:uid="{9D05C319-39B5-470F-8589-5FB7F56984FA}"/>
    <cellStyle name="Standard 6 3 2 3 3 9" xfId="7267" xr:uid="{00000000-0005-0000-0000-00006A1C0000}"/>
    <cellStyle name="Standard 6 3 2 3 3 9 2" xfId="7268" xr:uid="{00000000-0005-0000-0000-00006B1C0000}"/>
    <cellStyle name="Standard 6 3 2 3 3 9 2 2" xfId="19229" xr:uid="{2B7B94AD-1029-4429-9765-08EE70A597B1}"/>
    <cellStyle name="Standard 6 3 2 3 3 9 3" xfId="19228" xr:uid="{7225FCDF-D67D-48EB-BFE8-84A745C15596}"/>
    <cellStyle name="Standard 6 3 2 3 4" xfId="7269" xr:uid="{00000000-0005-0000-0000-00006C1C0000}"/>
    <cellStyle name="Standard 6 3 2 3 4 10" xfId="7270" xr:uid="{00000000-0005-0000-0000-00006D1C0000}"/>
    <cellStyle name="Standard 6 3 2 3 4 10 2" xfId="19231" xr:uid="{0BF6FBFA-30CB-4102-944D-7A81661352C0}"/>
    <cellStyle name="Standard 6 3 2 3 4 11" xfId="19230" xr:uid="{1FA17944-738C-4067-92FE-1B1FC0552AB0}"/>
    <cellStyle name="Standard 6 3 2 3 4 2" xfId="7271" xr:uid="{00000000-0005-0000-0000-00006E1C0000}"/>
    <cellStyle name="Standard 6 3 2 3 4 2 10" xfId="19232" xr:uid="{C35B9385-EC7B-4221-B05D-361C34491A18}"/>
    <cellStyle name="Standard 6 3 2 3 4 2 2" xfId="7272" xr:uid="{00000000-0005-0000-0000-00006F1C0000}"/>
    <cellStyle name="Standard 6 3 2 3 4 2 2 2" xfId="7273" xr:uid="{00000000-0005-0000-0000-0000701C0000}"/>
    <cellStyle name="Standard 6 3 2 3 4 2 2 2 2" xfId="7274" xr:uid="{00000000-0005-0000-0000-0000711C0000}"/>
    <cellStyle name="Standard 6 3 2 3 4 2 2 2 2 2" xfId="19235" xr:uid="{0141DEBC-44C2-4C85-AE34-DC578FC8EDF3}"/>
    <cellStyle name="Standard 6 3 2 3 4 2 2 2 3" xfId="19234" xr:uid="{DCD1695F-C0AD-4788-BE9C-AACAE812ECB7}"/>
    <cellStyle name="Standard 6 3 2 3 4 2 2 3" xfId="7275" xr:uid="{00000000-0005-0000-0000-0000721C0000}"/>
    <cellStyle name="Standard 6 3 2 3 4 2 2 3 2" xfId="19236" xr:uid="{7ABFB065-4756-4B37-AED2-219A6C20328B}"/>
    <cellStyle name="Standard 6 3 2 3 4 2 2 4" xfId="19233" xr:uid="{54411FA1-0FAE-4F11-BC79-65EECAE4A916}"/>
    <cellStyle name="Standard 6 3 2 3 4 2 3" xfId="7276" xr:uid="{00000000-0005-0000-0000-0000731C0000}"/>
    <cellStyle name="Standard 6 3 2 3 4 2 3 2" xfId="7277" xr:uid="{00000000-0005-0000-0000-0000741C0000}"/>
    <cellStyle name="Standard 6 3 2 3 4 2 3 2 2" xfId="7278" xr:uid="{00000000-0005-0000-0000-0000751C0000}"/>
    <cellStyle name="Standard 6 3 2 3 4 2 3 2 2 2" xfId="19239" xr:uid="{25C0368B-AE8C-48BC-A39D-173FA754909B}"/>
    <cellStyle name="Standard 6 3 2 3 4 2 3 2 3" xfId="19238" xr:uid="{B8BC0575-3475-488F-8F6A-F31F6479B3F8}"/>
    <cellStyle name="Standard 6 3 2 3 4 2 3 3" xfId="7279" xr:uid="{00000000-0005-0000-0000-0000761C0000}"/>
    <cellStyle name="Standard 6 3 2 3 4 2 3 3 2" xfId="19240" xr:uid="{57B4BD38-6260-4163-B6BC-C7A43B4F9C20}"/>
    <cellStyle name="Standard 6 3 2 3 4 2 3 4" xfId="19237" xr:uid="{750C9DD8-10DA-4C63-878A-FEBFCEBDF1A0}"/>
    <cellStyle name="Standard 6 3 2 3 4 2 4" xfId="7280" xr:uid="{00000000-0005-0000-0000-0000771C0000}"/>
    <cellStyle name="Standard 6 3 2 3 4 2 4 2" xfId="7281" xr:uid="{00000000-0005-0000-0000-0000781C0000}"/>
    <cellStyle name="Standard 6 3 2 3 4 2 4 2 2" xfId="7282" xr:uid="{00000000-0005-0000-0000-0000791C0000}"/>
    <cellStyle name="Standard 6 3 2 3 4 2 4 2 2 2" xfId="19243" xr:uid="{316B6E14-5974-400E-99C5-F14DF6F20A3B}"/>
    <cellStyle name="Standard 6 3 2 3 4 2 4 2 3" xfId="19242" xr:uid="{D202C5CF-FD23-40C4-AC5E-E30686F7E159}"/>
    <cellStyle name="Standard 6 3 2 3 4 2 4 3" xfId="7283" xr:uid="{00000000-0005-0000-0000-00007A1C0000}"/>
    <cellStyle name="Standard 6 3 2 3 4 2 4 3 2" xfId="19244" xr:uid="{53CA85A8-8651-446D-B9F5-92F91C6A4710}"/>
    <cellStyle name="Standard 6 3 2 3 4 2 4 4" xfId="19241" xr:uid="{5BEAD130-3DD8-4552-BAAA-B85D6A632232}"/>
    <cellStyle name="Standard 6 3 2 3 4 2 5" xfId="7284" xr:uid="{00000000-0005-0000-0000-00007B1C0000}"/>
    <cellStyle name="Standard 6 3 2 3 4 2 5 2" xfId="7285" xr:uid="{00000000-0005-0000-0000-00007C1C0000}"/>
    <cellStyle name="Standard 6 3 2 3 4 2 5 2 2" xfId="7286" xr:uid="{00000000-0005-0000-0000-00007D1C0000}"/>
    <cellStyle name="Standard 6 3 2 3 4 2 5 2 2 2" xfId="19247" xr:uid="{C8E67AF7-9021-4405-9F57-DB3915DB78EF}"/>
    <cellStyle name="Standard 6 3 2 3 4 2 5 2 3" xfId="19246" xr:uid="{ECA7FECC-0213-4E59-897C-7E0D23626DB7}"/>
    <cellStyle name="Standard 6 3 2 3 4 2 5 3" xfId="7287" xr:uid="{00000000-0005-0000-0000-00007E1C0000}"/>
    <cellStyle name="Standard 6 3 2 3 4 2 5 3 2" xfId="19248" xr:uid="{0C06D1F2-9BF0-478A-B6F5-15BADEDF38A8}"/>
    <cellStyle name="Standard 6 3 2 3 4 2 5 4" xfId="19245" xr:uid="{F295F7E7-2600-4866-B401-CDEBFBC6F820}"/>
    <cellStyle name="Standard 6 3 2 3 4 2 6" xfId="7288" xr:uid="{00000000-0005-0000-0000-00007F1C0000}"/>
    <cellStyle name="Standard 6 3 2 3 4 2 6 2" xfId="7289" xr:uid="{00000000-0005-0000-0000-0000801C0000}"/>
    <cellStyle name="Standard 6 3 2 3 4 2 6 2 2" xfId="7290" xr:uid="{00000000-0005-0000-0000-0000811C0000}"/>
    <cellStyle name="Standard 6 3 2 3 4 2 6 2 2 2" xfId="19251" xr:uid="{6BB313B9-5914-4E58-9E7A-37BA3E09BB31}"/>
    <cellStyle name="Standard 6 3 2 3 4 2 6 2 3" xfId="19250" xr:uid="{61636777-68CF-43F2-88AA-FA5EA63B69E9}"/>
    <cellStyle name="Standard 6 3 2 3 4 2 6 3" xfId="7291" xr:uid="{00000000-0005-0000-0000-0000821C0000}"/>
    <cellStyle name="Standard 6 3 2 3 4 2 6 3 2" xfId="19252" xr:uid="{D63134A9-F932-4176-B4BB-0D18B0314794}"/>
    <cellStyle name="Standard 6 3 2 3 4 2 6 4" xfId="19249" xr:uid="{FD94D74F-6A34-4FC2-AEC5-D3E6A29CC8E9}"/>
    <cellStyle name="Standard 6 3 2 3 4 2 7" xfId="7292" xr:uid="{00000000-0005-0000-0000-0000831C0000}"/>
    <cellStyle name="Standard 6 3 2 3 4 2 7 2" xfId="7293" xr:uid="{00000000-0005-0000-0000-0000841C0000}"/>
    <cellStyle name="Standard 6 3 2 3 4 2 7 2 2" xfId="7294" xr:uid="{00000000-0005-0000-0000-0000851C0000}"/>
    <cellStyle name="Standard 6 3 2 3 4 2 7 2 2 2" xfId="19255" xr:uid="{1CB8EB57-C56D-4E11-AB01-C69A7786F24D}"/>
    <cellStyle name="Standard 6 3 2 3 4 2 7 2 3" xfId="19254" xr:uid="{BAA07FC9-C6BC-4EAE-A3CE-C19422C13C5E}"/>
    <cellStyle name="Standard 6 3 2 3 4 2 7 3" xfId="7295" xr:uid="{00000000-0005-0000-0000-0000861C0000}"/>
    <cellStyle name="Standard 6 3 2 3 4 2 7 3 2" xfId="19256" xr:uid="{CD1A1CC6-D4E8-4BA4-897C-3569F6273FAE}"/>
    <cellStyle name="Standard 6 3 2 3 4 2 7 4" xfId="19253" xr:uid="{7FD662F9-8C78-4D65-BD2B-602E99CB571B}"/>
    <cellStyle name="Standard 6 3 2 3 4 2 8" xfId="7296" xr:uid="{00000000-0005-0000-0000-0000871C0000}"/>
    <cellStyle name="Standard 6 3 2 3 4 2 8 2" xfId="7297" xr:uid="{00000000-0005-0000-0000-0000881C0000}"/>
    <cellStyle name="Standard 6 3 2 3 4 2 8 2 2" xfId="19258" xr:uid="{D6903752-4C85-421C-958D-6E4B92DC4254}"/>
    <cellStyle name="Standard 6 3 2 3 4 2 8 3" xfId="19257" xr:uid="{E76D7115-1ECC-4FFF-8C8F-6EC6B43C8F5C}"/>
    <cellStyle name="Standard 6 3 2 3 4 2 9" xfId="7298" xr:uid="{00000000-0005-0000-0000-0000891C0000}"/>
    <cellStyle name="Standard 6 3 2 3 4 2 9 2" xfId="19259" xr:uid="{FB0A74CC-2AA1-4B21-B83B-C5029B2143F2}"/>
    <cellStyle name="Standard 6 3 2 3 4 3" xfId="7299" xr:uid="{00000000-0005-0000-0000-00008A1C0000}"/>
    <cellStyle name="Standard 6 3 2 3 4 3 2" xfId="7300" xr:uid="{00000000-0005-0000-0000-00008B1C0000}"/>
    <cellStyle name="Standard 6 3 2 3 4 3 2 2" xfId="7301" xr:uid="{00000000-0005-0000-0000-00008C1C0000}"/>
    <cellStyle name="Standard 6 3 2 3 4 3 2 2 2" xfId="19262" xr:uid="{27E9741A-EF06-4C80-861A-BB510ED67BF0}"/>
    <cellStyle name="Standard 6 3 2 3 4 3 2 3" xfId="19261" xr:uid="{1B97B9BE-9DFE-44DB-9A11-2383D12A6247}"/>
    <cellStyle name="Standard 6 3 2 3 4 3 3" xfId="7302" xr:uid="{00000000-0005-0000-0000-00008D1C0000}"/>
    <cellStyle name="Standard 6 3 2 3 4 3 3 2" xfId="19263" xr:uid="{33CF1E3F-CB74-45C8-8806-97CA69734A3D}"/>
    <cellStyle name="Standard 6 3 2 3 4 3 4" xfId="19260" xr:uid="{498B69EE-090C-4614-B988-E2E1FC53C0EF}"/>
    <cellStyle name="Standard 6 3 2 3 4 4" xfId="7303" xr:uid="{00000000-0005-0000-0000-00008E1C0000}"/>
    <cellStyle name="Standard 6 3 2 3 4 4 2" xfId="7304" xr:uid="{00000000-0005-0000-0000-00008F1C0000}"/>
    <cellStyle name="Standard 6 3 2 3 4 4 2 2" xfId="7305" xr:uid="{00000000-0005-0000-0000-0000901C0000}"/>
    <cellStyle name="Standard 6 3 2 3 4 4 2 2 2" xfId="19266" xr:uid="{C3139A61-C761-4E3E-9C2F-A97FF7B0872D}"/>
    <cellStyle name="Standard 6 3 2 3 4 4 2 3" xfId="19265" xr:uid="{AD4FC22D-E990-4D00-825B-EA473CF0D59A}"/>
    <cellStyle name="Standard 6 3 2 3 4 4 3" xfId="7306" xr:uid="{00000000-0005-0000-0000-0000911C0000}"/>
    <cellStyle name="Standard 6 3 2 3 4 4 3 2" xfId="19267" xr:uid="{982ECCC9-5A9F-4478-A1E7-78C6505D3B1C}"/>
    <cellStyle name="Standard 6 3 2 3 4 4 4" xfId="19264" xr:uid="{412785B1-5380-4D3E-9997-997FFC9E15AD}"/>
    <cellStyle name="Standard 6 3 2 3 4 5" xfId="7307" xr:uid="{00000000-0005-0000-0000-0000921C0000}"/>
    <cellStyle name="Standard 6 3 2 3 4 5 2" xfId="7308" xr:uid="{00000000-0005-0000-0000-0000931C0000}"/>
    <cellStyle name="Standard 6 3 2 3 4 5 2 2" xfId="7309" xr:uid="{00000000-0005-0000-0000-0000941C0000}"/>
    <cellStyle name="Standard 6 3 2 3 4 5 2 2 2" xfId="19270" xr:uid="{B4D11EF9-8B88-4591-B8D9-AA240B9BA3C6}"/>
    <cellStyle name="Standard 6 3 2 3 4 5 2 3" xfId="19269" xr:uid="{A3C8F43C-EA03-4C97-8F7D-E0977C497FF3}"/>
    <cellStyle name="Standard 6 3 2 3 4 5 3" xfId="7310" xr:uid="{00000000-0005-0000-0000-0000951C0000}"/>
    <cellStyle name="Standard 6 3 2 3 4 5 3 2" xfId="19271" xr:uid="{76CF8C5E-F6B9-4697-94DF-C0490BA8BB18}"/>
    <cellStyle name="Standard 6 3 2 3 4 5 4" xfId="19268" xr:uid="{A0731C43-FEEB-44E4-A11C-7D3CD536464A}"/>
    <cellStyle name="Standard 6 3 2 3 4 6" xfId="7311" xr:uid="{00000000-0005-0000-0000-0000961C0000}"/>
    <cellStyle name="Standard 6 3 2 3 4 6 2" xfId="7312" xr:uid="{00000000-0005-0000-0000-0000971C0000}"/>
    <cellStyle name="Standard 6 3 2 3 4 6 2 2" xfId="7313" xr:uid="{00000000-0005-0000-0000-0000981C0000}"/>
    <cellStyle name="Standard 6 3 2 3 4 6 2 2 2" xfId="19274" xr:uid="{29A0C5F5-0E1A-48ED-BA3D-ABB5CCF358C7}"/>
    <cellStyle name="Standard 6 3 2 3 4 6 2 3" xfId="19273" xr:uid="{B7027187-74A9-440C-BF53-8325690D5FBC}"/>
    <cellStyle name="Standard 6 3 2 3 4 6 3" xfId="7314" xr:uid="{00000000-0005-0000-0000-0000991C0000}"/>
    <cellStyle name="Standard 6 3 2 3 4 6 3 2" xfId="19275" xr:uid="{B3CF7F60-0D6B-415A-ADF7-B8810F60D3F4}"/>
    <cellStyle name="Standard 6 3 2 3 4 6 4" xfId="19272" xr:uid="{0E427BE6-E63B-4E9A-880F-7B7A2EF39B9F}"/>
    <cellStyle name="Standard 6 3 2 3 4 7" xfId="7315" xr:uid="{00000000-0005-0000-0000-00009A1C0000}"/>
    <cellStyle name="Standard 6 3 2 3 4 7 2" xfId="7316" xr:uid="{00000000-0005-0000-0000-00009B1C0000}"/>
    <cellStyle name="Standard 6 3 2 3 4 7 2 2" xfId="7317" xr:uid="{00000000-0005-0000-0000-00009C1C0000}"/>
    <cellStyle name="Standard 6 3 2 3 4 7 2 2 2" xfId="19278" xr:uid="{FE2003E9-4A93-47EE-A2FE-98329A565ECB}"/>
    <cellStyle name="Standard 6 3 2 3 4 7 2 3" xfId="19277" xr:uid="{66ED8C35-C78F-45B9-9002-A84543F832D4}"/>
    <cellStyle name="Standard 6 3 2 3 4 7 3" xfId="7318" xr:uid="{00000000-0005-0000-0000-00009D1C0000}"/>
    <cellStyle name="Standard 6 3 2 3 4 7 3 2" xfId="19279" xr:uid="{68A76B50-5EC3-4E8D-A266-92D266E9AF34}"/>
    <cellStyle name="Standard 6 3 2 3 4 7 4" xfId="19276" xr:uid="{955731EF-5BE6-429F-8AA4-2361C9696A11}"/>
    <cellStyle name="Standard 6 3 2 3 4 8" xfId="7319" xr:uid="{00000000-0005-0000-0000-00009E1C0000}"/>
    <cellStyle name="Standard 6 3 2 3 4 8 2" xfId="7320" xr:uid="{00000000-0005-0000-0000-00009F1C0000}"/>
    <cellStyle name="Standard 6 3 2 3 4 8 2 2" xfId="7321" xr:uid="{00000000-0005-0000-0000-0000A01C0000}"/>
    <cellStyle name="Standard 6 3 2 3 4 8 2 2 2" xfId="19282" xr:uid="{FF5EE42E-5385-429A-92E7-072486972EA2}"/>
    <cellStyle name="Standard 6 3 2 3 4 8 2 3" xfId="19281" xr:uid="{D57FD44C-CCC8-4588-A704-89954E5C4857}"/>
    <cellStyle name="Standard 6 3 2 3 4 8 3" xfId="7322" xr:uid="{00000000-0005-0000-0000-0000A11C0000}"/>
    <cellStyle name="Standard 6 3 2 3 4 8 3 2" xfId="19283" xr:uid="{F4418AA6-C73D-4F28-AA33-6D4F45FE9809}"/>
    <cellStyle name="Standard 6 3 2 3 4 8 4" xfId="19280" xr:uid="{43EED9CD-969B-4AC6-B92C-53312AA77254}"/>
    <cellStyle name="Standard 6 3 2 3 4 9" xfId="7323" xr:uid="{00000000-0005-0000-0000-0000A21C0000}"/>
    <cellStyle name="Standard 6 3 2 3 4 9 2" xfId="7324" xr:uid="{00000000-0005-0000-0000-0000A31C0000}"/>
    <cellStyle name="Standard 6 3 2 3 4 9 2 2" xfId="19285" xr:uid="{863C330B-E0D7-4131-8872-82E50EB187A7}"/>
    <cellStyle name="Standard 6 3 2 3 4 9 3" xfId="19284" xr:uid="{1F4D51A0-A5A5-4245-AAAA-32A4F5214B83}"/>
    <cellStyle name="Standard 6 3 2 3 5" xfId="7325" xr:uid="{00000000-0005-0000-0000-0000A41C0000}"/>
    <cellStyle name="Standard 6 3 2 3 5 10" xfId="7326" xr:uid="{00000000-0005-0000-0000-0000A51C0000}"/>
    <cellStyle name="Standard 6 3 2 3 5 10 2" xfId="19287" xr:uid="{AF8E2D11-6430-45D8-A6CA-BF3407392FE8}"/>
    <cellStyle name="Standard 6 3 2 3 5 11" xfId="19286" xr:uid="{E186CB14-880D-41E6-951B-8B9EE68C3529}"/>
    <cellStyle name="Standard 6 3 2 3 5 2" xfId="7327" xr:uid="{00000000-0005-0000-0000-0000A61C0000}"/>
    <cellStyle name="Standard 6 3 2 3 5 2 10" xfId="19288" xr:uid="{CF9ECCDD-B932-4A13-B88A-3C8C692C43B1}"/>
    <cellStyle name="Standard 6 3 2 3 5 2 2" xfId="7328" xr:uid="{00000000-0005-0000-0000-0000A71C0000}"/>
    <cellStyle name="Standard 6 3 2 3 5 2 2 2" xfId="7329" xr:uid="{00000000-0005-0000-0000-0000A81C0000}"/>
    <cellStyle name="Standard 6 3 2 3 5 2 2 2 2" xfId="7330" xr:uid="{00000000-0005-0000-0000-0000A91C0000}"/>
    <cellStyle name="Standard 6 3 2 3 5 2 2 2 2 2" xfId="19291" xr:uid="{6F4FE2F6-6ECD-4CB1-9EEC-11026693C186}"/>
    <cellStyle name="Standard 6 3 2 3 5 2 2 2 3" xfId="19290" xr:uid="{20468FEC-3633-45B0-A3B4-0CF783AF951E}"/>
    <cellStyle name="Standard 6 3 2 3 5 2 2 3" xfId="7331" xr:uid="{00000000-0005-0000-0000-0000AA1C0000}"/>
    <cellStyle name="Standard 6 3 2 3 5 2 2 3 2" xfId="19292" xr:uid="{95082A94-5A9F-4566-A862-593DAAF2433D}"/>
    <cellStyle name="Standard 6 3 2 3 5 2 2 4" xfId="19289" xr:uid="{33B519A5-4199-446A-93D6-B9D9FC00298A}"/>
    <cellStyle name="Standard 6 3 2 3 5 2 3" xfId="7332" xr:uid="{00000000-0005-0000-0000-0000AB1C0000}"/>
    <cellStyle name="Standard 6 3 2 3 5 2 3 2" xfId="7333" xr:uid="{00000000-0005-0000-0000-0000AC1C0000}"/>
    <cellStyle name="Standard 6 3 2 3 5 2 3 2 2" xfId="7334" xr:uid="{00000000-0005-0000-0000-0000AD1C0000}"/>
    <cellStyle name="Standard 6 3 2 3 5 2 3 2 2 2" xfId="19295" xr:uid="{8429FA95-BD49-4C7D-B82B-950556EBA606}"/>
    <cellStyle name="Standard 6 3 2 3 5 2 3 2 3" xfId="19294" xr:uid="{84BF1893-03A2-49C3-BC95-658E04540BCE}"/>
    <cellStyle name="Standard 6 3 2 3 5 2 3 3" xfId="7335" xr:uid="{00000000-0005-0000-0000-0000AE1C0000}"/>
    <cellStyle name="Standard 6 3 2 3 5 2 3 3 2" xfId="19296" xr:uid="{36AF525D-4583-445B-A60C-76621F0AD24D}"/>
    <cellStyle name="Standard 6 3 2 3 5 2 3 4" xfId="19293" xr:uid="{CF41E311-78A5-4CB9-88E2-647046862F40}"/>
    <cellStyle name="Standard 6 3 2 3 5 2 4" xfId="7336" xr:uid="{00000000-0005-0000-0000-0000AF1C0000}"/>
    <cellStyle name="Standard 6 3 2 3 5 2 4 2" xfId="7337" xr:uid="{00000000-0005-0000-0000-0000B01C0000}"/>
    <cellStyle name="Standard 6 3 2 3 5 2 4 2 2" xfId="7338" xr:uid="{00000000-0005-0000-0000-0000B11C0000}"/>
    <cellStyle name="Standard 6 3 2 3 5 2 4 2 2 2" xfId="19299" xr:uid="{1BC1EBB8-8124-40CD-9B0B-EA484B2EF2AC}"/>
    <cellStyle name="Standard 6 3 2 3 5 2 4 2 3" xfId="19298" xr:uid="{1742C7DE-AA6D-426B-9D8C-0D35552554B3}"/>
    <cellStyle name="Standard 6 3 2 3 5 2 4 3" xfId="7339" xr:uid="{00000000-0005-0000-0000-0000B21C0000}"/>
    <cellStyle name="Standard 6 3 2 3 5 2 4 3 2" xfId="19300" xr:uid="{59636D42-E59C-439C-8142-29318B9CDFEA}"/>
    <cellStyle name="Standard 6 3 2 3 5 2 4 4" xfId="19297" xr:uid="{B12EF5AE-E257-4E60-B651-C7A2B3443C81}"/>
    <cellStyle name="Standard 6 3 2 3 5 2 5" xfId="7340" xr:uid="{00000000-0005-0000-0000-0000B31C0000}"/>
    <cellStyle name="Standard 6 3 2 3 5 2 5 2" xfId="7341" xr:uid="{00000000-0005-0000-0000-0000B41C0000}"/>
    <cellStyle name="Standard 6 3 2 3 5 2 5 2 2" xfId="7342" xr:uid="{00000000-0005-0000-0000-0000B51C0000}"/>
    <cellStyle name="Standard 6 3 2 3 5 2 5 2 2 2" xfId="19303" xr:uid="{B15D04B1-DF16-435F-83AC-8BCAA8D9DDDB}"/>
    <cellStyle name="Standard 6 3 2 3 5 2 5 2 3" xfId="19302" xr:uid="{460E8654-B6DB-44C6-9556-6E0A3C397776}"/>
    <cellStyle name="Standard 6 3 2 3 5 2 5 3" xfId="7343" xr:uid="{00000000-0005-0000-0000-0000B61C0000}"/>
    <cellStyle name="Standard 6 3 2 3 5 2 5 3 2" xfId="19304" xr:uid="{66C0BE5F-CB1E-41E3-B5E2-91CC8733427B}"/>
    <cellStyle name="Standard 6 3 2 3 5 2 5 4" xfId="19301" xr:uid="{3EFC2D59-ED73-46C9-A8F0-F4291EE617E6}"/>
    <cellStyle name="Standard 6 3 2 3 5 2 6" xfId="7344" xr:uid="{00000000-0005-0000-0000-0000B71C0000}"/>
    <cellStyle name="Standard 6 3 2 3 5 2 6 2" xfId="7345" xr:uid="{00000000-0005-0000-0000-0000B81C0000}"/>
    <cellStyle name="Standard 6 3 2 3 5 2 6 2 2" xfId="7346" xr:uid="{00000000-0005-0000-0000-0000B91C0000}"/>
    <cellStyle name="Standard 6 3 2 3 5 2 6 2 2 2" xfId="19307" xr:uid="{C30F8282-3972-4B3F-8A27-89D957F8966B}"/>
    <cellStyle name="Standard 6 3 2 3 5 2 6 2 3" xfId="19306" xr:uid="{EC10366C-3B14-4367-A944-46464E8E897E}"/>
    <cellStyle name="Standard 6 3 2 3 5 2 6 3" xfId="7347" xr:uid="{00000000-0005-0000-0000-0000BA1C0000}"/>
    <cellStyle name="Standard 6 3 2 3 5 2 6 3 2" xfId="19308" xr:uid="{58A0BC0A-043A-4F20-8084-8121CCE82721}"/>
    <cellStyle name="Standard 6 3 2 3 5 2 6 4" xfId="19305" xr:uid="{78E05428-C42F-4C9B-9FEC-CFA296EC5CE9}"/>
    <cellStyle name="Standard 6 3 2 3 5 2 7" xfId="7348" xr:uid="{00000000-0005-0000-0000-0000BB1C0000}"/>
    <cellStyle name="Standard 6 3 2 3 5 2 7 2" xfId="7349" xr:uid="{00000000-0005-0000-0000-0000BC1C0000}"/>
    <cellStyle name="Standard 6 3 2 3 5 2 7 2 2" xfId="7350" xr:uid="{00000000-0005-0000-0000-0000BD1C0000}"/>
    <cellStyle name="Standard 6 3 2 3 5 2 7 2 2 2" xfId="19311" xr:uid="{FA0AC203-646C-430B-9129-BB7D47E2A9FC}"/>
    <cellStyle name="Standard 6 3 2 3 5 2 7 2 3" xfId="19310" xr:uid="{E2164AF5-EEF7-437E-B916-071EFE97C9E5}"/>
    <cellStyle name="Standard 6 3 2 3 5 2 7 3" xfId="7351" xr:uid="{00000000-0005-0000-0000-0000BE1C0000}"/>
    <cellStyle name="Standard 6 3 2 3 5 2 7 3 2" xfId="19312" xr:uid="{A1E740F4-FA2E-46A9-B0CC-278E8B6C2562}"/>
    <cellStyle name="Standard 6 3 2 3 5 2 7 4" xfId="19309" xr:uid="{13F5FB50-FE35-4325-96B7-9BB82D1ADA16}"/>
    <cellStyle name="Standard 6 3 2 3 5 2 8" xfId="7352" xr:uid="{00000000-0005-0000-0000-0000BF1C0000}"/>
    <cellStyle name="Standard 6 3 2 3 5 2 8 2" xfId="7353" xr:uid="{00000000-0005-0000-0000-0000C01C0000}"/>
    <cellStyle name="Standard 6 3 2 3 5 2 8 2 2" xfId="19314" xr:uid="{ED099D27-EBEE-488D-A996-0E346EADBCBD}"/>
    <cellStyle name="Standard 6 3 2 3 5 2 8 3" xfId="19313" xr:uid="{C99DF517-BF71-4874-8274-BC2D4C41B569}"/>
    <cellStyle name="Standard 6 3 2 3 5 2 9" xfId="7354" xr:uid="{00000000-0005-0000-0000-0000C11C0000}"/>
    <cellStyle name="Standard 6 3 2 3 5 2 9 2" xfId="19315" xr:uid="{C470BDD0-50A3-42CC-9779-10AEB2EC8F44}"/>
    <cellStyle name="Standard 6 3 2 3 5 3" xfId="7355" xr:uid="{00000000-0005-0000-0000-0000C21C0000}"/>
    <cellStyle name="Standard 6 3 2 3 5 3 2" xfId="7356" xr:uid="{00000000-0005-0000-0000-0000C31C0000}"/>
    <cellStyle name="Standard 6 3 2 3 5 3 2 2" xfId="7357" xr:uid="{00000000-0005-0000-0000-0000C41C0000}"/>
    <cellStyle name="Standard 6 3 2 3 5 3 2 2 2" xfId="19318" xr:uid="{50EDAAB5-6582-4C25-A273-171DEC25D12A}"/>
    <cellStyle name="Standard 6 3 2 3 5 3 2 3" xfId="19317" xr:uid="{8786CB35-5E39-4264-97B2-ED355A7E0512}"/>
    <cellStyle name="Standard 6 3 2 3 5 3 3" xfId="7358" xr:uid="{00000000-0005-0000-0000-0000C51C0000}"/>
    <cellStyle name="Standard 6 3 2 3 5 3 3 2" xfId="19319" xr:uid="{37759518-B3CA-4F3B-8E63-F24610606FF7}"/>
    <cellStyle name="Standard 6 3 2 3 5 3 4" xfId="19316" xr:uid="{F4B26CF8-592F-4957-90BE-C32427552FE6}"/>
    <cellStyle name="Standard 6 3 2 3 5 4" xfId="7359" xr:uid="{00000000-0005-0000-0000-0000C61C0000}"/>
    <cellStyle name="Standard 6 3 2 3 5 4 2" xfId="7360" xr:uid="{00000000-0005-0000-0000-0000C71C0000}"/>
    <cellStyle name="Standard 6 3 2 3 5 4 2 2" xfId="7361" xr:uid="{00000000-0005-0000-0000-0000C81C0000}"/>
    <cellStyle name="Standard 6 3 2 3 5 4 2 2 2" xfId="19322" xr:uid="{92246DC4-3687-490B-AE91-B9107854D697}"/>
    <cellStyle name="Standard 6 3 2 3 5 4 2 3" xfId="19321" xr:uid="{7BCCE191-D79E-4F63-B2A6-48D36EC5A4CB}"/>
    <cellStyle name="Standard 6 3 2 3 5 4 3" xfId="7362" xr:uid="{00000000-0005-0000-0000-0000C91C0000}"/>
    <cellStyle name="Standard 6 3 2 3 5 4 3 2" xfId="19323" xr:uid="{68DD0DB3-1B21-4995-B2AC-9B47C065BEA8}"/>
    <cellStyle name="Standard 6 3 2 3 5 4 4" xfId="19320" xr:uid="{C58E1B02-CD54-4131-9D76-D61CEFA982BD}"/>
    <cellStyle name="Standard 6 3 2 3 5 5" xfId="7363" xr:uid="{00000000-0005-0000-0000-0000CA1C0000}"/>
    <cellStyle name="Standard 6 3 2 3 5 5 2" xfId="7364" xr:uid="{00000000-0005-0000-0000-0000CB1C0000}"/>
    <cellStyle name="Standard 6 3 2 3 5 5 2 2" xfId="7365" xr:uid="{00000000-0005-0000-0000-0000CC1C0000}"/>
    <cellStyle name="Standard 6 3 2 3 5 5 2 2 2" xfId="19326" xr:uid="{EC381B4F-26EC-47C3-BB44-077DA006A208}"/>
    <cellStyle name="Standard 6 3 2 3 5 5 2 3" xfId="19325" xr:uid="{BC31284A-245B-4414-8C70-F9BB048C91B3}"/>
    <cellStyle name="Standard 6 3 2 3 5 5 3" xfId="7366" xr:uid="{00000000-0005-0000-0000-0000CD1C0000}"/>
    <cellStyle name="Standard 6 3 2 3 5 5 3 2" xfId="19327" xr:uid="{0CE8BDDF-01A1-4FFA-A7D3-B380CA734D9E}"/>
    <cellStyle name="Standard 6 3 2 3 5 5 4" xfId="19324" xr:uid="{A719275F-47CA-44D8-8EC7-8BA643D1A5D1}"/>
    <cellStyle name="Standard 6 3 2 3 5 6" xfId="7367" xr:uid="{00000000-0005-0000-0000-0000CE1C0000}"/>
    <cellStyle name="Standard 6 3 2 3 5 6 2" xfId="7368" xr:uid="{00000000-0005-0000-0000-0000CF1C0000}"/>
    <cellStyle name="Standard 6 3 2 3 5 6 2 2" xfId="7369" xr:uid="{00000000-0005-0000-0000-0000D01C0000}"/>
    <cellStyle name="Standard 6 3 2 3 5 6 2 2 2" xfId="19330" xr:uid="{17851C2D-E2DE-4A78-A483-7BC0BC8AE24C}"/>
    <cellStyle name="Standard 6 3 2 3 5 6 2 3" xfId="19329" xr:uid="{694BD85E-B3AB-4DBA-9B57-745FFD867E0B}"/>
    <cellStyle name="Standard 6 3 2 3 5 6 3" xfId="7370" xr:uid="{00000000-0005-0000-0000-0000D11C0000}"/>
    <cellStyle name="Standard 6 3 2 3 5 6 3 2" xfId="19331" xr:uid="{3703E079-4EFB-4752-B39C-E55539D514EA}"/>
    <cellStyle name="Standard 6 3 2 3 5 6 4" xfId="19328" xr:uid="{AA9B35D9-2F5E-488B-95E7-B586C1736980}"/>
    <cellStyle name="Standard 6 3 2 3 5 7" xfId="7371" xr:uid="{00000000-0005-0000-0000-0000D21C0000}"/>
    <cellStyle name="Standard 6 3 2 3 5 7 2" xfId="7372" xr:uid="{00000000-0005-0000-0000-0000D31C0000}"/>
    <cellStyle name="Standard 6 3 2 3 5 7 2 2" xfId="7373" xr:uid="{00000000-0005-0000-0000-0000D41C0000}"/>
    <cellStyle name="Standard 6 3 2 3 5 7 2 2 2" xfId="19334" xr:uid="{C268EBEA-9072-452D-903D-A459EEB62D4D}"/>
    <cellStyle name="Standard 6 3 2 3 5 7 2 3" xfId="19333" xr:uid="{F09F576F-E105-40F6-B994-283A379503EC}"/>
    <cellStyle name="Standard 6 3 2 3 5 7 3" xfId="7374" xr:uid="{00000000-0005-0000-0000-0000D51C0000}"/>
    <cellStyle name="Standard 6 3 2 3 5 7 3 2" xfId="19335" xr:uid="{B060B2F4-E326-4E00-A9CE-CAEF8F36ADAB}"/>
    <cellStyle name="Standard 6 3 2 3 5 7 4" xfId="19332" xr:uid="{5738CED0-6AC5-4CAB-B9A2-21AF5980277B}"/>
    <cellStyle name="Standard 6 3 2 3 5 8" xfId="7375" xr:uid="{00000000-0005-0000-0000-0000D61C0000}"/>
    <cellStyle name="Standard 6 3 2 3 5 8 2" xfId="7376" xr:uid="{00000000-0005-0000-0000-0000D71C0000}"/>
    <cellStyle name="Standard 6 3 2 3 5 8 2 2" xfId="7377" xr:uid="{00000000-0005-0000-0000-0000D81C0000}"/>
    <cellStyle name="Standard 6 3 2 3 5 8 2 2 2" xfId="19338" xr:uid="{2619F310-DDC5-4D16-99D6-FD1FB299F514}"/>
    <cellStyle name="Standard 6 3 2 3 5 8 2 3" xfId="19337" xr:uid="{600015B0-1F6C-45A0-A1BA-643ADAB81D55}"/>
    <cellStyle name="Standard 6 3 2 3 5 8 3" xfId="7378" xr:uid="{00000000-0005-0000-0000-0000D91C0000}"/>
    <cellStyle name="Standard 6 3 2 3 5 8 3 2" xfId="19339" xr:uid="{38C2DE12-242B-4654-A366-8BAD8D7A5E63}"/>
    <cellStyle name="Standard 6 3 2 3 5 8 4" xfId="19336" xr:uid="{961336D9-FA6C-4FCE-B22F-2008AA9B82F4}"/>
    <cellStyle name="Standard 6 3 2 3 5 9" xfId="7379" xr:uid="{00000000-0005-0000-0000-0000DA1C0000}"/>
    <cellStyle name="Standard 6 3 2 3 5 9 2" xfId="7380" xr:uid="{00000000-0005-0000-0000-0000DB1C0000}"/>
    <cellStyle name="Standard 6 3 2 3 5 9 2 2" xfId="19341" xr:uid="{18FE3C5C-C9E0-46C3-98DB-507E1B03DDEA}"/>
    <cellStyle name="Standard 6 3 2 3 5 9 3" xfId="19340" xr:uid="{AF299D6C-7595-4B70-AE42-C74CEEC135B8}"/>
    <cellStyle name="Standard 6 3 2 3 6" xfId="7381" xr:uid="{00000000-0005-0000-0000-0000DC1C0000}"/>
    <cellStyle name="Standard 6 3 2 3 6 10" xfId="7382" xr:uid="{00000000-0005-0000-0000-0000DD1C0000}"/>
    <cellStyle name="Standard 6 3 2 3 6 10 2" xfId="19343" xr:uid="{E667C5E3-14CD-4C39-B304-165561421C04}"/>
    <cellStyle name="Standard 6 3 2 3 6 11" xfId="19342" xr:uid="{1B9A7431-9C45-45FC-B070-79C8EE5D64A7}"/>
    <cellStyle name="Standard 6 3 2 3 6 2" xfId="7383" xr:uid="{00000000-0005-0000-0000-0000DE1C0000}"/>
    <cellStyle name="Standard 6 3 2 3 6 2 10" xfId="19344" xr:uid="{07CAE541-B9C0-4B7F-9B50-EC96418899FD}"/>
    <cellStyle name="Standard 6 3 2 3 6 2 2" xfId="7384" xr:uid="{00000000-0005-0000-0000-0000DF1C0000}"/>
    <cellStyle name="Standard 6 3 2 3 6 2 2 2" xfId="7385" xr:uid="{00000000-0005-0000-0000-0000E01C0000}"/>
    <cellStyle name="Standard 6 3 2 3 6 2 2 2 2" xfId="7386" xr:uid="{00000000-0005-0000-0000-0000E11C0000}"/>
    <cellStyle name="Standard 6 3 2 3 6 2 2 2 2 2" xfId="19347" xr:uid="{F33D58B2-3BEB-44F4-8A4C-0799B8858661}"/>
    <cellStyle name="Standard 6 3 2 3 6 2 2 2 3" xfId="19346" xr:uid="{43764EDA-3EC3-4945-9933-C04ADAC353FE}"/>
    <cellStyle name="Standard 6 3 2 3 6 2 2 3" xfId="7387" xr:uid="{00000000-0005-0000-0000-0000E21C0000}"/>
    <cellStyle name="Standard 6 3 2 3 6 2 2 3 2" xfId="19348" xr:uid="{62046745-5462-408C-8A6F-CAE0F8317CE9}"/>
    <cellStyle name="Standard 6 3 2 3 6 2 2 4" xfId="19345" xr:uid="{3EFCAD18-1C71-4B53-9F73-E7B31B01AB3F}"/>
    <cellStyle name="Standard 6 3 2 3 6 2 3" xfId="7388" xr:uid="{00000000-0005-0000-0000-0000E31C0000}"/>
    <cellStyle name="Standard 6 3 2 3 6 2 3 2" xfId="7389" xr:uid="{00000000-0005-0000-0000-0000E41C0000}"/>
    <cellStyle name="Standard 6 3 2 3 6 2 3 2 2" xfId="7390" xr:uid="{00000000-0005-0000-0000-0000E51C0000}"/>
    <cellStyle name="Standard 6 3 2 3 6 2 3 2 2 2" xfId="19351" xr:uid="{F20DD453-8D50-4A5D-86DE-E92F4763FA82}"/>
    <cellStyle name="Standard 6 3 2 3 6 2 3 2 3" xfId="19350" xr:uid="{EA3714BB-828A-4CE4-9850-4565E731CF8A}"/>
    <cellStyle name="Standard 6 3 2 3 6 2 3 3" xfId="7391" xr:uid="{00000000-0005-0000-0000-0000E61C0000}"/>
    <cellStyle name="Standard 6 3 2 3 6 2 3 3 2" xfId="19352" xr:uid="{5508CE4F-BBA4-4B47-9E4E-9151AC463B08}"/>
    <cellStyle name="Standard 6 3 2 3 6 2 3 4" xfId="19349" xr:uid="{4CA3A126-8FA8-451C-82D0-542740A1477E}"/>
    <cellStyle name="Standard 6 3 2 3 6 2 4" xfId="7392" xr:uid="{00000000-0005-0000-0000-0000E71C0000}"/>
    <cellStyle name="Standard 6 3 2 3 6 2 4 2" xfId="7393" xr:uid="{00000000-0005-0000-0000-0000E81C0000}"/>
    <cellStyle name="Standard 6 3 2 3 6 2 4 2 2" xfId="7394" xr:uid="{00000000-0005-0000-0000-0000E91C0000}"/>
    <cellStyle name="Standard 6 3 2 3 6 2 4 2 2 2" xfId="19355" xr:uid="{D6E7E2C6-F46C-46BA-B0B3-54117341E486}"/>
    <cellStyle name="Standard 6 3 2 3 6 2 4 2 3" xfId="19354" xr:uid="{C9EA504E-20A8-4FDA-ACB4-A21A5E757696}"/>
    <cellStyle name="Standard 6 3 2 3 6 2 4 3" xfId="7395" xr:uid="{00000000-0005-0000-0000-0000EA1C0000}"/>
    <cellStyle name="Standard 6 3 2 3 6 2 4 3 2" xfId="19356" xr:uid="{1E04E32D-4832-4FF5-A84F-BD28048E8470}"/>
    <cellStyle name="Standard 6 3 2 3 6 2 4 4" xfId="19353" xr:uid="{06B976F7-3767-4492-BE01-97333261C057}"/>
    <cellStyle name="Standard 6 3 2 3 6 2 5" xfId="7396" xr:uid="{00000000-0005-0000-0000-0000EB1C0000}"/>
    <cellStyle name="Standard 6 3 2 3 6 2 5 2" xfId="7397" xr:uid="{00000000-0005-0000-0000-0000EC1C0000}"/>
    <cellStyle name="Standard 6 3 2 3 6 2 5 2 2" xfId="7398" xr:uid="{00000000-0005-0000-0000-0000ED1C0000}"/>
    <cellStyle name="Standard 6 3 2 3 6 2 5 2 2 2" xfId="19359" xr:uid="{65734E8A-E1E6-4116-9667-3E02F77D0897}"/>
    <cellStyle name="Standard 6 3 2 3 6 2 5 2 3" xfId="19358" xr:uid="{BB459289-A7CA-4B21-B8A1-64ABEF0CBB2C}"/>
    <cellStyle name="Standard 6 3 2 3 6 2 5 3" xfId="7399" xr:uid="{00000000-0005-0000-0000-0000EE1C0000}"/>
    <cellStyle name="Standard 6 3 2 3 6 2 5 3 2" xfId="19360" xr:uid="{68176D86-58BA-4790-846B-B24E2EE8EBAC}"/>
    <cellStyle name="Standard 6 3 2 3 6 2 5 4" xfId="19357" xr:uid="{486BFA38-3D2C-4E5B-8B23-55955C3A1675}"/>
    <cellStyle name="Standard 6 3 2 3 6 2 6" xfId="7400" xr:uid="{00000000-0005-0000-0000-0000EF1C0000}"/>
    <cellStyle name="Standard 6 3 2 3 6 2 6 2" xfId="7401" xr:uid="{00000000-0005-0000-0000-0000F01C0000}"/>
    <cellStyle name="Standard 6 3 2 3 6 2 6 2 2" xfId="7402" xr:uid="{00000000-0005-0000-0000-0000F11C0000}"/>
    <cellStyle name="Standard 6 3 2 3 6 2 6 2 2 2" xfId="19363" xr:uid="{723A8414-FC92-46A5-B8D4-F9EEBBA02D15}"/>
    <cellStyle name="Standard 6 3 2 3 6 2 6 2 3" xfId="19362" xr:uid="{EBE2746F-0050-441A-B73F-052F050A7DC1}"/>
    <cellStyle name="Standard 6 3 2 3 6 2 6 3" xfId="7403" xr:uid="{00000000-0005-0000-0000-0000F21C0000}"/>
    <cellStyle name="Standard 6 3 2 3 6 2 6 3 2" xfId="19364" xr:uid="{D548DE36-B45D-4CF2-AC41-BAC3BD129FCB}"/>
    <cellStyle name="Standard 6 3 2 3 6 2 6 4" xfId="19361" xr:uid="{2C158ECA-B6B7-46FF-935C-42AE1CD6B7CB}"/>
    <cellStyle name="Standard 6 3 2 3 6 2 7" xfId="7404" xr:uid="{00000000-0005-0000-0000-0000F31C0000}"/>
    <cellStyle name="Standard 6 3 2 3 6 2 7 2" xfId="7405" xr:uid="{00000000-0005-0000-0000-0000F41C0000}"/>
    <cellStyle name="Standard 6 3 2 3 6 2 7 2 2" xfId="7406" xr:uid="{00000000-0005-0000-0000-0000F51C0000}"/>
    <cellStyle name="Standard 6 3 2 3 6 2 7 2 2 2" xfId="19367" xr:uid="{86E80FF8-6575-4944-99A9-AD77B56A1046}"/>
    <cellStyle name="Standard 6 3 2 3 6 2 7 2 3" xfId="19366" xr:uid="{CCB488B7-498E-4E0F-919E-B29CF3A6D77C}"/>
    <cellStyle name="Standard 6 3 2 3 6 2 7 3" xfId="7407" xr:uid="{00000000-0005-0000-0000-0000F61C0000}"/>
    <cellStyle name="Standard 6 3 2 3 6 2 7 3 2" xfId="19368" xr:uid="{DC2FF4AC-CD89-4EE2-8AC7-79E04B112866}"/>
    <cellStyle name="Standard 6 3 2 3 6 2 7 4" xfId="19365" xr:uid="{D907E7EF-B2AD-4C3A-AC5D-4074BD3548BE}"/>
    <cellStyle name="Standard 6 3 2 3 6 2 8" xfId="7408" xr:uid="{00000000-0005-0000-0000-0000F71C0000}"/>
    <cellStyle name="Standard 6 3 2 3 6 2 8 2" xfId="7409" xr:uid="{00000000-0005-0000-0000-0000F81C0000}"/>
    <cellStyle name="Standard 6 3 2 3 6 2 8 2 2" xfId="19370" xr:uid="{99125E09-2DB9-42F5-B827-15E1F48F4EF1}"/>
    <cellStyle name="Standard 6 3 2 3 6 2 8 3" xfId="19369" xr:uid="{3A6F7513-2E60-407C-A34A-B8FC06815C48}"/>
    <cellStyle name="Standard 6 3 2 3 6 2 9" xfId="7410" xr:uid="{00000000-0005-0000-0000-0000F91C0000}"/>
    <cellStyle name="Standard 6 3 2 3 6 2 9 2" xfId="19371" xr:uid="{548DFA60-1A54-43D0-AE94-78515BD02A3D}"/>
    <cellStyle name="Standard 6 3 2 3 6 3" xfId="7411" xr:uid="{00000000-0005-0000-0000-0000FA1C0000}"/>
    <cellStyle name="Standard 6 3 2 3 6 3 2" xfId="7412" xr:uid="{00000000-0005-0000-0000-0000FB1C0000}"/>
    <cellStyle name="Standard 6 3 2 3 6 3 2 2" xfId="7413" xr:uid="{00000000-0005-0000-0000-0000FC1C0000}"/>
    <cellStyle name="Standard 6 3 2 3 6 3 2 2 2" xfId="19374" xr:uid="{2365B6F9-300A-418B-B7B8-A9FD18C515D7}"/>
    <cellStyle name="Standard 6 3 2 3 6 3 2 3" xfId="19373" xr:uid="{5A49E2F3-684C-4914-A992-0EFCE3238686}"/>
    <cellStyle name="Standard 6 3 2 3 6 3 3" xfId="7414" xr:uid="{00000000-0005-0000-0000-0000FD1C0000}"/>
    <cellStyle name="Standard 6 3 2 3 6 3 3 2" xfId="19375" xr:uid="{BD6EA8E4-D5CD-4328-9020-3D362A5264E1}"/>
    <cellStyle name="Standard 6 3 2 3 6 3 4" xfId="19372" xr:uid="{B95F16B1-1BBF-4058-A3C4-0A09D357997B}"/>
    <cellStyle name="Standard 6 3 2 3 6 4" xfId="7415" xr:uid="{00000000-0005-0000-0000-0000FE1C0000}"/>
    <cellStyle name="Standard 6 3 2 3 6 4 2" xfId="7416" xr:uid="{00000000-0005-0000-0000-0000FF1C0000}"/>
    <cellStyle name="Standard 6 3 2 3 6 4 2 2" xfId="7417" xr:uid="{00000000-0005-0000-0000-0000001D0000}"/>
    <cellStyle name="Standard 6 3 2 3 6 4 2 2 2" xfId="19378" xr:uid="{C4B2333D-5385-42D2-B782-8D50D945DC87}"/>
    <cellStyle name="Standard 6 3 2 3 6 4 2 3" xfId="19377" xr:uid="{64010157-DACE-4058-AA0D-CDA991EF765D}"/>
    <cellStyle name="Standard 6 3 2 3 6 4 3" xfId="7418" xr:uid="{00000000-0005-0000-0000-0000011D0000}"/>
    <cellStyle name="Standard 6 3 2 3 6 4 3 2" xfId="19379" xr:uid="{937FD49D-98C7-45A0-9457-A3EF3359ED90}"/>
    <cellStyle name="Standard 6 3 2 3 6 4 4" xfId="19376" xr:uid="{C9368470-2968-4A04-A69C-8ECB6DE07560}"/>
    <cellStyle name="Standard 6 3 2 3 6 5" xfId="7419" xr:uid="{00000000-0005-0000-0000-0000021D0000}"/>
    <cellStyle name="Standard 6 3 2 3 6 5 2" xfId="7420" xr:uid="{00000000-0005-0000-0000-0000031D0000}"/>
    <cellStyle name="Standard 6 3 2 3 6 5 2 2" xfId="7421" xr:uid="{00000000-0005-0000-0000-0000041D0000}"/>
    <cellStyle name="Standard 6 3 2 3 6 5 2 2 2" xfId="19382" xr:uid="{4EFA7FBA-A0C9-4825-A0E9-25A9FE521C36}"/>
    <cellStyle name="Standard 6 3 2 3 6 5 2 3" xfId="19381" xr:uid="{0411D512-AF1A-45A7-B1CD-BF2B735341B5}"/>
    <cellStyle name="Standard 6 3 2 3 6 5 3" xfId="7422" xr:uid="{00000000-0005-0000-0000-0000051D0000}"/>
    <cellStyle name="Standard 6 3 2 3 6 5 3 2" xfId="19383" xr:uid="{3C4C8B75-5C05-4DCF-89A6-71119B8306CA}"/>
    <cellStyle name="Standard 6 3 2 3 6 5 4" xfId="19380" xr:uid="{E78EED0F-DBB5-4B8F-B6AB-1AA305C54326}"/>
    <cellStyle name="Standard 6 3 2 3 6 6" xfId="7423" xr:uid="{00000000-0005-0000-0000-0000061D0000}"/>
    <cellStyle name="Standard 6 3 2 3 6 6 2" xfId="7424" xr:uid="{00000000-0005-0000-0000-0000071D0000}"/>
    <cellStyle name="Standard 6 3 2 3 6 6 2 2" xfId="7425" xr:uid="{00000000-0005-0000-0000-0000081D0000}"/>
    <cellStyle name="Standard 6 3 2 3 6 6 2 2 2" xfId="19386" xr:uid="{509F1202-D82E-4BCE-B672-48025063E11D}"/>
    <cellStyle name="Standard 6 3 2 3 6 6 2 3" xfId="19385" xr:uid="{69BAACBE-3F93-42CF-88E2-3313EA52615B}"/>
    <cellStyle name="Standard 6 3 2 3 6 6 3" xfId="7426" xr:uid="{00000000-0005-0000-0000-0000091D0000}"/>
    <cellStyle name="Standard 6 3 2 3 6 6 3 2" xfId="19387" xr:uid="{A61AB5BF-DD83-476A-87AD-79645D4039A0}"/>
    <cellStyle name="Standard 6 3 2 3 6 6 4" xfId="19384" xr:uid="{7C2E130F-560B-4D0E-B025-3DA8D062558B}"/>
    <cellStyle name="Standard 6 3 2 3 6 7" xfId="7427" xr:uid="{00000000-0005-0000-0000-00000A1D0000}"/>
    <cellStyle name="Standard 6 3 2 3 6 7 2" xfId="7428" xr:uid="{00000000-0005-0000-0000-00000B1D0000}"/>
    <cellStyle name="Standard 6 3 2 3 6 7 2 2" xfId="7429" xr:uid="{00000000-0005-0000-0000-00000C1D0000}"/>
    <cellStyle name="Standard 6 3 2 3 6 7 2 2 2" xfId="19390" xr:uid="{97D4BBA4-1F77-46E2-AF9A-3030B465DF79}"/>
    <cellStyle name="Standard 6 3 2 3 6 7 2 3" xfId="19389" xr:uid="{1D3C6003-B76F-4B93-9BAB-B795E97AE31C}"/>
    <cellStyle name="Standard 6 3 2 3 6 7 3" xfId="7430" xr:uid="{00000000-0005-0000-0000-00000D1D0000}"/>
    <cellStyle name="Standard 6 3 2 3 6 7 3 2" xfId="19391" xr:uid="{98D8A101-1A98-4F62-9B0F-77E79DFEC811}"/>
    <cellStyle name="Standard 6 3 2 3 6 7 4" xfId="19388" xr:uid="{FFAA2B70-DD43-4C4B-9B70-62D47C3ADAFF}"/>
    <cellStyle name="Standard 6 3 2 3 6 8" xfId="7431" xr:uid="{00000000-0005-0000-0000-00000E1D0000}"/>
    <cellStyle name="Standard 6 3 2 3 6 8 2" xfId="7432" xr:uid="{00000000-0005-0000-0000-00000F1D0000}"/>
    <cellStyle name="Standard 6 3 2 3 6 8 2 2" xfId="7433" xr:uid="{00000000-0005-0000-0000-0000101D0000}"/>
    <cellStyle name="Standard 6 3 2 3 6 8 2 2 2" xfId="19394" xr:uid="{4743C41D-BB6F-4D8B-BAC5-93412E19DF76}"/>
    <cellStyle name="Standard 6 3 2 3 6 8 2 3" xfId="19393" xr:uid="{86DA93C5-9DBE-491E-9F10-D7790BB52774}"/>
    <cellStyle name="Standard 6 3 2 3 6 8 3" xfId="7434" xr:uid="{00000000-0005-0000-0000-0000111D0000}"/>
    <cellStyle name="Standard 6 3 2 3 6 8 3 2" xfId="19395" xr:uid="{6B4585B6-CF72-4FA3-AD77-EDBF2D7E34EA}"/>
    <cellStyle name="Standard 6 3 2 3 6 8 4" xfId="19392" xr:uid="{3757EFA9-178F-42C6-A74E-3568866E5AC4}"/>
    <cellStyle name="Standard 6 3 2 3 6 9" xfId="7435" xr:uid="{00000000-0005-0000-0000-0000121D0000}"/>
    <cellStyle name="Standard 6 3 2 3 6 9 2" xfId="7436" xr:uid="{00000000-0005-0000-0000-0000131D0000}"/>
    <cellStyle name="Standard 6 3 2 3 6 9 2 2" xfId="19397" xr:uid="{D16F68C4-BAB8-4831-92E1-95CFDD321FBE}"/>
    <cellStyle name="Standard 6 3 2 3 6 9 3" xfId="19396" xr:uid="{2393C166-F61A-4830-9C07-CD84ABD1E4B1}"/>
    <cellStyle name="Standard 6 3 2 3 7" xfId="7437" xr:uid="{00000000-0005-0000-0000-0000141D0000}"/>
    <cellStyle name="Standard 6 3 2 3 7 10" xfId="7438" xr:uid="{00000000-0005-0000-0000-0000151D0000}"/>
    <cellStyle name="Standard 6 3 2 3 7 10 2" xfId="19399" xr:uid="{E62D9BBC-4411-4481-AFFD-E8CBBC3B23C4}"/>
    <cellStyle name="Standard 6 3 2 3 7 11" xfId="19398" xr:uid="{C887D850-B444-4BB3-9A06-961186C76AB5}"/>
    <cellStyle name="Standard 6 3 2 3 7 2" xfId="7439" xr:uid="{00000000-0005-0000-0000-0000161D0000}"/>
    <cellStyle name="Standard 6 3 2 3 7 2 10" xfId="19400" xr:uid="{E3125B3A-E354-40D9-8AAA-1BFFB0AD24AB}"/>
    <cellStyle name="Standard 6 3 2 3 7 2 2" xfId="7440" xr:uid="{00000000-0005-0000-0000-0000171D0000}"/>
    <cellStyle name="Standard 6 3 2 3 7 2 2 2" xfId="7441" xr:uid="{00000000-0005-0000-0000-0000181D0000}"/>
    <cellStyle name="Standard 6 3 2 3 7 2 2 2 2" xfId="7442" xr:uid="{00000000-0005-0000-0000-0000191D0000}"/>
    <cellStyle name="Standard 6 3 2 3 7 2 2 2 2 2" xfId="19403" xr:uid="{87825DE0-5598-43E1-83F4-D9BB3A728A80}"/>
    <cellStyle name="Standard 6 3 2 3 7 2 2 2 3" xfId="19402" xr:uid="{245022B2-DF7E-4F2B-9A7C-ADE3D333E40E}"/>
    <cellStyle name="Standard 6 3 2 3 7 2 2 3" xfId="7443" xr:uid="{00000000-0005-0000-0000-00001A1D0000}"/>
    <cellStyle name="Standard 6 3 2 3 7 2 2 3 2" xfId="19404" xr:uid="{637F8183-450B-4530-BACF-F2CB3C20951D}"/>
    <cellStyle name="Standard 6 3 2 3 7 2 2 4" xfId="19401" xr:uid="{B9C087C2-465E-40B1-B39B-DC2F8FD40A3C}"/>
    <cellStyle name="Standard 6 3 2 3 7 2 3" xfId="7444" xr:uid="{00000000-0005-0000-0000-00001B1D0000}"/>
    <cellStyle name="Standard 6 3 2 3 7 2 3 2" xfId="7445" xr:uid="{00000000-0005-0000-0000-00001C1D0000}"/>
    <cellStyle name="Standard 6 3 2 3 7 2 3 2 2" xfId="7446" xr:uid="{00000000-0005-0000-0000-00001D1D0000}"/>
    <cellStyle name="Standard 6 3 2 3 7 2 3 2 2 2" xfId="19407" xr:uid="{1A35A438-7965-4109-9FF5-4A3A2EF1831D}"/>
    <cellStyle name="Standard 6 3 2 3 7 2 3 2 3" xfId="19406" xr:uid="{6D57C7C7-FAF8-4D31-9EB9-B41AD63EA446}"/>
    <cellStyle name="Standard 6 3 2 3 7 2 3 3" xfId="7447" xr:uid="{00000000-0005-0000-0000-00001E1D0000}"/>
    <cellStyle name="Standard 6 3 2 3 7 2 3 3 2" xfId="19408" xr:uid="{6ACF09A4-D274-462A-8B1D-E16B4FC453F2}"/>
    <cellStyle name="Standard 6 3 2 3 7 2 3 4" xfId="19405" xr:uid="{3A613E17-32F0-4529-994C-F0B0DECD5071}"/>
    <cellStyle name="Standard 6 3 2 3 7 2 4" xfId="7448" xr:uid="{00000000-0005-0000-0000-00001F1D0000}"/>
    <cellStyle name="Standard 6 3 2 3 7 2 4 2" xfId="7449" xr:uid="{00000000-0005-0000-0000-0000201D0000}"/>
    <cellStyle name="Standard 6 3 2 3 7 2 4 2 2" xfId="7450" xr:uid="{00000000-0005-0000-0000-0000211D0000}"/>
    <cellStyle name="Standard 6 3 2 3 7 2 4 2 2 2" xfId="19411" xr:uid="{187AB1C9-1866-4E70-9F9E-AB492FBBA59E}"/>
    <cellStyle name="Standard 6 3 2 3 7 2 4 2 3" xfId="19410" xr:uid="{2060C469-8D92-4978-B9A6-5DDE1B0C2808}"/>
    <cellStyle name="Standard 6 3 2 3 7 2 4 3" xfId="7451" xr:uid="{00000000-0005-0000-0000-0000221D0000}"/>
    <cellStyle name="Standard 6 3 2 3 7 2 4 3 2" xfId="19412" xr:uid="{CD6383A6-EEE7-47B1-B140-F97461958D4F}"/>
    <cellStyle name="Standard 6 3 2 3 7 2 4 4" xfId="19409" xr:uid="{DB7803F3-C8EC-46F3-8C56-98F6EE5FB542}"/>
    <cellStyle name="Standard 6 3 2 3 7 2 5" xfId="7452" xr:uid="{00000000-0005-0000-0000-0000231D0000}"/>
    <cellStyle name="Standard 6 3 2 3 7 2 5 2" xfId="7453" xr:uid="{00000000-0005-0000-0000-0000241D0000}"/>
    <cellStyle name="Standard 6 3 2 3 7 2 5 2 2" xfId="7454" xr:uid="{00000000-0005-0000-0000-0000251D0000}"/>
    <cellStyle name="Standard 6 3 2 3 7 2 5 2 2 2" xfId="19415" xr:uid="{72C49196-B9E9-452D-A040-18FB80F478AA}"/>
    <cellStyle name="Standard 6 3 2 3 7 2 5 2 3" xfId="19414" xr:uid="{52A94019-987C-4CE9-B903-6AF41D0E523E}"/>
    <cellStyle name="Standard 6 3 2 3 7 2 5 3" xfId="7455" xr:uid="{00000000-0005-0000-0000-0000261D0000}"/>
    <cellStyle name="Standard 6 3 2 3 7 2 5 3 2" xfId="19416" xr:uid="{061BDAD3-4AC4-4966-B114-DFBC1976DE0B}"/>
    <cellStyle name="Standard 6 3 2 3 7 2 5 4" xfId="19413" xr:uid="{B67CDD94-A948-4A0F-90BA-7B58E3A90C40}"/>
    <cellStyle name="Standard 6 3 2 3 7 2 6" xfId="7456" xr:uid="{00000000-0005-0000-0000-0000271D0000}"/>
    <cellStyle name="Standard 6 3 2 3 7 2 6 2" xfId="7457" xr:uid="{00000000-0005-0000-0000-0000281D0000}"/>
    <cellStyle name="Standard 6 3 2 3 7 2 6 2 2" xfId="7458" xr:uid="{00000000-0005-0000-0000-0000291D0000}"/>
    <cellStyle name="Standard 6 3 2 3 7 2 6 2 2 2" xfId="19419" xr:uid="{185763ED-9D6D-4B43-A5DD-ADB141826B5A}"/>
    <cellStyle name="Standard 6 3 2 3 7 2 6 2 3" xfId="19418" xr:uid="{E6320D87-CAC4-4068-94C5-EF55A5BC007E}"/>
    <cellStyle name="Standard 6 3 2 3 7 2 6 3" xfId="7459" xr:uid="{00000000-0005-0000-0000-00002A1D0000}"/>
    <cellStyle name="Standard 6 3 2 3 7 2 6 3 2" xfId="19420" xr:uid="{602D837B-860D-4505-AA11-8FAADE069950}"/>
    <cellStyle name="Standard 6 3 2 3 7 2 6 4" xfId="19417" xr:uid="{766D435A-E7B2-4FA4-9D52-C4FB877C90F5}"/>
    <cellStyle name="Standard 6 3 2 3 7 2 7" xfId="7460" xr:uid="{00000000-0005-0000-0000-00002B1D0000}"/>
    <cellStyle name="Standard 6 3 2 3 7 2 7 2" xfId="7461" xr:uid="{00000000-0005-0000-0000-00002C1D0000}"/>
    <cellStyle name="Standard 6 3 2 3 7 2 7 2 2" xfId="7462" xr:uid="{00000000-0005-0000-0000-00002D1D0000}"/>
    <cellStyle name="Standard 6 3 2 3 7 2 7 2 2 2" xfId="19423" xr:uid="{14EFCDC9-F3FF-4D17-9E88-C855653E71ED}"/>
    <cellStyle name="Standard 6 3 2 3 7 2 7 2 3" xfId="19422" xr:uid="{54BEC847-E12A-4B88-B5CC-7CAA89439978}"/>
    <cellStyle name="Standard 6 3 2 3 7 2 7 3" xfId="7463" xr:uid="{00000000-0005-0000-0000-00002E1D0000}"/>
    <cellStyle name="Standard 6 3 2 3 7 2 7 3 2" xfId="19424" xr:uid="{5F7A7116-30A6-49B8-B523-79A66381FD40}"/>
    <cellStyle name="Standard 6 3 2 3 7 2 7 4" xfId="19421" xr:uid="{AB50CA3D-6B05-4615-B522-0430561E5247}"/>
    <cellStyle name="Standard 6 3 2 3 7 2 8" xfId="7464" xr:uid="{00000000-0005-0000-0000-00002F1D0000}"/>
    <cellStyle name="Standard 6 3 2 3 7 2 8 2" xfId="7465" xr:uid="{00000000-0005-0000-0000-0000301D0000}"/>
    <cellStyle name="Standard 6 3 2 3 7 2 8 2 2" xfId="19426" xr:uid="{39F09469-E17C-4B4E-A1C8-D64047585052}"/>
    <cellStyle name="Standard 6 3 2 3 7 2 8 3" xfId="19425" xr:uid="{B69AB788-2556-431B-9073-60A0836347CA}"/>
    <cellStyle name="Standard 6 3 2 3 7 2 9" xfId="7466" xr:uid="{00000000-0005-0000-0000-0000311D0000}"/>
    <cellStyle name="Standard 6 3 2 3 7 2 9 2" xfId="19427" xr:uid="{B25C6505-CB28-4EF7-8187-497ABA91ADC8}"/>
    <cellStyle name="Standard 6 3 2 3 7 3" xfId="7467" xr:uid="{00000000-0005-0000-0000-0000321D0000}"/>
    <cellStyle name="Standard 6 3 2 3 7 3 2" xfId="7468" xr:uid="{00000000-0005-0000-0000-0000331D0000}"/>
    <cellStyle name="Standard 6 3 2 3 7 3 2 2" xfId="7469" xr:uid="{00000000-0005-0000-0000-0000341D0000}"/>
    <cellStyle name="Standard 6 3 2 3 7 3 2 2 2" xfId="19430" xr:uid="{683FEE51-533F-40F2-AACC-6328BE41C600}"/>
    <cellStyle name="Standard 6 3 2 3 7 3 2 3" xfId="19429" xr:uid="{CED54CC5-279B-4190-9CC7-5BDD5933E195}"/>
    <cellStyle name="Standard 6 3 2 3 7 3 3" xfId="7470" xr:uid="{00000000-0005-0000-0000-0000351D0000}"/>
    <cellStyle name="Standard 6 3 2 3 7 3 3 2" xfId="19431" xr:uid="{2F4AA216-0EF7-4B4F-8D75-571EF75CC607}"/>
    <cellStyle name="Standard 6 3 2 3 7 3 4" xfId="19428" xr:uid="{98A9A17A-E562-413F-AAF4-BB8740010346}"/>
    <cellStyle name="Standard 6 3 2 3 7 4" xfId="7471" xr:uid="{00000000-0005-0000-0000-0000361D0000}"/>
    <cellStyle name="Standard 6 3 2 3 7 4 2" xfId="7472" xr:uid="{00000000-0005-0000-0000-0000371D0000}"/>
    <cellStyle name="Standard 6 3 2 3 7 4 2 2" xfId="7473" xr:uid="{00000000-0005-0000-0000-0000381D0000}"/>
    <cellStyle name="Standard 6 3 2 3 7 4 2 2 2" xfId="19434" xr:uid="{0887BB17-350B-497E-B9B9-A9C0FC01281A}"/>
    <cellStyle name="Standard 6 3 2 3 7 4 2 3" xfId="19433" xr:uid="{CE8587AA-D6CC-4996-BE15-913E25F5446D}"/>
    <cellStyle name="Standard 6 3 2 3 7 4 3" xfId="7474" xr:uid="{00000000-0005-0000-0000-0000391D0000}"/>
    <cellStyle name="Standard 6 3 2 3 7 4 3 2" xfId="19435" xr:uid="{A066AAEE-5B62-4374-89E6-4539C11A8893}"/>
    <cellStyle name="Standard 6 3 2 3 7 4 4" xfId="19432" xr:uid="{E570A729-6B06-48A7-8E7C-3F8A418B08A6}"/>
    <cellStyle name="Standard 6 3 2 3 7 5" xfId="7475" xr:uid="{00000000-0005-0000-0000-00003A1D0000}"/>
    <cellStyle name="Standard 6 3 2 3 7 5 2" xfId="7476" xr:uid="{00000000-0005-0000-0000-00003B1D0000}"/>
    <cellStyle name="Standard 6 3 2 3 7 5 2 2" xfId="7477" xr:uid="{00000000-0005-0000-0000-00003C1D0000}"/>
    <cellStyle name="Standard 6 3 2 3 7 5 2 2 2" xfId="19438" xr:uid="{AE152E9E-E941-4799-BBBE-2D7D42A614A6}"/>
    <cellStyle name="Standard 6 3 2 3 7 5 2 3" xfId="19437" xr:uid="{52352B8B-36D2-4ADE-AAC8-3BAC6D632097}"/>
    <cellStyle name="Standard 6 3 2 3 7 5 3" xfId="7478" xr:uid="{00000000-0005-0000-0000-00003D1D0000}"/>
    <cellStyle name="Standard 6 3 2 3 7 5 3 2" xfId="19439" xr:uid="{021258CB-36CE-450C-BD2D-9053E9CA90E8}"/>
    <cellStyle name="Standard 6 3 2 3 7 5 4" xfId="19436" xr:uid="{E5193E12-B1F8-47E3-AFF4-D8A498DF7A94}"/>
    <cellStyle name="Standard 6 3 2 3 7 6" xfId="7479" xr:uid="{00000000-0005-0000-0000-00003E1D0000}"/>
    <cellStyle name="Standard 6 3 2 3 7 6 2" xfId="7480" xr:uid="{00000000-0005-0000-0000-00003F1D0000}"/>
    <cellStyle name="Standard 6 3 2 3 7 6 2 2" xfId="7481" xr:uid="{00000000-0005-0000-0000-0000401D0000}"/>
    <cellStyle name="Standard 6 3 2 3 7 6 2 2 2" xfId="19442" xr:uid="{884CC3D9-83D6-4FCF-AF03-22DD97508385}"/>
    <cellStyle name="Standard 6 3 2 3 7 6 2 3" xfId="19441" xr:uid="{B4F6CF13-6E2B-4309-8CA1-5A79CC133FAE}"/>
    <cellStyle name="Standard 6 3 2 3 7 6 3" xfId="7482" xr:uid="{00000000-0005-0000-0000-0000411D0000}"/>
    <cellStyle name="Standard 6 3 2 3 7 6 3 2" xfId="19443" xr:uid="{D552A80E-B13F-4CC5-8F6F-7EFCC5B5405C}"/>
    <cellStyle name="Standard 6 3 2 3 7 6 4" xfId="19440" xr:uid="{6FD41918-9549-473D-B959-A0F733BB83B9}"/>
    <cellStyle name="Standard 6 3 2 3 7 7" xfId="7483" xr:uid="{00000000-0005-0000-0000-0000421D0000}"/>
    <cellStyle name="Standard 6 3 2 3 7 7 2" xfId="7484" xr:uid="{00000000-0005-0000-0000-0000431D0000}"/>
    <cellStyle name="Standard 6 3 2 3 7 7 2 2" xfId="7485" xr:uid="{00000000-0005-0000-0000-0000441D0000}"/>
    <cellStyle name="Standard 6 3 2 3 7 7 2 2 2" xfId="19446" xr:uid="{8A867C72-A240-4E4D-9B51-021F276E71C8}"/>
    <cellStyle name="Standard 6 3 2 3 7 7 2 3" xfId="19445" xr:uid="{25053FED-0ADC-47AD-A0D5-D86C18AF1329}"/>
    <cellStyle name="Standard 6 3 2 3 7 7 3" xfId="7486" xr:uid="{00000000-0005-0000-0000-0000451D0000}"/>
    <cellStyle name="Standard 6 3 2 3 7 7 3 2" xfId="19447" xr:uid="{19A7EDBC-A5D5-44D8-AF0E-A58073231EC6}"/>
    <cellStyle name="Standard 6 3 2 3 7 7 4" xfId="19444" xr:uid="{B325C084-EAFF-467C-9C27-1C5FBFBAA86B}"/>
    <cellStyle name="Standard 6 3 2 3 7 8" xfId="7487" xr:uid="{00000000-0005-0000-0000-0000461D0000}"/>
    <cellStyle name="Standard 6 3 2 3 7 8 2" xfId="7488" xr:uid="{00000000-0005-0000-0000-0000471D0000}"/>
    <cellStyle name="Standard 6 3 2 3 7 8 2 2" xfId="7489" xr:uid="{00000000-0005-0000-0000-0000481D0000}"/>
    <cellStyle name="Standard 6 3 2 3 7 8 2 2 2" xfId="19450" xr:uid="{C7432D34-B823-41CE-B067-0251CFCBDD25}"/>
    <cellStyle name="Standard 6 3 2 3 7 8 2 3" xfId="19449" xr:uid="{E610E2EE-FDC1-42DE-B17F-05A87C9A0318}"/>
    <cellStyle name="Standard 6 3 2 3 7 8 3" xfId="7490" xr:uid="{00000000-0005-0000-0000-0000491D0000}"/>
    <cellStyle name="Standard 6 3 2 3 7 8 3 2" xfId="19451" xr:uid="{5799ECFE-416E-4C39-9FE8-E47FB5B173A7}"/>
    <cellStyle name="Standard 6 3 2 3 7 8 4" xfId="19448" xr:uid="{61221A28-1A2C-4786-8269-4E775D35A74E}"/>
    <cellStyle name="Standard 6 3 2 3 7 9" xfId="7491" xr:uid="{00000000-0005-0000-0000-00004A1D0000}"/>
    <cellStyle name="Standard 6 3 2 3 7 9 2" xfId="7492" xr:uid="{00000000-0005-0000-0000-00004B1D0000}"/>
    <cellStyle name="Standard 6 3 2 3 7 9 2 2" xfId="19453" xr:uid="{C909C9CA-3F8D-498C-8547-CEE696F75B62}"/>
    <cellStyle name="Standard 6 3 2 3 7 9 3" xfId="19452" xr:uid="{B08E0859-8E95-4C61-8FAF-031610030A25}"/>
    <cellStyle name="Standard 6 3 2 3 8" xfId="7493" xr:uid="{00000000-0005-0000-0000-00004C1D0000}"/>
    <cellStyle name="Standard 6 3 2 3 8 10" xfId="19454" xr:uid="{FBF2622E-AF7A-48F8-A7A2-BC9FB889F741}"/>
    <cellStyle name="Standard 6 3 2 3 8 2" xfId="7494" xr:uid="{00000000-0005-0000-0000-00004D1D0000}"/>
    <cellStyle name="Standard 6 3 2 3 8 2 2" xfId="7495" xr:uid="{00000000-0005-0000-0000-00004E1D0000}"/>
    <cellStyle name="Standard 6 3 2 3 8 2 2 2" xfId="7496" xr:uid="{00000000-0005-0000-0000-00004F1D0000}"/>
    <cellStyle name="Standard 6 3 2 3 8 2 2 2 2" xfId="19457" xr:uid="{47B41C37-0802-43BC-B54B-925202C8657C}"/>
    <cellStyle name="Standard 6 3 2 3 8 2 2 3" xfId="19456" xr:uid="{D76A7500-8D28-4078-9627-8C30538779A8}"/>
    <cellStyle name="Standard 6 3 2 3 8 2 3" xfId="7497" xr:uid="{00000000-0005-0000-0000-0000501D0000}"/>
    <cellStyle name="Standard 6 3 2 3 8 2 3 2" xfId="19458" xr:uid="{98FAC1E5-62B0-4B52-AECF-F13B097006ED}"/>
    <cellStyle name="Standard 6 3 2 3 8 2 4" xfId="19455" xr:uid="{0E559153-F161-49C8-958B-1713A86B5750}"/>
    <cellStyle name="Standard 6 3 2 3 8 3" xfId="7498" xr:uid="{00000000-0005-0000-0000-0000511D0000}"/>
    <cellStyle name="Standard 6 3 2 3 8 3 2" xfId="7499" xr:uid="{00000000-0005-0000-0000-0000521D0000}"/>
    <cellStyle name="Standard 6 3 2 3 8 3 2 2" xfId="7500" xr:uid="{00000000-0005-0000-0000-0000531D0000}"/>
    <cellStyle name="Standard 6 3 2 3 8 3 2 2 2" xfId="19461" xr:uid="{0544E48B-008E-4208-AF95-F9356C372A9A}"/>
    <cellStyle name="Standard 6 3 2 3 8 3 2 3" xfId="19460" xr:uid="{CD7B07D8-EB62-4C98-8D55-9E2E5F5F1BB5}"/>
    <cellStyle name="Standard 6 3 2 3 8 3 3" xfId="7501" xr:uid="{00000000-0005-0000-0000-0000541D0000}"/>
    <cellStyle name="Standard 6 3 2 3 8 3 3 2" xfId="19462" xr:uid="{DB0CD820-B034-4EED-AC5F-ADD2C91F2658}"/>
    <cellStyle name="Standard 6 3 2 3 8 3 4" xfId="19459" xr:uid="{62F1BB83-B5BF-4AAC-B958-40407A0E8B02}"/>
    <cellStyle name="Standard 6 3 2 3 8 4" xfId="7502" xr:uid="{00000000-0005-0000-0000-0000551D0000}"/>
    <cellStyle name="Standard 6 3 2 3 8 4 2" xfId="7503" xr:uid="{00000000-0005-0000-0000-0000561D0000}"/>
    <cellStyle name="Standard 6 3 2 3 8 4 2 2" xfId="7504" xr:uid="{00000000-0005-0000-0000-0000571D0000}"/>
    <cellStyle name="Standard 6 3 2 3 8 4 2 2 2" xfId="19465" xr:uid="{A29BF152-343E-4C60-8C44-F61709276365}"/>
    <cellStyle name="Standard 6 3 2 3 8 4 2 3" xfId="19464" xr:uid="{A1FDBEE8-3C37-42C7-9EB7-85FFC724BC96}"/>
    <cellStyle name="Standard 6 3 2 3 8 4 3" xfId="7505" xr:uid="{00000000-0005-0000-0000-0000581D0000}"/>
    <cellStyle name="Standard 6 3 2 3 8 4 3 2" xfId="19466" xr:uid="{E941647C-5917-425B-9393-F4F588834DEE}"/>
    <cellStyle name="Standard 6 3 2 3 8 4 4" xfId="19463" xr:uid="{E7B3A443-DBED-4FFF-92B6-79623ABD01BE}"/>
    <cellStyle name="Standard 6 3 2 3 8 5" xfId="7506" xr:uid="{00000000-0005-0000-0000-0000591D0000}"/>
    <cellStyle name="Standard 6 3 2 3 8 5 2" xfId="7507" xr:uid="{00000000-0005-0000-0000-00005A1D0000}"/>
    <cellStyle name="Standard 6 3 2 3 8 5 2 2" xfId="7508" xr:uid="{00000000-0005-0000-0000-00005B1D0000}"/>
    <cellStyle name="Standard 6 3 2 3 8 5 2 2 2" xfId="19469" xr:uid="{80DB3538-9FEC-477B-B085-93E103FDAAA6}"/>
    <cellStyle name="Standard 6 3 2 3 8 5 2 3" xfId="19468" xr:uid="{9D941D44-9CB4-4307-956F-84C35B565FA0}"/>
    <cellStyle name="Standard 6 3 2 3 8 5 3" xfId="7509" xr:uid="{00000000-0005-0000-0000-00005C1D0000}"/>
    <cellStyle name="Standard 6 3 2 3 8 5 3 2" xfId="19470" xr:uid="{F55CD30F-ADF1-4B82-93C6-CDFE07D142BD}"/>
    <cellStyle name="Standard 6 3 2 3 8 5 4" xfId="19467" xr:uid="{030EBF02-8152-4FA2-8378-FEE034B24749}"/>
    <cellStyle name="Standard 6 3 2 3 8 6" xfId="7510" xr:uid="{00000000-0005-0000-0000-00005D1D0000}"/>
    <cellStyle name="Standard 6 3 2 3 8 6 2" xfId="7511" xr:uid="{00000000-0005-0000-0000-00005E1D0000}"/>
    <cellStyle name="Standard 6 3 2 3 8 6 2 2" xfId="7512" xr:uid="{00000000-0005-0000-0000-00005F1D0000}"/>
    <cellStyle name="Standard 6 3 2 3 8 6 2 2 2" xfId="19473" xr:uid="{F012BA38-80A0-4F51-9A78-689F1366910D}"/>
    <cellStyle name="Standard 6 3 2 3 8 6 2 3" xfId="19472" xr:uid="{8DB1B9B6-1FDE-4CD8-A611-92C927524E3F}"/>
    <cellStyle name="Standard 6 3 2 3 8 6 3" xfId="7513" xr:uid="{00000000-0005-0000-0000-0000601D0000}"/>
    <cellStyle name="Standard 6 3 2 3 8 6 3 2" xfId="19474" xr:uid="{ABCA60EB-100B-42E2-93E4-6EBDD97F46A1}"/>
    <cellStyle name="Standard 6 3 2 3 8 6 4" xfId="19471" xr:uid="{AA31E82B-3090-4543-98E7-A670806D0004}"/>
    <cellStyle name="Standard 6 3 2 3 8 7" xfId="7514" xr:uid="{00000000-0005-0000-0000-0000611D0000}"/>
    <cellStyle name="Standard 6 3 2 3 8 7 2" xfId="7515" xr:uid="{00000000-0005-0000-0000-0000621D0000}"/>
    <cellStyle name="Standard 6 3 2 3 8 7 2 2" xfId="7516" xr:uid="{00000000-0005-0000-0000-0000631D0000}"/>
    <cellStyle name="Standard 6 3 2 3 8 7 2 2 2" xfId="19477" xr:uid="{F34341E0-5538-4E46-AF19-3D24D45DA6E7}"/>
    <cellStyle name="Standard 6 3 2 3 8 7 2 3" xfId="19476" xr:uid="{886C3E33-7B93-4EAB-81FC-C7DB1532C81C}"/>
    <cellStyle name="Standard 6 3 2 3 8 7 3" xfId="7517" xr:uid="{00000000-0005-0000-0000-0000641D0000}"/>
    <cellStyle name="Standard 6 3 2 3 8 7 3 2" xfId="19478" xr:uid="{4181E550-F911-4C4A-944B-CECA61EC52C9}"/>
    <cellStyle name="Standard 6 3 2 3 8 7 4" xfId="19475" xr:uid="{EE371360-2608-47EC-BC84-947D456B2D3C}"/>
    <cellStyle name="Standard 6 3 2 3 8 8" xfId="7518" xr:uid="{00000000-0005-0000-0000-0000651D0000}"/>
    <cellStyle name="Standard 6 3 2 3 8 8 2" xfId="7519" xr:uid="{00000000-0005-0000-0000-0000661D0000}"/>
    <cellStyle name="Standard 6 3 2 3 8 8 2 2" xfId="19480" xr:uid="{BC183B71-4993-4792-9118-A31628C08B66}"/>
    <cellStyle name="Standard 6 3 2 3 8 8 3" xfId="19479" xr:uid="{1DB25D27-43F4-4D30-81A9-3B6A1823264E}"/>
    <cellStyle name="Standard 6 3 2 3 8 9" xfId="7520" xr:uid="{00000000-0005-0000-0000-0000671D0000}"/>
    <cellStyle name="Standard 6 3 2 3 8 9 2" xfId="19481" xr:uid="{F2549288-4253-4AA8-90CD-BF5DA91899BA}"/>
    <cellStyle name="Standard 6 3 2 3 9" xfId="7521" xr:uid="{00000000-0005-0000-0000-0000681D0000}"/>
    <cellStyle name="Standard 6 3 2 3 9 2" xfId="7522" xr:uid="{00000000-0005-0000-0000-0000691D0000}"/>
    <cellStyle name="Standard 6 3 2 3 9 2 2" xfId="7523" xr:uid="{00000000-0005-0000-0000-00006A1D0000}"/>
    <cellStyle name="Standard 6 3 2 3 9 2 2 2" xfId="7524" xr:uid="{00000000-0005-0000-0000-00006B1D0000}"/>
    <cellStyle name="Standard 6 3 2 3 9 2 2 2 2" xfId="19485" xr:uid="{2A84BEEC-2CA9-4711-BFFF-C5D6FA83B1ED}"/>
    <cellStyle name="Standard 6 3 2 3 9 2 2 3" xfId="19484" xr:uid="{C8CDD422-29CF-4488-93B6-42ED91348A8F}"/>
    <cellStyle name="Standard 6 3 2 3 9 2 3" xfId="7525" xr:uid="{00000000-0005-0000-0000-00006C1D0000}"/>
    <cellStyle name="Standard 6 3 2 3 9 2 3 2" xfId="19486" xr:uid="{F1C5D0F9-FD7F-4D52-88BF-834E6981E0BC}"/>
    <cellStyle name="Standard 6 3 2 3 9 2 4" xfId="19483" xr:uid="{1A3BEDE8-783D-4AF6-92B1-5045EBB0B77A}"/>
    <cellStyle name="Standard 6 3 2 3 9 3" xfId="7526" xr:uid="{00000000-0005-0000-0000-00006D1D0000}"/>
    <cellStyle name="Standard 6 3 2 3 9 3 2" xfId="7527" xr:uid="{00000000-0005-0000-0000-00006E1D0000}"/>
    <cellStyle name="Standard 6 3 2 3 9 3 2 2" xfId="7528" xr:uid="{00000000-0005-0000-0000-00006F1D0000}"/>
    <cellStyle name="Standard 6 3 2 3 9 3 2 2 2" xfId="19489" xr:uid="{F1603D33-BA06-44BD-BC23-9E4349227828}"/>
    <cellStyle name="Standard 6 3 2 3 9 3 2 3" xfId="19488" xr:uid="{48485F91-DA90-4FE0-8267-6A56C793F0EC}"/>
    <cellStyle name="Standard 6 3 2 3 9 3 3" xfId="7529" xr:uid="{00000000-0005-0000-0000-0000701D0000}"/>
    <cellStyle name="Standard 6 3 2 3 9 3 3 2" xfId="19490" xr:uid="{CC543AB0-1929-4DB6-A2EF-530F35ED5525}"/>
    <cellStyle name="Standard 6 3 2 3 9 3 4" xfId="19487" xr:uid="{F0A66893-C523-42F8-B2F2-C96963A4CDCA}"/>
    <cellStyle name="Standard 6 3 2 3 9 4" xfId="7530" xr:uid="{00000000-0005-0000-0000-0000711D0000}"/>
    <cellStyle name="Standard 6 3 2 3 9 4 2" xfId="7531" xr:uid="{00000000-0005-0000-0000-0000721D0000}"/>
    <cellStyle name="Standard 6 3 2 3 9 4 2 2" xfId="7532" xr:uid="{00000000-0005-0000-0000-0000731D0000}"/>
    <cellStyle name="Standard 6 3 2 3 9 4 2 2 2" xfId="19493" xr:uid="{0B8F8F4C-BBE9-44AE-9978-2826E3F3F5E9}"/>
    <cellStyle name="Standard 6 3 2 3 9 4 2 3" xfId="19492" xr:uid="{5BEAD7ED-A1DD-41AC-A5B7-1ADD669F5668}"/>
    <cellStyle name="Standard 6 3 2 3 9 4 3" xfId="7533" xr:uid="{00000000-0005-0000-0000-0000741D0000}"/>
    <cellStyle name="Standard 6 3 2 3 9 4 3 2" xfId="19494" xr:uid="{FE8C5370-FEAA-4613-9AFA-65CF3CF918E8}"/>
    <cellStyle name="Standard 6 3 2 3 9 4 4" xfId="19491" xr:uid="{454D750A-99E3-421D-9BE2-80E5472235CE}"/>
    <cellStyle name="Standard 6 3 2 3 9 5" xfId="7534" xr:uid="{00000000-0005-0000-0000-0000751D0000}"/>
    <cellStyle name="Standard 6 3 2 3 9 5 2" xfId="7535" xr:uid="{00000000-0005-0000-0000-0000761D0000}"/>
    <cellStyle name="Standard 6 3 2 3 9 5 2 2" xfId="7536" xr:uid="{00000000-0005-0000-0000-0000771D0000}"/>
    <cellStyle name="Standard 6 3 2 3 9 5 2 2 2" xfId="19497" xr:uid="{300EF3BE-7CC7-4951-94AF-22F0732D1522}"/>
    <cellStyle name="Standard 6 3 2 3 9 5 2 3" xfId="19496" xr:uid="{F02CE9A5-7A20-429E-A829-C1A67CFCBB7D}"/>
    <cellStyle name="Standard 6 3 2 3 9 5 3" xfId="7537" xr:uid="{00000000-0005-0000-0000-0000781D0000}"/>
    <cellStyle name="Standard 6 3 2 3 9 5 3 2" xfId="19498" xr:uid="{496A8E1D-2954-4B5A-95E3-C96D5C9E0985}"/>
    <cellStyle name="Standard 6 3 2 3 9 5 4" xfId="19495" xr:uid="{F63E76F6-D2E2-408C-80B4-F8789BE900B8}"/>
    <cellStyle name="Standard 6 3 2 3 9 6" xfId="7538" xr:uid="{00000000-0005-0000-0000-0000791D0000}"/>
    <cellStyle name="Standard 6 3 2 3 9 6 2" xfId="7539" xr:uid="{00000000-0005-0000-0000-00007A1D0000}"/>
    <cellStyle name="Standard 6 3 2 3 9 6 2 2" xfId="7540" xr:uid="{00000000-0005-0000-0000-00007B1D0000}"/>
    <cellStyle name="Standard 6 3 2 3 9 6 2 2 2" xfId="19501" xr:uid="{0B7D71A1-DE90-4D72-96E4-9023CF87894F}"/>
    <cellStyle name="Standard 6 3 2 3 9 6 2 3" xfId="19500" xr:uid="{E2BDA82E-E828-49F4-A6D1-F39A06573314}"/>
    <cellStyle name="Standard 6 3 2 3 9 6 3" xfId="7541" xr:uid="{00000000-0005-0000-0000-00007C1D0000}"/>
    <cellStyle name="Standard 6 3 2 3 9 6 3 2" xfId="19502" xr:uid="{ACAF6802-AB0F-4880-BE34-8D6AA274C8D8}"/>
    <cellStyle name="Standard 6 3 2 3 9 6 4" xfId="19499" xr:uid="{0E5AFEAE-A777-4761-958A-0528B7BBFB8B}"/>
    <cellStyle name="Standard 6 3 2 3 9 7" xfId="7542" xr:uid="{00000000-0005-0000-0000-00007D1D0000}"/>
    <cellStyle name="Standard 6 3 2 3 9 7 2" xfId="7543" xr:uid="{00000000-0005-0000-0000-00007E1D0000}"/>
    <cellStyle name="Standard 6 3 2 3 9 7 2 2" xfId="19504" xr:uid="{934B508B-5FFB-4EDD-92CC-91BA54469729}"/>
    <cellStyle name="Standard 6 3 2 3 9 7 3" xfId="19503" xr:uid="{63DBDA4E-BC38-4348-B736-C2C2B9E10842}"/>
    <cellStyle name="Standard 6 3 2 3 9 8" xfId="7544" xr:uid="{00000000-0005-0000-0000-00007F1D0000}"/>
    <cellStyle name="Standard 6 3 2 3 9 8 2" xfId="19505" xr:uid="{6F750F12-FA60-47C5-BB47-A3886B7B1D21}"/>
    <cellStyle name="Standard 6 3 2 3 9 9" xfId="19482" xr:uid="{DDC93834-4765-4B58-A0A0-6BB6C951AEC7}"/>
    <cellStyle name="Standard 6 3 2 4" xfId="7545" xr:uid="{00000000-0005-0000-0000-0000801D0000}"/>
    <cellStyle name="Standard 6 3 2 4 10" xfId="7546" xr:uid="{00000000-0005-0000-0000-0000811D0000}"/>
    <cellStyle name="Standard 6 3 2 4 10 2" xfId="7547" xr:uid="{00000000-0005-0000-0000-0000821D0000}"/>
    <cellStyle name="Standard 6 3 2 4 10 2 2" xfId="19508" xr:uid="{607209C4-B805-45E1-8605-1C8B9A83F1F6}"/>
    <cellStyle name="Standard 6 3 2 4 10 3" xfId="19507" xr:uid="{FD480161-F91E-4107-8FAD-863B2E29C695}"/>
    <cellStyle name="Standard 6 3 2 4 11" xfId="7548" xr:uid="{00000000-0005-0000-0000-0000831D0000}"/>
    <cellStyle name="Standard 6 3 2 4 11 2" xfId="19509" xr:uid="{EB40967F-1C9A-442F-A2B0-6FBDA4E0415C}"/>
    <cellStyle name="Standard 6 3 2 4 12" xfId="19506" xr:uid="{74816703-3174-4026-8038-FB4C05585228}"/>
    <cellStyle name="Standard 6 3 2 4 2" xfId="7549" xr:uid="{00000000-0005-0000-0000-0000841D0000}"/>
    <cellStyle name="Standard 6 3 2 4 2 10" xfId="7550" xr:uid="{00000000-0005-0000-0000-0000851D0000}"/>
    <cellStyle name="Standard 6 3 2 4 2 10 2" xfId="19511" xr:uid="{E64EE5B4-FE46-4229-97A2-2EC59A201B74}"/>
    <cellStyle name="Standard 6 3 2 4 2 11" xfId="19510" xr:uid="{A437C29E-6636-4A21-90C5-A5C4C9774D17}"/>
    <cellStyle name="Standard 6 3 2 4 2 2" xfId="7551" xr:uid="{00000000-0005-0000-0000-0000861D0000}"/>
    <cellStyle name="Standard 6 3 2 4 2 2 10" xfId="19512" xr:uid="{8E0D2C9D-AF32-40FD-A0A1-43F01D323741}"/>
    <cellStyle name="Standard 6 3 2 4 2 2 2" xfId="7552" xr:uid="{00000000-0005-0000-0000-0000871D0000}"/>
    <cellStyle name="Standard 6 3 2 4 2 2 2 2" xfId="7553" xr:uid="{00000000-0005-0000-0000-0000881D0000}"/>
    <cellStyle name="Standard 6 3 2 4 2 2 2 2 2" xfId="7554" xr:uid="{00000000-0005-0000-0000-0000891D0000}"/>
    <cellStyle name="Standard 6 3 2 4 2 2 2 2 2 2" xfId="19515" xr:uid="{E2D42B29-C58B-474E-887C-60875DCC4DC9}"/>
    <cellStyle name="Standard 6 3 2 4 2 2 2 2 3" xfId="19514" xr:uid="{15FB1CA5-CC92-4CFE-AB9A-D6CA648A9599}"/>
    <cellStyle name="Standard 6 3 2 4 2 2 2 3" xfId="7555" xr:uid="{00000000-0005-0000-0000-00008A1D0000}"/>
    <cellStyle name="Standard 6 3 2 4 2 2 2 3 2" xfId="19516" xr:uid="{B57ADCDE-6194-447B-95C0-E9039464D990}"/>
    <cellStyle name="Standard 6 3 2 4 2 2 2 4" xfId="19513" xr:uid="{00577F25-0B1E-4A1D-B97A-5BEEEE56EC0F}"/>
    <cellStyle name="Standard 6 3 2 4 2 2 3" xfId="7556" xr:uid="{00000000-0005-0000-0000-00008B1D0000}"/>
    <cellStyle name="Standard 6 3 2 4 2 2 3 2" xfId="7557" xr:uid="{00000000-0005-0000-0000-00008C1D0000}"/>
    <cellStyle name="Standard 6 3 2 4 2 2 3 2 2" xfId="7558" xr:uid="{00000000-0005-0000-0000-00008D1D0000}"/>
    <cellStyle name="Standard 6 3 2 4 2 2 3 2 2 2" xfId="19519" xr:uid="{F78A4D68-1FCD-4D08-A219-F969A6C0F521}"/>
    <cellStyle name="Standard 6 3 2 4 2 2 3 2 3" xfId="19518" xr:uid="{2D252581-0D37-4E99-969C-7712106B3790}"/>
    <cellStyle name="Standard 6 3 2 4 2 2 3 3" xfId="7559" xr:uid="{00000000-0005-0000-0000-00008E1D0000}"/>
    <cellStyle name="Standard 6 3 2 4 2 2 3 3 2" xfId="19520" xr:uid="{F33F5660-5257-4AFF-9E30-752F59355820}"/>
    <cellStyle name="Standard 6 3 2 4 2 2 3 4" xfId="19517" xr:uid="{A2004EEF-F741-4791-9CAE-58430718650F}"/>
    <cellStyle name="Standard 6 3 2 4 2 2 4" xfId="7560" xr:uid="{00000000-0005-0000-0000-00008F1D0000}"/>
    <cellStyle name="Standard 6 3 2 4 2 2 4 2" xfId="7561" xr:uid="{00000000-0005-0000-0000-0000901D0000}"/>
    <cellStyle name="Standard 6 3 2 4 2 2 4 2 2" xfId="7562" xr:uid="{00000000-0005-0000-0000-0000911D0000}"/>
    <cellStyle name="Standard 6 3 2 4 2 2 4 2 2 2" xfId="19523" xr:uid="{B1B94450-4B08-438F-A6BB-9B764016B619}"/>
    <cellStyle name="Standard 6 3 2 4 2 2 4 2 3" xfId="19522" xr:uid="{D1BCFA7A-5423-4B4F-BD59-3472CE816C70}"/>
    <cellStyle name="Standard 6 3 2 4 2 2 4 3" xfId="7563" xr:uid="{00000000-0005-0000-0000-0000921D0000}"/>
    <cellStyle name="Standard 6 3 2 4 2 2 4 3 2" xfId="19524" xr:uid="{F56E5D36-3761-447B-B74F-020E221EFF00}"/>
    <cellStyle name="Standard 6 3 2 4 2 2 4 4" xfId="19521" xr:uid="{742F3E89-18D2-4E2F-9D26-2E900C7D4A4F}"/>
    <cellStyle name="Standard 6 3 2 4 2 2 5" xfId="7564" xr:uid="{00000000-0005-0000-0000-0000931D0000}"/>
    <cellStyle name="Standard 6 3 2 4 2 2 5 2" xfId="7565" xr:uid="{00000000-0005-0000-0000-0000941D0000}"/>
    <cellStyle name="Standard 6 3 2 4 2 2 5 2 2" xfId="7566" xr:uid="{00000000-0005-0000-0000-0000951D0000}"/>
    <cellStyle name="Standard 6 3 2 4 2 2 5 2 2 2" xfId="19527" xr:uid="{B40B480A-6A87-4220-A760-C3844FB49A35}"/>
    <cellStyle name="Standard 6 3 2 4 2 2 5 2 3" xfId="19526" xr:uid="{F80B9D6F-F7A1-4638-BBDC-3761B13CDE07}"/>
    <cellStyle name="Standard 6 3 2 4 2 2 5 3" xfId="7567" xr:uid="{00000000-0005-0000-0000-0000961D0000}"/>
    <cellStyle name="Standard 6 3 2 4 2 2 5 3 2" xfId="19528" xr:uid="{26EA9417-E4DC-41FF-ADC4-6D06E464037C}"/>
    <cellStyle name="Standard 6 3 2 4 2 2 5 4" xfId="19525" xr:uid="{9EBA3BEC-4278-4A15-A7DD-1296DBD4B3E2}"/>
    <cellStyle name="Standard 6 3 2 4 2 2 6" xfId="7568" xr:uid="{00000000-0005-0000-0000-0000971D0000}"/>
    <cellStyle name="Standard 6 3 2 4 2 2 6 2" xfId="7569" xr:uid="{00000000-0005-0000-0000-0000981D0000}"/>
    <cellStyle name="Standard 6 3 2 4 2 2 6 2 2" xfId="7570" xr:uid="{00000000-0005-0000-0000-0000991D0000}"/>
    <cellStyle name="Standard 6 3 2 4 2 2 6 2 2 2" xfId="19531" xr:uid="{053CC427-CC53-4829-A4AB-D3DCB3A60342}"/>
    <cellStyle name="Standard 6 3 2 4 2 2 6 2 3" xfId="19530" xr:uid="{C18E70B4-3AE7-4945-AE39-2B57A45BC98E}"/>
    <cellStyle name="Standard 6 3 2 4 2 2 6 3" xfId="7571" xr:uid="{00000000-0005-0000-0000-00009A1D0000}"/>
    <cellStyle name="Standard 6 3 2 4 2 2 6 3 2" xfId="19532" xr:uid="{D9CF75A4-39F8-4F77-AA62-8A7E56597728}"/>
    <cellStyle name="Standard 6 3 2 4 2 2 6 4" xfId="19529" xr:uid="{33585F17-4DC5-4D14-B235-8EA71B91506F}"/>
    <cellStyle name="Standard 6 3 2 4 2 2 7" xfId="7572" xr:uid="{00000000-0005-0000-0000-00009B1D0000}"/>
    <cellStyle name="Standard 6 3 2 4 2 2 7 2" xfId="7573" xr:uid="{00000000-0005-0000-0000-00009C1D0000}"/>
    <cellStyle name="Standard 6 3 2 4 2 2 7 2 2" xfId="7574" xr:uid="{00000000-0005-0000-0000-00009D1D0000}"/>
    <cellStyle name="Standard 6 3 2 4 2 2 7 2 2 2" xfId="19535" xr:uid="{25B53551-CF48-4B8E-8C73-E407443EA511}"/>
    <cellStyle name="Standard 6 3 2 4 2 2 7 2 3" xfId="19534" xr:uid="{CB5B593A-1CEA-4471-9270-AC847740F095}"/>
    <cellStyle name="Standard 6 3 2 4 2 2 7 3" xfId="7575" xr:uid="{00000000-0005-0000-0000-00009E1D0000}"/>
    <cellStyle name="Standard 6 3 2 4 2 2 7 3 2" xfId="19536" xr:uid="{6E9A284F-CB9C-4FBF-BB46-B8633EE0A931}"/>
    <cellStyle name="Standard 6 3 2 4 2 2 7 4" xfId="19533" xr:uid="{85A9241B-2501-46D7-BBF1-AD6721F69350}"/>
    <cellStyle name="Standard 6 3 2 4 2 2 8" xfId="7576" xr:uid="{00000000-0005-0000-0000-00009F1D0000}"/>
    <cellStyle name="Standard 6 3 2 4 2 2 8 2" xfId="7577" xr:uid="{00000000-0005-0000-0000-0000A01D0000}"/>
    <cellStyle name="Standard 6 3 2 4 2 2 8 2 2" xfId="19538" xr:uid="{6BC81DA7-C902-4CDC-B2C1-1A354B34BDD0}"/>
    <cellStyle name="Standard 6 3 2 4 2 2 8 3" xfId="19537" xr:uid="{FC191210-D2B9-4CA8-BEAF-880054AC0CD6}"/>
    <cellStyle name="Standard 6 3 2 4 2 2 9" xfId="7578" xr:uid="{00000000-0005-0000-0000-0000A11D0000}"/>
    <cellStyle name="Standard 6 3 2 4 2 2 9 2" xfId="19539" xr:uid="{7D28D450-3122-47EE-A374-18B86D4BA55E}"/>
    <cellStyle name="Standard 6 3 2 4 2 3" xfId="7579" xr:uid="{00000000-0005-0000-0000-0000A21D0000}"/>
    <cellStyle name="Standard 6 3 2 4 2 3 2" xfId="7580" xr:uid="{00000000-0005-0000-0000-0000A31D0000}"/>
    <cellStyle name="Standard 6 3 2 4 2 3 2 2" xfId="7581" xr:uid="{00000000-0005-0000-0000-0000A41D0000}"/>
    <cellStyle name="Standard 6 3 2 4 2 3 2 2 2" xfId="19542" xr:uid="{1C967721-E8A0-4511-88D5-B245550F1B81}"/>
    <cellStyle name="Standard 6 3 2 4 2 3 2 3" xfId="19541" xr:uid="{501ACA51-882F-42E8-BE01-7208E97F9A86}"/>
    <cellStyle name="Standard 6 3 2 4 2 3 3" xfId="7582" xr:uid="{00000000-0005-0000-0000-0000A51D0000}"/>
    <cellStyle name="Standard 6 3 2 4 2 3 3 2" xfId="19543" xr:uid="{FD5ABB11-0E4D-44D4-AE22-4DC0846000F2}"/>
    <cellStyle name="Standard 6 3 2 4 2 3 4" xfId="19540" xr:uid="{14AE7C35-E5FA-4011-8154-A884C186CE00}"/>
    <cellStyle name="Standard 6 3 2 4 2 4" xfId="7583" xr:uid="{00000000-0005-0000-0000-0000A61D0000}"/>
    <cellStyle name="Standard 6 3 2 4 2 4 2" xfId="7584" xr:uid="{00000000-0005-0000-0000-0000A71D0000}"/>
    <cellStyle name="Standard 6 3 2 4 2 4 2 2" xfId="7585" xr:uid="{00000000-0005-0000-0000-0000A81D0000}"/>
    <cellStyle name="Standard 6 3 2 4 2 4 2 2 2" xfId="19546" xr:uid="{1011ED8E-BEBD-4811-99D5-A2BC4498184F}"/>
    <cellStyle name="Standard 6 3 2 4 2 4 2 3" xfId="19545" xr:uid="{41D07F38-1FF3-4C24-A783-987ADF412D61}"/>
    <cellStyle name="Standard 6 3 2 4 2 4 3" xfId="7586" xr:uid="{00000000-0005-0000-0000-0000A91D0000}"/>
    <cellStyle name="Standard 6 3 2 4 2 4 3 2" xfId="19547" xr:uid="{8EE3C1D5-269B-470A-B5A6-81D6A752C51E}"/>
    <cellStyle name="Standard 6 3 2 4 2 4 4" xfId="19544" xr:uid="{939B9E19-424B-4B99-8D1A-539710B1B0BF}"/>
    <cellStyle name="Standard 6 3 2 4 2 5" xfId="7587" xr:uid="{00000000-0005-0000-0000-0000AA1D0000}"/>
    <cellStyle name="Standard 6 3 2 4 2 5 2" xfId="7588" xr:uid="{00000000-0005-0000-0000-0000AB1D0000}"/>
    <cellStyle name="Standard 6 3 2 4 2 5 2 2" xfId="7589" xr:uid="{00000000-0005-0000-0000-0000AC1D0000}"/>
    <cellStyle name="Standard 6 3 2 4 2 5 2 2 2" xfId="19550" xr:uid="{ACC331E4-C908-4B57-842D-433D2947ACA2}"/>
    <cellStyle name="Standard 6 3 2 4 2 5 2 3" xfId="19549" xr:uid="{C1184071-70CD-4C25-97AC-CE7785A18213}"/>
    <cellStyle name="Standard 6 3 2 4 2 5 3" xfId="7590" xr:uid="{00000000-0005-0000-0000-0000AD1D0000}"/>
    <cellStyle name="Standard 6 3 2 4 2 5 3 2" xfId="19551" xr:uid="{C6A6A4EE-992F-48F4-B825-C546BC8F39DB}"/>
    <cellStyle name="Standard 6 3 2 4 2 5 4" xfId="19548" xr:uid="{1195DD1A-8BF1-4FD2-86C8-636FD3E9D265}"/>
    <cellStyle name="Standard 6 3 2 4 2 6" xfId="7591" xr:uid="{00000000-0005-0000-0000-0000AE1D0000}"/>
    <cellStyle name="Standard 6 3 2 4 2 6 2" xfId="7592" xr:uid="{00000000-0005-0000-0000-0000AF1D0000}"/>
    <cellStyle name="Standard 6 3 2 4 2 6 2 2" xfId="7593" xr:uid="{00000000-0005-0000-0000-0000B01D0000}"/>
    <cellStyle name="Standard 6 3 2 4 2 6 2 2 2" xfId="19554" xr:uid="{06AA0FC5-E92C-4C90-BD75-E60FF3787CEC}"/>
    <cellStyle name="Standard 6 3 2 4 2 6 2 3" xfId="19553" xr:uid="{12683AC4-13BB-4D1B-BD3C-6A0440256EEB}"/>
    <cellStyle name="Standard 6 3 2 4 2 6 3" xfId="7594" xr:uid="{00000000-0005-0000-0000-0000B11D0000}"/>
    <cellStyle name="Standard 6 3 2 4 2 6 3 2" xfId="19555" xr:uid="{EA714979-DFAA-41DD-9A2B-D0180AC29CFA}"/>
    <cellStyle name="Standard 6 3 2 4 2 6 4" xfId="19552" xr:uid="{EFDB5073-482A-495D-A48D-E9B3AEAE2B26}"/>
    <cellStyle name="Standard 6 3 2 4 2 7" xfId="7595" xr:uid="{00000000-0005-0000-0000-0000B21D0000}"/>
    <cellStyle name="Standard 6 3 2 4 2 7 2" xfId="7596" xr:uid="{00000000-0005-0000-0000-0000B31D0000}"/>
    <cellStyle name="Standard 6 3 2 4 2 7 2 2" xfId="7597" xr:uid="{00000000-0005-0000-0000-0000B41D0000}"/>
    <cellStyle name="Standard 6 3 2 4 2 7 2 2 2" xfId="19558" xr:uid="{CDE2DDC4-E4B3-4DC9-975F-8E4D796C2047}"/>
    <cellStyle name="Standard 6 3 2 4 2 7 2 3" xfId="19557" xr:uid="{A75668B0-7964-46C7-B6E4-12E4C1A3B157}"/>
    <cellStyle name="Standard 6 3 2 4 2 7 3" xfId="7598" xr:uid="{00000000-0005-0000-0000-0000B51D0000}"/>
    <cellStyle name="Standard 6 3 2 4 2 7 3 2" xfId="19559" xr:uid="{5A6086A4-0E9B-4E21-BAB6-5F4BFA52863D}"/>
    <cellStyle name="Standard 6 3 2 4 2 7 4" xfId="19556" xr:uid="{542B2E6A-865F-4FD5-8235-E0A073F0DE43}"/>
    <cellStyle name="Standard 6 3 2 4 2 8" xfId="7599" xr:uid="{00000000-0005-0000-0000-0000B61D0000}"/>
    <cellStyle name="Standard 6 3 2 4 2 8 2" xfId="7600" xr:uid="{00000000-0005-0000-0000-0000B71D0000}"/>
    <cellStyle name="Standard 6 3 2 4 2 8 2 2" xfId="7601" xr:uid="{00000000-0005-0000-0000-0000B81D0000}"/>
    <cellStyle name="Standard 6 3 2 4 2 8 2 2 2" xfId="19562" xr:uid="{05B4EBF2-A036-4BF9-AFD8-0D4C27981C9C}"/>
    <cellStyle name="Standard 6 3 2 4 2 8 2 3" xfId="19561" xr:uid="{18D1B39C-051A-4C64-8C78-4136D416B5DD}"/>
    <cellStyle name="Standard 6 3 2 4 2 8 3" xfId="7602" xr:uid="{00000000-0005-0000-0000-0000B91D0000}"/>
    <cellStyle name="Standard 6 3 2 4 2 8 3 2" xfId="19563" xr:uid="{9FE18E55-B30D-414A-A62A-80708C7C9C5F}"/>
    <cellStyle name="Standard 6 3 2 4 2 8 4" xfId="19560" xr:uid="{933EC8EF-954D-44FB-8D72-849111C85ADA}"/>
    <cellStyle name="Standard 6 3 2 4 2 9" xfId="7603" xr:uid="{00000000-0005-0000-0000-0000BA1D0000}"/>
    <cellStyle name="Standard 6 3 2 4 2 9 2" xfId="7604" xr:uid="{00000000-0005-0000-0000-0000BB1D0000}"/>
    <cellStyle name="Standard 6 3 2 4 2 9 2 2" xfId="19565" xr:uid="{DF555788-06FE-48F6-86CE-1FB07CAED762}"/>
    <cellStyle name="Standard 6 3 2 4 2 9 3" xfId="19564" xr:uid="{60AD96D8-58FC-4E4C-91E6-B63969C0F8D3}"/>
    <cellStyle name="Standard 6 3 2 4 3" xfId="7605" xr:uid="{00000000-0005-0000-0000-0000BC1D0000}"/>
    <cellStyle name="Standard 6 3 2 4 3 10" xfId="19566" xr:uid="{12126AB4-9E15-4755-AE79-BD7EE14A9908}"/>
    <cellStyle name="Standard 6 3 2 4 3 2" xfId="7606" xr:uid="{00000000-0005-0000-0000-0000BD1D0000}"/>
    <cellStyle name="Standard 6 3 2 4 3 2 2" xfId="7607" xr:uid="{00000000-0005-0000-0000-0000BE1D0000}"/>
    <cellStyle name="Standard 6 3 2 4 3 2 2 2" xfId="7608" xr:uid="{00000000-0005-0000-0000-0000BF1D0000}"/>
    <cellStyle name="Standard 6 3 2 4 3 2 2 2 2" xfId="19569" xr:uid="{EB7A7900-04BA-4861-91FA-52EA602238A8}"/>
    <cellStyle name="Standard 6 3 2 4 3 2 2 3" xfId="19568" xr:uid="{4610EDDB-CBA8-4D9E-BBCC-BBEE59FDE35F}"/>
    <cellStyle name="Standard 6 3 2 4 3 2 3" xfId="7609" xr:uid="{00000000-0005-0000-0000-0000C01D0000}"/>
    <cellStyle name="Standard 6 3 2 4 3 2 3 2" xfId="19570" xr:uid="{0035898C-CFA5-43FC-BCE9-3514A76B0D97}"/>
    <cellStyle name="Standard 6 3 2 4 3 2 4" xfId="19567" xr:uid="{6DF0BFF7-1FE5-4A39-94EB-1B52B49BBE4A}"/>
    <cellStyle name="Standard 6 3 2 4 3 3" xfId="7610" xr:uid="{00000000-0005-0000-0000-0000C11D0000}"/>
    <cellStyle name="Standard 6 3 2 4 3 3 2" xfId="7611" xr:uid="{00000000-0005-0000-0000-0000C21D0000}"/>
    <cellStyle name="Standard 6 3 2 4 3 3 2 2" xfId="7612" xr:uid="{00000000-0005-0000-0000-0000C31D0000}"/>
    <cellStyle name="Standard 6 3 2 4 3 3 2 2 2" xfId="19573" xr:uid="{6378CD48-BB87-4A6D-9A51-EC17C40AC127}"/>
    <cellStyle name="Standard 6 3 2 4 3 3 2 3" xfId="19572" xr:uid="{82FC42C7-A103-4A43-A592-7E51EB5F0EFC}"/>
    <cellStyle name="Standard 6 3 2 4 3 3 3" xfId="7613" xr:uid="{00000000-0005-0000-0000-0000C41D0000}"/>
    <cellStyle name="Standard 6 3 2 4 3 3 3 2" xfId="19574" xr:uid="{6F792BBF-62FB-4A54-8254-BDD75A318BFB}"/>
    <cellStyle name="Standard 6 3 2 4 3 3 4" xfId="19571" xr:uid="{AD0CB606-AF9E-469B-A9E1-C906E2B9F5BB}"/>
    <cellStyle name="Standard 6 3 2 4 3 4" xfId="7614" xr:uid="{00000000-0005-0000-0000-0000C51D0000}"/>
    <cellStyle name="Standard 6 3 2 4 3 4 2" xfId="7615" xr:uid="{00000000-0005-0000-0000-0000C61D0000}"/>
    <cellStyle name="Standard 6 3 2 4 3 4 2 2" xfId="7616" xr:uid="{00000000-0005-0000-0000-0000C71D0000}"/>
    <cellStyle name="Standard 6 3 2 4 3 4 2 2 2" xfId="19577" xr:uid="{9B1BD3BB-824B-415C-A43B-342DB3770A3F}"/>
    <cellStyle name="Standard 6 3 2 4 3 4 2 3" xfId="19576" xr:uid="{4BD96414-DF59-43AA-873F-EC48904F1F54}"/>
    <cellStyle name="Standard 6 3 2 4 3 4 3" xfId="7617" xr:uid="{00000000-0005-0000-0000-0000C81D0000}"/>
    <cellStyle name="Standard 6 3 2 4 3 4 3 2" xfId="19578" xr:uid="{1635C730-2B90-4C80-9A85-A99C790D4BF7}"/>
    <cellStyle name="Standard 6 3 2 4 3 4 4" xfId="19575" xr:uid="{95C73CA5-E086-48B0-A88E-3AD879E61915}"/>
    <cellStyle name="Standard 6 3 2 4 3 5" xfId="7618" xr:uid="{00000000-0005-0000-0000-0000C91D0000}"/>
    <cellStyle name="Standard 6 3 2 4 3 5 2" xfId="7619" xr:uid="{00000000-0005-0000-0000-0000CA1D0000}"/>
    <cellStyle name="Standard 6 3 2 4 3 5 2 2" xfId="7620" xr:uid="{00000000-0005-0000-0000-0000CB1D0000}"/>
    <cellStyle name="Standard 6 3 2 4 3 5 2 2 2" xfId="19581" xr:uid="{A4627C8D-DA87-4A76-A19F-C3FF2C339A44}"/>
    <cellStyle name="Standard 6 3 2 4 3 5 2 3" xfId="19580" xr:uid="{2477A1E6-550E-473F-B366-6D439C4097C9}"/>
    <cellStyle name="Standard 6 3 2 4 3 5 3" xfId="7621" xr:uid="{00000000-0005-0000-0000-0000CC1D0000}"/>
    <cellStyle name="Standard 6 3 2 4 3 5 3 2" xfId="19582" xr:uid="{99D8033B-BFC3-4D66-8EB7-497094ACECAB}"/>
    <cellStyle name="Standard 6 3 2 4 3 5 4" xfId="19579" xr:uid="{4F7C1258-7570-4ADE-A754-7E25B009858D}"/>
    <cellStyle name="Standard 6 3 2 4 3 6" xfId="7622" xr:uid="{00000000-0005-0000-0000-0000CD1D0000}"/>
    <cellStyle name="Standard 6 3 2 4 3 6 2" xfId="7623" xr:uid="{00000000-0005-0000-0000-0000CE1D0000}"/>
    <cellStyle name="Standard 6 3 2 4 3 6 2 2" xfId="7624" xr:uid="{00000000-0005-0000-0000-0000CF1D0000}"/>
    <cellStyle name="Standard 6 3 2 4 3 6 2 2 2" xfId="19585" xr:uid="{870B0E03-100B-4A52-B9DC-FC8314D7D987}"/>
    <cellStyle name="Standard 6 3 2 4 3 6 2 3" xfId="19584" xr:uid="{CCCF1C0D-801C-4042-9166-67E1255D92B0}"/>
    <cellStyle name="Standard 6 3 2 4 3 6 3" xfId="7625" xr:uid="{00000000-0005-0000-0000-0000D01D0000}"/>
    <cellStyle name="Standard 6 3 2 4 3 6 3 2" xfId="19586" xr:uid="{1E22E82E-4766-4DEF-8004-DD3D00105481}"/>
    <cellStyle name="Standard 6 3 2 4 3 6 4" xfId="19583" xr:uid="{12D40F8D-1220-4503-8FAA-9BCFF1D49ED5}"/>
    <cellStyle name="Standard 6 3 2 4 3 7" xfId="7626" xr:uid="{00000000-0005-0000-0000-0000D11D0000}"/>
    <cellStyle name="Standard 6 3 2 4 3 7 2" xfId="7627" xr:uid="{00000000-0005-0000-0000-0000D21D0000}"/>
    <cellStyle name="Standard 6 3 2 4 3 7 2 2" xfId="7628" xr:uid="{00000000-0005-0000-0000-0000D31D0000}"/>
    <cellStyle name="Standard 6 3 2 4 3 7 2 2 2" xfId="19589" xr:uid="{E9F72E4B-D927-49C0-A470-D39821C0BCF2}"/>
    <cellStyle name="Standard 6 3 2 4 3 7 2 3" xfId="19588" xr:uid="{71CBBF19-F0B9-40D0-961E-1C59A65DFB96}"/>
    <cellStyle name="Standard 6 3 2 4 3 7 3" xfId="7629" xr:uid="{00000000-0005-0000-0000-0000D41D0000}"/>
    <cellStyle name="Standard 6 3 2 4 3 7 3 2" xfId="19590" xr:uid="{CE5683A2-E15A-42BB-9531-9DE2DED00E2C}"/>
    <cellStyle name="Standard 6 3 2 4 3 7 4" xfId="19587" xr:uid="{0F784784-A3B0-4E99-9391-5FFD1C5BFDBE}"/>
    <cellStyle name="Standard 6 3 2 4 3 8" xfId="7630" xr:uid="{00000000-0005-0000-0000-0000D51D0000}"/>
    <cellStyle name="Standard 6 3 2 4 3 8 2" xfId="7631" xr:uid="{00000000-0005-0000-0000-0000D61D0000}"/>
    <cellStyle name="Standard 6 3 2 4 3 8 2 2" xfId="19592" xr:uid="{FED0FCED-58B0-451C-9412-90AE60EB3255}"/>
    <cellStyle name="Standard 6 3 2 4 3 8 3" xfId="19591" xr:uid="{7EBD594F-1173-4625-B984-2D0726CFC4EF}"/>
    <cellStyle name="Standard 6 3 2 4 3 9" xfId="7632" xr:uid="{00000000-0005-0000-0000-0000D71D0000}"/>
    <cellStyle name="Standard 6 3 2 4 3 9 2" xfId="19593" xr:uid="{6F79C262-B634-4A36-914F-CD10866CB864}"/>
    <cellStyle name="Standard 6 3 2 4 4" xfId="7633" xr:uid="{00000000-0005-0000-0000-0000D81D0000}"/>
    <cellStyle name="Standard 6 3 2 4 4 2" xfId="7634" xr:uid="{00000000-0005-0000-0000-0000D91D0000}"/>
    <cellStyle name="Standard 6 3 2 4 4 2 2" xfId="7635" xr:uid="{00000000-0005-0000-0000-0000DA1D0000}"/>
    <cellStyle name="Standard 6 3 2 4 4 2 2 2" xfId="19596" xr:uid="{F1BB92C5-1154-4C2C-B998-3D275EDD17E9}"/>
    <cellStyle name="Standard 6 3 2 4 4 2 3" xfId="19595" xr:uid="{E329F12F-F617-49C8-8D63-50D87E946187}"/>
    <cellStyle name="Standard 6 3 2 4 4 3" xfId="7636" xr:uid="{00000000-0005-0000-0000-0000DB1D0000}"/>
    <cellStyle name="Standard 6 3 2 4 4 3 2" xfId="19597" xr:uid="{AE63EF75-3597-427E-91EA-F80B32A526CD}"/>
    <cellStyle name="Standard 6 3 2 4 4 4" xfId="19594" xr:uid="{D1E1903C-99FB-45A5-8228-5D38F97C9A9D}"/>
    <cellStyle name="Standard 6 3 2 4 5" xfId="7637" xr:uid="{00000000-0005-0000-0000-0000DC1D0000}"/>
    <cellStyle name="Standard 6 3 2 4 5 2" xfId="7638" xr:uid="{00000000-0005-0000-0000-0000DD1D0000}"/>
    <cellStyle name="Standard 6 3 2 4 5 2 2" xfId="7639" xr:uid="{00000000-0005-0000-0000-0000DE1D0000}"/>
    <cellStyle name="Standard 6 3 2 4 5 2 2 2" xfId="19600" xr:uid="{0627B4CC-D79F-49E3-97D5-B5DA67FFB228}"/>
    <cellStyle name="Standard 6 3 2 4 5 2 3" xfId="19599" xr:uid="{3A7C1D26-1FB9-49CF-8079-B43486EA8AB7}"/>
    <cellStyle name="Standard 6 3 2 4 5 3" xfId="7640" xr:uid="{00000000-0005-0000-0000-0000DF1D0000}"/>
    <cellStyle name="Standard 6 3 2 4 5 3 2" xfId="19601" xr:uid="{47FA1620-C483-4FFD-B89E-DDDA49340B7D}"/>
    <cellStyle name="Standard 6 3 2 4 5 4" xfId="19598" xr:uid="{4123BBE6-8A41-48D8-AA9A-FA70C370A221}"/>
    <cellStyle name="Standard 6 3 2 4 6" xfId="7641" xr:uid="{00000000-0005-0000-0000-0000E01D0000}"/>
    <cellStyle name="Standard 6 3 2 4 6 2" xfId="7642" xr:uid="{00000000-0005-0000-0000-0000E11D0000}"/>
    <cellStyle name="Standard 6 3 2 4 6 2 2" xfId="7643" xr:uid="{00000000-0005-0000-0000-0000E21D0000}"/>
    <cellStyle name="Standard 6 3 2 4 6 2 2 2" xfId="19604" xr:uid="{9581882C-2434-4DA9-B735-667C7A764CEA}"/>
    <cellStyle name="Standard 6 3 2 4 6 2 3" xfId="19603" xr:uid="{B9AB4768-C734-4D2C-A6CD-6EA2E0085809}"/>
    <cellStyle name="Standard 6 3 2 4 6 3" xfId="7644" xr:uid="{00000000-0005-0000-0000-0000E31D0000}"/>
    <cellStyle name="Standard 6 3 2 4 6 3 2" xfId="19605" xr:uid="{05A375E5-89EB-4650-8D21-FA89B7DF12E9}"/>
    <cellStyle name="Standard 6 3 2 4 6 4" xfId="19602" xr:uid="{BAA4DE29-6C3A-4EC6-8D0C-9ADF0F0A57C7}"/>
    <cellStyle name="Standard 6 3 2 4 7" xfId="7645" xr:uid="{00000000-0005-0000-0000-0000E41D0000}"/>
    <cellStyle name="Standard 6 3 2 4 7 2" xfId="7646" xr:uid="{00000000-0005-0000-0000-0000E51D0000}"/>
    <cellStyle name="Standard 6 3 2 4 7 2 2" xfId="7647" xr:uid="{00000000-0005-0000-0000-0000E61D0000}"/>
    <cellStyle name="Standard 6 3 2 4 7 2 2 2" xfId="19608" xr:uid="{56D04627-497A-480B-8310-87AD6B01C141}"/>
    <cellStyle name="Standard 6 3 2 4 7 2 3" xfId="19607" xr:uid="{31E7A7FB-F971-4937-BCD0-F46C962FBD12}"/>
    <cellStyle name="Standard 6 3 2 4 7 3" xfId="7648" xr:uid="{00000000-0005-0000-0000-0000E71D0000}"/>
    <cellStyle name="Standard 6 3 2 4 7 3 2" xfId="19609" xr:uid="{FF850869-034E-463C-AC49-5B8359CC0133}"/>
    <cellStyle name="Standard 6 3 2 4 7 4" xfId="19606" xr:uid="{2489ECD4-D31C-4D0F-B013-7947717C1AB9}"/>
    <cellStyle name="Standard 6 3 2 4 8" xfId="7649" xr:uid="{00000000-0005-0000-0000-0000E81D0000}"/>
    <cellStyle name="Standard 6 3 2 4 8 2" xfId="7650" xr:uid="{00000000-0005-0000-0000-0000E91D0000}"/>
    <cellStyle name="Standard 6 3 2 4 8 2 2" xfId="7651" xr:uid="{00000000-0005-0000-0000-0000EA1D0000}"/>
    <cellStyle name="Standard 6 3 2 4 8 2 2 2" xfId="19612" xr:uid="{DB2B5376-DE8D-4ADB-B82B-0DB4052D4D24}"/>
    <cellStyle name="Standard 6 3 2 4 8 2 3" xfId="19611" xr:uid="{EB1D434D-B8EE-4F0B-A699-3B8DBC431AE5}"/>
    <cellStyle name="Standard 6 3 2 4 8 3" xfId="7652" xr:uid="{00000000-0005-0000-0000-0000EB1D0000}"/>
    <cellStyle name="Standard 6 3 2 4 8 3 2" xfId="19613" xr:uid="{51F9E899-6DE2-475D-BC98-EFB7641D6477}"/>
    <cellStyle name="Standard 6 3 2 4 8 4" xfId="19610" xr:uid="{7D8892D2-A735-4EDB-845D-7C49C69C8EBA}"/>
    <cellStyle name="Standard 6 3 2 4 9" xfId="7653" xr:uid="{00000000-0005-0000-0000-0000EC1D0000}"/>
    <cellStyle name="Standard 6 3 2 4 9 2" xfId="7654" xr:uid="{00000000-0005-0000-0000-0000ED1D0000}"/>
    <cellStyle name="Standard 6 3 2 4 9 2 2" xfId="7655" xr:uid="{00000000-0005-0000-0000-0000EE1D0000}"/>
    <cellStyle name="Standard 6 3 2 4 9 2 2 2" xfId="19616" xr:uid="{88FEC69E-EBD6-4EAA-9184-6ACDE0BB31AE}"/>
    <cellStyle name="Standard 6 3 2 4 9 2 3" xfId="19615" xr:uid="{13B1F728-59B0-4205-B335-FDC5E557C821}"/>
    <cellStyle name="Standard 6 3 2 4 9 3" xfId="7656" xr:uid="{00000000-0005-0000-0000-0000EF1D0000}"/>
    <cellStyle name="Standard 6 3 2 4 9 3 2" xfId="19617" xr:uid="{87BEA0CF-C1B1-4336-8E53-762131D11C7E}"/>
    <cellStyle name="Standard 6 3 2 4 9 4" xfId="19614" xr:uid="{60711F97-7002-4A18-9161-9AC4D528DC92}"/>
    <cellStyle name="Standard 6 3 2 5" xfId="7657" xr:uid="{00000000-0005-0000-0000-0000F01D0000}"/>
    <cellStyle name="Standard 6 3 2 5 10" xfId="7658" xr:uid="{00000000-0005-0000-0000-0000F11D0000}"/>
    <cellStyle name="Standard 6 3 2 5 10 2" xfId="19619" xr:uid="{349A6882-8D11-4D97-995A-BA3F136A2E78}"/>
    <cellStyle name="Standard 6 3 2 5 11" xfId="19618" xr:uid="{1E9A9159-3E26-47A4-B636-E8EE6EE737A4}"/>
    <cellStyle name="Standard 6 3 2 5 2" xfId="7659" xr:uid="{00000000-0005-0000-0000-0000F21D0000}"/>
    <cellStyle name="Standard 6 3 2 5 2 10" xfId="19620" xr:uid="{296A5564-B525-4E2D-9EDF-AAA258E4F6F2}"/>
    <cellStyle name="Standard 6 3 2 5 2 2" xfId="7660" xr:uid="{00000000-0005-0000-0000-0000F31D0000}"/>
    <cellStyle name="Standard 6 3 2 5 2 2 2" xfId="7661" xr:uid="{00000000-0005-0000-0000-0000F41D0000}"/>
    <cellStyle name="Standard 6 3 2 5 2 2 2 2" xfId="7662" xr:uid="{00000000-0005-0000-0000-0000F51D0000}"/>
    <cellStyle name="Standard 6 3 2 5 2 2 2 2 2" xfId="19623" xr:uid="{451A3678-EACE-4047-A1DE-8A2C771640B0}"/>
    <cellStyle name="Standard 6 3 2 5 2 2 2 3" xfId="19622" xr:uid="{A706C244-6267-4867-B3D7-CE6DDC86E437}"/>
    <cellStyle name="Standard 6 3 2 5 2 2 3" xfId="7663" xr:uid="{00000000-0005-0000-0000-0000F61D0000}"/>
    <cellStyle name="Standard 6 3 2 5 2 2 3 2" xfId="19624" xr:uid="{FEAA058A-53B6-458A-A10A-B37D3852F65B}"/>
    <cellStyle name="Standard 6 3 2 5 2 2 4" xfId="19621" xr:uid="{439D3650-3188-4606-B982-AFDE4242896F}"/>
    <cellStyle name="Standard 6 3 2 5 2 3" xfId="7664" xr:uid="{00000000-0005-0000-0000-0000F71D0000}"/>
    <cellStyle name="Standard 6 3 2 5 2 3 2" xfId="7665" xr:uid="{00000000-0005-0000-0000-0000F81D0000}"/>
    <cellStyle name="Standard 6 3 2 5 2 3 2 2" xfId="7666" xr:uid="{00000000-0005-0000-0000-0000F91D0000}"/>
    <cellStyle name="Standard 6 3 2 5 2 3 2 2 2" xfId="19627" xr:uid="{71185DE1-F21A-4531-8770-E131C6AE4224}"/>
    <cellStyle name="Standard 6 3 2 5 2 3 2 3" xfId="19626" xr:uid="{6D682874-AD0D-4A84-AE61-59C08B6AD811}"/>
    <cellStyle name="Standard 6 3 2 5 2 3 3" xfId="7667" xr:uid="{00000000-0005-0000-0000-0000FA1D0000}"/>
    <cellStyle name="Standard 6 3 2 5 2 3 3 2" xfId="19628" xr:uid="{419DEAC7-E139-4B8C-A494-C175DA5A3B88}"/>
    <cellStyle name="Standard 6 3 2 5 2 3 4" xfId="19625" xr:uid="{2C82B97E-1A0A-435A-BF37-DDFC912835E7}"/>
    <cellStyle name="Standard 6 3 2 5 2 4" xfId="7668" xr:uid="{00000000-0005-0000-0000-0000FB1D0000}"/>
    <cellStyle name="Standard 6 3 2 5 2 4 2" xfId="7669" xr:uid="{00000000-0005-0000-0000-0000FC1D0000}"/>
    <cellStyle name="Standard 6 3 2 5 2 4 2 2" xfId="7670" xr:uid="{00000000-0005-0000-0000-0000FD1D0000}"/>
    <cellStyle name="Standard 6 3 2 5 2 4 2 2 2" xfId="19631" xr:uid="{522A6412-421E-479D-8DAF-8F546BAFA20E}"/>
    <cellStyle name="Standard 6 3 2 5 2 4 2 3" xfId="19630" xr:uid="{636AA594-1197-4988-9CDA-BAECB29E3A8F}"/>
    <cellStyle name="Standard 6 3 2 5 2 4 3" xfId="7671" xr:uid="{00000000-0005-0000-0000-0000FE1D0000}"/>
    <cellStyle name="Standard 6 3 2 5 2 4 3 2" xfId="19632" xr:uid="{463EB7CF-462E-4952-80B3-022236FBB51D}"/>
    <cellStyle name="Standard 6 3 2 5 2 4 4" xfId="19629" xr:uid="{66BC2683-8C45-4442-B281-E63800BA9108}"/>
    <cellStyle name="Standard 6 3 2 5 2 5" xfId="7672" xr:uid="{00000000-0005-0000-0000-0000FF1D0000}"/>
    <cellStyle name="Standard 6 3 2 5 2 5 2" xfId="7673" xr:uid="{00000000-0005-0000-0000-0000001E0000}"/>
    <cellStyle name="Standard 6 3 2 5 2 5 2 2" xfId="7674" xr:uid="{00000000-0005-0000-0000-0000011E0000}"/>
    <cellStyle name="Standard 6 3 2 5 2 5 2 2 2" xfId="19635" xr:uid="{48ABDC1E-79E0-4594-8C59-7EF40B2F9BE3}"/>
    <cellStyle name="Standard 6 3 2 5 2 5 2 3" xfId="19634" xr:uid="{E1AC66BE-C4CE-4D9E-8D4C-A148DF7598ED}"/>
    <cellStyle name="Standard 6 3 2 5 2 5 3" xfId="7675" xr:uid="{00000000-0005-0000-0000-0000021E0000}"/>
    <cellStyle name="Standard 6 3 2 5 2 5 3 2" xfId="19636" xr:uid="{E6B5F7BE-3062-43AC-9EC7-7E6C855BB312}"/>
    <cellStyle name="Standard 6 3 2 5 2 5 4" xfId="19633" xr:uid="{92D97DA0-7C95-4E26-B6AC-74B9D4AF1EF9}"/>
    <cellStyle name="Standard 6 3 2 5 2 6" xfId="7676" xr:uid="{00000000-0005-0000-0000-0000031E0000}"/>
    <cellStyle name="Standard 6 3 2 5 2 6 2" xfId="7677" xr:uid="{00000000-0005-0000-0000-0000041E0000}"/>
    <cellStyle name="Standard 6 3 2 5 2 6 2 2" xfId="7678" xr:uid="{00000000-0005-0000-0000-0000051E0000}"/>
    <cellStyle name="Standard 6 3 2 5 2 6 2 2 2" xfId="19639" xr:uid="{ACB0196B-E002-4232-BC27-D64F8D1EB86D}"/>
    <cellStyle name="Standard 6 3 2 5 2 6 2 3" xfId="19638" xr:uid="{4DE4E7C4-4875-4786-821A-3694364070F3}"/>
    <cellStyle name="Standard 6 3 2 5 2 6 3" xfId="7679" xr:uid="{00000000-0005-0000-0000-0000061E0000}"/>
    <cellStyle name="Standard 6 3 2 5 2 6 3 2" xfId="19640" xr:uid="{DE95988C-A744-42AA-8872-F8439E5F5FF5}"/>
    <cellStyle name="Standard 6 3 2 5 2 6 4" xfId="19637" xr:uid="{C6D7836A-821B-4E4D-A52C-DD087324164A}"/>
    <cellStyle name="Standard 6 3 2 5 2 7" xfId="7680" xr:uid="{00000000-0005-0000-0000-0000071E0000}"/>
    <cellStyle name="Standard 6 3 2 5 2 7 2" xfId="7681" xr:uid="{00000000-0005-0000-0000-0000081E0000}"/>
    <cellStyle name="Standard 6 3 2 5 2 7 2 2" xfId="7682" xr:uid="{00000000-0005-0000-0000-0000091E0000}"/>
    <cellStyle name="Standard 6 3 2 5 2 7 2 2 2" xfId="19643" xr:uid="{19D40A31-B5EB-4470-9712-6ED1D5AA08EF}"/>
    <cellStyle name="Standard 6 3 2 5 2 7 2 3" xfId="19642" xr:uid="{5F95ECF2-B0AC-4415-99AB-A92F8430648A}"/>
    <cellStyle name="Standard 6 3 2 5 2 7 3" xfId="7683" xr:uid="{00000000-0005-0000-0000-00000A1E0000}"/>
    <cellStyle name="Standard 6 3 2 5 2 7 3 2" xfId="19644" xr:uid="{316A831B-B41E-4425-86B7-0492F381C310}"/>
    <cellStyle name="Standard 6 3 2 5 2 7 4" xfId="19641" xr:uid="{37E982AF-40D4-4774-A872-4A27DCBC4543}"/>
    <cellStyle name="Standard 6 3 2 5 2 8" xfId="7684" xr:uid="{00000000-0005-0000-0000-00000B1E0000}"/>
    <cellStyle name="Standard 6 3 2 5 2 8 2" xfId="7685" xr:uid="{00000000-0005-0000-0000-00000C1E0000}"/>
    <cellStyle name="Standard 6 3 2 5 2 8 2 2" xfId="19646" xr:uid="{FAED7FC9-D579-4940-A567-B310134F36C2}"/>
    <cellStyle name="Standard 6 3 2 5 2 8 3" xfId="19645" xr:uid="{2D2C3D58-B1A3-4B62-A501-CB0B47BAC6A8}"/>
    <cellStyle name="Standard 6 3 2 5 2 9" xfId="7686" xr:uid="{00000000-0005-0000-0000-00000D1E0000}"/>
    <cellStyle name="Standard 6 3 2 5 2 9 2" xfId="19647" xr:uid="{05FFE5A2-46A2-4637-8636-A8C4FEEBFA37}"/>
    <cellStyle name="Standard 6 3 2 5 3" xfId="7687" xr:uid="{00000000-0005-0000-0000-00000E1E0000}"/>
    <cellStyle name="Standard 6 3 2 5 3 2" xfId="7688" xr:uid="{00000000-0005-0000-0000-00000F1E0000}"/>
    <cellStyle name="Standard 6 3 2 5 3 2 2" xfId="7689" xr:uid="{00000000-0005-0000-0000-0000101E0000}"/>
    <cellStyle name="Standard 6 3 2 5 3 2 2 2" xfId="19650" xr:uid="{DC31E07E-FA31-4689-8EEC-0D9AF299B560}"/>
    <cellStyle name="Standard 6 3 2 5 3 2 3" xfId="19649" xr:uid="{1FC954F1-83B2-4367-B491-0B4F4F6F7784}"/>
    <cellStyle name="Standard 6 3 2 5 3 3" xfId="7690" xr:uid="{00000000-0005-0000-0000-0000111E0000}"/>
    <cellStyle name="Standard 6 3 2 5 3 3 2" xfId="19651" xr:uid="{4470CC7D-873F-4A2D-930C-D36E4CEA6F84}"/>
    <cellStyle name="Standard 6 3 2 5 3 4" xfId="19648" xr:uid="{924FFB33-22F2-4DD1-B9F2-789BA995C643}"/>
    <cellStyle name="Standard 6 3 2 5 4" xfId="7691" xr:uid="{00000000-0005-0000-0000-0000121E0000}"/>
    <cellStyle name="Standard 6 3 2 5 4 2" xfId="7692" xr:uid="{00000000-0005-0000-0000-0000131E0000}"/>
    <cellStyle name="Standard 6 3 2 5 4 2 2" xfId="7693" xr:uid="{00000000-0005-0000-0000-0000141E0000}"/>
    <cellStyle name="Standard 6 3 2 5 4 2 2 2" xfId="19654" xr:uid="{DF921EC8-6E84-4987-A555-E282EC9F2E51}"/>
    <cellStyle name="Standard 6 3 2 5 4 2 3" xfId="19653" xr:uid="{7330D09E-B8E8-49FE-9F5C-8BEE75F7E1F1}"/>
    <cellStyle name="Standard 6 3 2 5 4 3" xfId="7694" xr:uid="{00000000-0005-0000-0000-0000151E0000}"/>
    <cellStyle name="Standard 6 3 2 5 4 3 2" xfId="19655" xr:uid="{5FEE6B93-5F05-45AB-9882-14444D92E3F8}"/>
    <cellStyle name="Standard 6 3 2 5 4 4" xfId="19652" xr:uid="{ECC35530-6F0F-4E9F-A856-5B287F7D649E}"/>
    <cellStyle name="Standard 6 3 2 5 5" xfId="7695" xr:uid="{00000000-0005-0000-0000-0000161E0000}"/>
    <cellStyle name="Standard 6 3 2 5 5 2" xfId="7696" xr:uid="{00000000-0005-0000-0000-0000171E0000}"/>
    <cellStyle name="Standard 6 3 2 5 5 2 2" xfId="7697" xr:uid="{00000000-0005-0000-0000-0000181E0000}"/>
    <cellStyle name="Standard 6 3 2 5 5 2 2 2" xfId="19658" xr:uid="{7386D73C-1C6A-4E71-B72F-965EB0FAFA1D}"/>
    <cellStyle name="Standard 6 3 2 5 5 2 3" xfId="19657" xr:uid="{1CDC9194-2E5D-42AB-B4F1-D02CD9910414}"/>
    <cellStyle name="Standard 6 3 2 5 5 3" xfId="7698" xr:uid="{00000000-0005-0000-0000-0000191E0000}"/>
    <cellStyle name="Standard 6 3 2 5 5 3 2" xfId="19659" xr:uid="{2C4EEC43-B993-4613-8AE9-533B2763830B}"/>
    <cellStyle name="Standard 6 3 2 5 5 4" xfId="19656" xr:uid="{AA46F7A5-7A87-4541-9794-3F4AC3B756E4}"/>
    <cellStyle name="Standard 6 3 2 5 6" xfId="7699" xr:uid="{00000000-0005-0000-0000-00001A1E0000}"/>
    <cellStyle name="Standard 6 3 2 5 6 2" xfId="7700" xr:uid="{00000000-0005-0000-0000-00001B1E0000}"/>
    <cellStyle name="Standard 6 3 2 5 6 2 2" xfId="7701" xr:uid="{00000000-0005-0000-0000-00001C1E0000}"/>
    <cellStyle name="Standard 6 3 2 5 6 2 2 2" xfId="19662" xr:uid="{E096B8B7-57CE-4FF7-8E0E-B29C973383EB}"/>
    <cellStyle name="Standard 6 3 2 5 6 2 3" xfId="19661" xr:uid="{DFE56948-0DBE-4F88-BF5A-44E8F68C2D28}"/>
    <cellStyle name="Standard 6 3 2 5 6 3" xfId="7702" xr:uid="{00000000-0005-0000-0000-00001D1E0000}"/>
    <cellStyle name="Standard 6 3 2 5 6 3 2" xfId="19663" xr:uid="{122F5D67-FF91-4B24-9F92-A3189300FCB8}"/>
    <cellStyle name="Standard 6 3 2 5 6 4" xfId="19660" xr:uid="{CB93F171-8D3A-4125-A95B-853B18D93E83}"/>
    <cellStyle name="Standard 6 3 2 5 7" xfId="7703" xr:uid="{00000000-0005-0000-0000-00001E1E0000}"/>
    <cellStyle name="Standard 6 3 2 5 7 2" xfId="7704" xr:uid="{00000000-0005-0000-0000-00001F1E0000}"/>
    <cellStyle name="Standard 6 3 2 5 7 2 2" xfId="7705" xr:uid="{00000000-0005-0000-0000-0000201E0000}"/>
    <cellStyle name="Standard 6 3 2 5 7 2 2 2" xfId="19666" xr:uid="{FBBEACB0-034B-4CF0-8772-BE1414A8CB8D}"/>
    <cellStyle name="Standard 6 3 2 5 7 2 3" xfId="19665" xr:uid="{D41243EA-319F-43C2-B0AB-90569BD97170}"/>
    <cellStyle name="Standard 6 3 2 5 7 3" xfId="7706" xr:uid="{00000000-0005-0000-0000-0000211E0000}"/>
    <cellStyle name="Standard 6 3 2 5 7 3 2" xfId="19667" xr:uid="{B6C259FA-DB98-4189-8554-16535D91820F}"/>
    <cellStyle name="Standard 6 3 2 5 7 4" xfId="19664" xr:uid="{51E1389A-A7FE-4250-A563-58D8EE8A920D}"/>
    <cellStyle name="Standard 6 3 2 5 8" xfId="7707" xr:uid="{00000000-0005-0000-0000-0000221E0000}"/>
    <cellStyle name="Standard 6 3 2 5 8 2" xfId="7708" xr:uid="{00000000-0005-0000-0000-0000231E0000}"/>
    <cellStyle name="Standard 6 3 2 5 8 2 2" xfId="7709" xr:uid="{00000000-0005-0000-0000-0000241E0000}"/>
    <cellStyle name="Standard 6 3 2 5 8 2 2 2" xfId="19670" xr:uid="{C070BE6B-B561-4653-A0FD-A4CC1BA751B9}"/>
    <cellStyle name="Standard 6 3 2 5 8 2 3" xfId="19669" xr:uid="{3CB5D142-4299-45C0-BA20-842077229714}"/>
    <cellStyle name="Standard 6 3 2 5 8 3" xfId="7710" xr:uid="{00000000-0005-0000-0000-0000251E0000}"/>
    <cellStyle name="Standard 6 3 2 5 8 3 2" xfId="19671" xr:uid="{E7F304E1-D129-4730-8485-CEC729982C8C}"/>
    <cellStyle name="Standard 6 3 2 5 8 4" xfId="19668" xr:uid="{B7F32D34-46CB-4A21-AA74-D91F62F04F36}"/>
    <cellStyle name="Standard 6 3 2 5 9" xfId="7711" xr:uid="{00000000-0005-0000-0000-0000261E0000}"/>
    <cellStyle name="Standard 6 3 2 5 9 2" xfId="7712" xr:uid="{00000000-0005-0000-0000-0000271E0000}"/>
    <cellStyle name="Standard 6 3 2 5 9 2 2" xfId="19673" xr:uid="{35375368-1F11-4212-A110-2FE5E0E13262}"/>
    <cellStyle name="Standard 6 3 2 5 9 3" xfId="19672" xr:uid="{F090DB07-0CE5-4F29-87D4-0924165237C1}"/>
    <cellStyle name="Standard 6 3 2 6" xfId="7713" xr:uid="{00000000-0005-0000-0000-0000281E0000}"/>
    <cellStyle name="Standard 6 3 2 6 10" xfId="7714" xr:uid="{00000000-0005-0000-0000-0000291E0000}"/>
    <cellStyle name="Standard 6 3 2 6 10 2" xfId="19675" xr:uid="{18C35D39-556A-4926-8629-CD7F79AE6C9A}"/>
    <cellStyle name="Standard 6 3 2 6 11" xfId="19674" xr:uid="{A8ECFEB5-57B6-41E7-AAF9-FA42A7D6C5CC}"/>
    <cellStyle name="Standard 6 3 2 6 2" xfId="7715" xr:uid="{00000000-0005-0000-0000-00002A1E0000}"/>
    <cellStyle name="Standard 6 3 2 6 2 10" xfId="19676" xr:uid="{0BD08F43-D96B-4706-8D7C-1BD4E758A077}"/>
    <cellStyle name="Standard 6 3 2 6 2 2" xfId="7716" xr:uid="{00000000-0005-0000-0000-00002B1E0000}"/>
    <cellStyle name="Standard 6 3 2 6 2 2 2" xfId="7717" xr:uid="{00000000-0005-0000-0000-00002C1E0000}"/>
    <cellStyle name="Standard 6 3 2 6 2 2 2 2" xfId="7718" xr:uid="{00000000-0005-0000-0000-00002D1E0000}"/>
    <cellStyle name="Standard 6 3 2 6 2 2 2 2 2" xfId="19679" xr:uid="{BEB80127-7AEC-4958-985D-C69706D81E3A}"/>
    <cellStyle name="Standard 6 3 2 6 2 2 2 3" xfId="19678" xr:uid="{E9DA8D6F-9AF9-4A3C-A2C2-BAEC83D131DF}"/>
    <cellStyle name="Standard 6 3 2 6 2 2 3" xfId="7719" xr:uid="{00000000-0005-0000-0000-00002E1E0000}"/>
    <cellStyle name="Standard 6 3 2 6 2 2 3 2" xfId="19680" xr:uid="{C62B2922-0506-4A69-821A-744CC29D92CD}"/>
    <cellStyle name="Standard 6 3 2 6 2 2 4" xfId="19677" xr:uid="{3E737087-512F-4615-95DD-BC7C1C2134F7}"/>
    <cellStyle name="Standard 6 3 2 6 2 3" xfId="7720" xr:uid="{00000000-0005-0000-0000-00002F1E0000}"/>
    <cellStyle name="Standard 6 3 2 6 2 3 2" xfId="7721" xr:uid="{00000000-0005-0000-0000-0000301E0000}"/>
    <cellStyle name="Standard 6 3 2 6 2 3 2 2" xfId="7722" xr:uid="{00000000-0005-0000-0000-0000311E0000}"/>
    <cellStyle name="Standard 6 3 2 6 2 3 2 2 2" xfId="19683" xr:uid="{DBA9F1F4-7065-46F2-9E4C-9EEB97624F11}"/>
    <cellStyle name="Standard 6 3 2 6 2 3 2 3" xfId="19682" xr:uid="{E11D4121-6EA0-4147-865F-0405C3E31CD5}"/>
    <cellStyle name="Standard 6 3 2 6 2 3 3" xfId="7723" xr:uid="{00000000-0005-0000-0000-0000321E0000}"/>
    <cellStyle name="Standard 6 3 2 6 2 3 3 2" xfId="19684" xr:uid="{020EF097-D1B0-4ABD-9087-3062476DBA4B}"/>
    <cellStyle name="Standard 6 3 2 6 2 3 4" xfId="19681" xr:uid="{7A1A098A-F7AB-45DE-A9A4-8CDF74EC4EAB}"/>
    <cellStyle name="Standard 6 3 2 6 2 4" xfId="7724" xr:uid="{00000000-0005-0000-0000-0000331E0000}"/>
    <cellStyle name="Standard 6 3 2 6 2 4 2" xfId="7725" xr:uid="{00000000-0005-0000-0000-0000341E0000}"/>
    <cellStyle name="Standard 6 3 2 6 2 4 2 2" xfId="7726" xr:uid="{00000000-0005-0000-0000-0000351E0000}"/>
    <cellStyle name="Standard 6 3 2 6 2 4 2 2 2" xfId="19687" xr:uid="{D715B113-92D3-419F-A6F2-F027F5869BF0}"/>
    <cellStyle name="Standard 6 3 2 6 2 4 2 3" xfId="19686" xr:uid="{40C3E4F2-9F10-4AEB-8372-0E60F3A4D429}"/>
    <cellStyle name="Standard 6 3 2 6 2 4 3" xfId="7727" xr:uid="{00000000-0005-0000-0000-0000361E0000}"/>
    <cellStyle name="Standard 6 3 2 6 2 4 3 2" xfId="19688" xr:uid="{0E14DE18-F246-4023-89B7-ACE1CBF62111}"/>
    <cellStyle name="Standard 6 3 2 6 2 4 4" xfId="19685" xr:uid="{CBDF757D-1E35-4D95-8550-8E0481A198B9}"/>
    <cellStyle name="Standard 6 3 2 6 2 5" xfId="7728" xr:uid="{00000000-0005-0000-0000-0000371E0000}"/>
    <cellStyle name="Standard 6 3 2 6 2 5 2" xfId="7729" xr:uid="{00000000-0005-0000-0000-0000381E0000}"/>
    <cellStyle name="Standard 6 3 2 6 2 5 2 2" xfId="7730" xr:uid="{00000000-0005-0000-0000-0000391E0000}"/>
    <cellStyle name="Standard 6 3 2 6 2 5 2 2 2" xfId="19691" xr:uid="{83D43885-C14F-41EB-9621-71A77A20DB86}"/>
    <cellStyle name="Standard 6 3 2 6 2 5 2 3" xfId="19690" xr:uid="{58832B4D-1C77-4047-A3E5-E4C7ABC9BCFB}"/>
    <cellStyle name="Standard 6 3 2 6 2 5 3" xfId="7731" xr:uid="{00000000-0005-0000-0000-00003A1E0000}"/>
    <cellStyle name="Standard 6 3 2 6 2 5 3 2" xfId="19692" xr:uid="{C6D2C2EF-9768-4F18-8F22-C57A15F507E1}"/>
    <cellStyle name="Standard 6 3 2 6 2 5 4" xfId="19689" xr:uid="{0A3F6163-83EB-462C-ACCE-69548AF64B26}"/>
    <cellStyle name="Standard 6 3 2 6 2 6" xfId="7732" xr:uid="{00000000-0005-0000-0000-00003B1E0000}"/>
    <cellStyle name="Standard 6 3 2 6 2 6 2" xfId="7733" xr:uid="{00000000-0005-0000-0000-00003C1E0000}"/>
    <cellStyle name="Standard 6 3 2 6 2 6 2 2" xfId="7734" xr:uid="{00000000-0005-0000-0000-00003D1E0000}"/>
    <cellStyle name="Standard 6 3 2 6 2 6 2 2 2" xfId="19695" xr:uid="{9EBBCEAD-DC08-40E3-909F-2D31048EE25B}"/>
    <cellStyle name="Standard 6 3 2 6 2 6 2 3" xfId="19694" xr:uid="{DF525D10-3565-4994-857B-E72F7862596F}"/>
    <cellStyle name="Standard 6 3 2 6 2 6 3" xfId="7735" xr:uid="{00000000-0005-0000-0000-00003E1E0000}"/>
    <cellStyle name="Standard 6 3 2 6 2 6 3 2" xfId="19696" xr:uid="{44E7E196-BAA1-4904-A485-67D6CF553D72}"/>
    <cellStyle name="Standard 6 3 2 6 2 6 4" xfId="19693" xr:uid="{26FD666C-4BE3-4276-B66F-DA66889586B0}"/>
    <cellStyle name="Standard 6 3 2 6 2 7" xfId="7736" xr:uid="{00000000-0005-0000-0000-00003F1E0000}"/>
    <cellStyle name="Standard 6 3 2 6 2 7 2" xfId="7737" xr:uid="{00000000-0005-0000-0000-0000401E0000}"/>
    <cellStyle name="Standard 6 3 2 6 2 7 2 2" xfId="7738" xr:uid="{00000000-0005-0000-0000-0000411E0000}"/>
    <cellStyle name="Standard 6 3 2 6 2 7 2 2 2" xfId="19699" xr:uid="{1076FA02-27A8-4EB7-95D6-3A6726F8DE85}"/>
    <cellStyle name="Standard 6 3 2 6 2 7 2 3" xfId="19698" xr:uid="{6AD7C51A-DBDB-4295-9D17-7D9D27836B6D}"/>
    <cellStyle name="Standard 6 3 2 6 2 7 3" xfId="7739" xr:uid="{00000000-0005-0000-0000-0000421E0000}"/>
    <cellStyle name="Standard 6 3 2 6 2 7 3 2" xfId="19700" xr:uid="{04D189A7-1485-41D4-9D9F-686843DEA927}"/>
    <cellStyle name="Standard 6 3 2 6 2 7 4" xfId="19697" xr:uid="{C809FC6B-50A8-4985-AD7D-3D2BBB52653E}"/>
    <cellStyle name="Standard 6 3 2 6 2 8" xfId="7740" xr:uid="{00000000-0005-0000-0000-0000431E0000}"/>
    <cellStyle name="Standard 6 3 2 6 2 8 2" xfId="7741" xr:uid="{00000000-0005-0000-0000-0000441E0000}"/>
    <cellStyle name="Standard 6 3 2 6 2 8 2 2" xfId="19702" xr:uid="{9922CEDB-E06C-4A71-A91A-BC903565BA21}"/>
    <cellStyle name="Standard 6 3 2 6 2 8 3" xfId="19701" xr:uid="{BA617EDE-4A12-4669-AADC-ABD121696829}"/>
    <cellStyle name="Standard 6 3 2 6 2 9" xfId="7742" xr:uid="{00000000-0005-0000-0000-0000451E0000}"/>
    <cellStyle name="Standard 6 3 2 6 2 9 2" xfId="19703" xr:uid="{35BDB49A-E6C6-4416-AA8F-9F165F3C983A}"/>
    <cellStyle name="Standard 6 3 2 6 3" xfId="7743" xr:uid="{00000000-0005-0000-0000-0000461E0000}"/>
    <cellStyle name="Standard 6 3 2 6 3 2" xfId="7744" xr:uid="{00000000-0005-0000-0000-0000471E0000}"/>
    <cellStyle name="Standard 6 3 2 6 3 2 2" xfId="7745" xr:uid="{00000000-0005-0000-0000-0000481E0000}"/>
    <cellStyle name="Standard 6 3 2 6 3 2 2 2" xfId="19706" xr:uid="{897DC350-AA96-47D8-97BC-0A0B3EEF792B}"/>
    <cellStyle name="Standard 6 3 2 6 3 2 3" xfId="19705" xr:uid="{D282386C-094B-42C7-A9DC-52BE1FC9EB1A}"/>
    <cellStyle name="Standard 6 3 2 6 3 3" xfId="7746" xr:uid="{00000000-0005-0000-0000-0000491E0000}"/>
    <cellStyle name="Standard 6 3 2 6 3 3 2" xfId="19707" xr:uid="{77EC3947-6B2B-4774-9877-82DF7F96D913}"/>
    <cellStyle name="Standard 6 3 2 6 3 4" xfId="19704" xr:uid="{1E5B3146-8FE1-47D7-9875-77769777509F}"/>
    <cellStyle name="Standard 6 3 2 6 4" xfId="7747" xr:uid="{00000000-0005-0000-0000-00004A1E0000}"/>
    <cellStyle name="Standard 6 3 2 6 4 2" xfId="7748" xr:uid="{00000000-0005-0000-0000-00004B1E0000}"/>
    <cellStyle name="Standard 6 3 2 6 4 2 2" xfId="7749" xr:uid="{00000000-0005-0000-0000-00004C1E0000}"/>
    <cellStyle name="Standard 6 3 2 6 4 2 2 2" xfId="19710" xr:uid="{73E49B10-54F5-4BC4-9A7C-40D014B96974}"/>
    <cellStyle name="Standard 6 3 2 6 4 2 3" xfId="19709" xr:uid="{5F44CA37-1A87-4B1D-A0DC-9460363534A9}"/>
    <cellStyle name="Standard 6 3 2 6 4 3" xfId="7750" xr:uid="{00000000-0005-0000-0000-00004D1E0000}"/>
    <cellStyle name="Standard 6 3 2 6 4 3 2" xfId="19711" xr:uid="{86C671F2-E0ED-401D-8BEB-14710D415BEB}"/>
    <cellStyle name="Standard 6 3 2 6 4 4" xfId="19708" xr:uid="{4D4C6C84-C94C-48CA-A4E6-B9FAEAE0C476}"/>
    <cellStyle name="Standard 6 3 2 6 5" xfId="7751" xr:uid="{00000000-0005-0000-0000-00004E1E0000}"/>
    <cellStyle name="Standard 6 3 2 6 5 2" xfId="7752" xr:uid="{00000000-0005-0000-0000-00004F1E0000}"/>
    <cellStyle name="Standard 6 3 2 6 5 2 2" xfId="7753" xr:uid="{00000000-0005-0000-0000-0000501E0000}"/>
    <cellStyle name="Standard 6 3 2 6 5 2 2 2" xfId="19714" xr:uid="{A0DECBD9-9F12-442A-BDDA-148A3BDD5AE5}"/>
    <cellStyle name="Standard 6 3 2 6 5 2 3" xfId="19713" xr:uid="{F7F6148B-44A5-4184-9CC0-82B755E59FEF}"/>
    <cellStyle name="Standard 6 3 2 6 5 3" xfId="7754" xr:uid="{00000000-0005-0000-0000-0000511E0000}"/>
    <cellStyle name="Standard 6 3 2 6 5 3 2" xfId="19715" xr:uid="{ADC16651-B629-4A07-9825-9C53AF74EB6E}"/>
    <cellStyle name="Standard 6 3 2 6 5 4" xfId="19712" xr:uid="{074073BF-05C3-45F3-9796-7B557ACD28F9}"/>
    <cellStyle name="Standard 6 3 2 6 6" xfId="7755" xr:uid="{00000000-0005-0000-0000-0000521E0000}"/>
    <cellStyle name="Standard 6 3 2 6 6 2" xfId="7756" xr:uid="{00000000-0005-0000-0000-0000531E0000}"/>
    <cellStyle name="Standard 6 3 2 6 6 2 2" xfId="7757" xr:uid="{00000000-0005-0000-0000-0000541E0000}"/>
    <cellStyle name="Standard 6 3 2 6 6 2 2 2" xfId="19718" xr:uid="{8F8E88C8-B63C-4040-B7A0-539DB7315D6D}"/>
    <cellStyle name="Standard 6 3 2 6 6 2 3" xfId="19717" xr:uid="{ED5DB8A5-09B5-4F97-B6B3-64EAE20A7EBA}"/>
    <cellStyle name="Standard 6 3 2 6 6 3" xfId="7758" xr:uid="{00000000-0005-0000-0000-0000551E0000}"/>
    <cellStyle name="Standard 6 3 2 6 6 3 2" xfId="19719" xr:uid="{045E5009-3168-45FD-A403-26C4673D35E2}"/>
    <cellStyle name="Standard 6 3 2 6 6 4" xfId="19716" xr:uid="{07D020F1-1743-4B45-A572-CCDDA06300A0}"/>
    <cellStyle name="Standard 6 3 2 6 7" xfId="7759" xr:uid="{00000000-0005-0000-0000-0000561E0000}"/>
    <cellStyle name="Standard 6 3 2 6 7 2" xfId="7760" xr:uid="{00000000-0005-0000-0000-0000571E0000}"/>
    <cellStyle name="Standard 6 3 2 6 7 2 2" xfId="7761" xr:uid="{00000000-0005-0000-0000-0000581E0000}"/>
    <cellStyle name="Standard 6 3 2 6 7 2 2 2" xfId="19722" xr:uid="{4E96110C-AD90-4CA1-AF29-9620DC1DEC69}"/>
    <cellStyle name="Standard 6 3 2 6 7 2 3" xfId="19721" xr:uid="{EB701696-DDDD-4470-A22B-2139A26D2BEF}"/>
    <cellStyle name="Standard 6 3 2 6 7 3" xfId="7762" xr:uid="{00000000-0005-0000-0000-0000591E0000}"/>
    <cellStyle name="Standard 6 3 2 6 7 3 2" xfId="19723" xr:uid="{BEFE9394-73D8-4684-9CBC-8B38A78AA9F6}"/>
    <cellStyle name="Standard 6 3 2 6 7 4" xfId="19720" xr:uid="{8326CFA5-FF13-4027-A717-23F1BD40E7B9}"/>
    <cellStyle name="Standard 6 3 2 6 8" xfId="7763" xr:uid="{00000000-0005-0000-0000-00005A1E0000}"/>
    <cellStyle name="Standard 6 3 2 6 8 2" xfId="7764" xr:uid="{00000000-0005-0000-0000-00005B1E0000}"/>
    <cellStyle name="Standard 6 3 2 6 8 2 2" xfId="7765" xr:uid="{00000000-0005-0000-0000-00005C1E0000}"/>
    <cellStyle name="Standard 6 3 2 6 8 2 2 2" xfId="19726" xr:uid="{D3747298-4E47-4CA6-9AE2-5FD75C36CEC9}"/>
    <cellStyle name="Standard 6 3 2 6 8 2 3" xfId="19725" xr:uid="{304A9114-0E3D-4DAB-BF9B-F470E38A0230}"/>
    <cellStyle name="Standard 6 3 2 6 8 3" xfId="7766" xr:uid="{00000000-0005-0000-0000-00005D1E0000}"/>
    <cellStyle name="Standard 6 3 2 6 8 3 2" xfId="19727" xr:uid="{DBD08830-A5C5-455B-99AC-7D187D222D59}"/>
    <cellStyle name="Standard 6 3 2 6 8 4" xfId="19724" xr:uid="{11163EDF-4877-4375-AF22-910A559268BF}"/>
    <cellStyle name="Standard 6 3 2 6 9" xfId="7767" xr:uid="{00000000-0005-0000-0000-00005E1E0000}"/>
    <cellStyle name="Standard 6 3 2 6 9 2" xfId="7768" xr:uid="{00000000-0005-0000-0000-00005F1E0000}"/>
    <cellStyle name="Standard 6 3 2 6 9 2 2" xfId="19729" xr:uid="{44E605AB-0A5D-4C78-942A-EAEA0FAA1DA2}"/>
    <cellStyle name="Standard 6 3 2 6 9 3" xfId="19728" xr:uid="{9991C9E0-A94E-422C-9EC4-9835EDA70CF2}"/>
    <cellStyle name="Standard 6 3 2 7" xfId="7769" xr:uid="{00000000-0005-0000-0000-0000601E0000}"/>
    <cellStyle name="Standard 6 3 2 7 10" xfId="7770" xr:uid="{00000000-0005-0000-0000-0000611E0000}"/>
    <cellStyle name="Standard 6 3 2 7 10 2" xfId="19731" xr:uid="{4856C43C-632A-40A5-9A99-72BF67938D27}"/>
    <cellStyle name="Standard 6 3 2 7 11" xfId="19730" xr:uid="{EDEECB78-C3A1-424A-A351-7ED0BEF3089B}"/>
    <cellStyle name="Standard 6 3 2 7 2" xfId="7771" xr:uid="{00000000-0005-0000-0000-0000621E0000}"/>
    <cellStyle name="Standard 6 3 2 7 2 10" xfId="19732" xr:uid="{B55D9FE2-9453-45F3-8E74-D1E3081C96BD}"/>
    <cellStyle name="Standard 6 3 2 7 2 2" xfId="7772" xr:uid="{00000000-0005-0000-0000-0000631E0000}"/>
    <cellStyle name="Standard 6 3 2 7 2 2 2" xfId="7773" xr:uid="{00000000-0005-0000-0000-0000641E0000}"/>
    <cellStyle name="Standard 6 3 2 7 2 2 2 2" xfId="7774" xr:uid="{00000000-0005-0000-0000-0000651E0000}"/>
    <cellStyle name="Standard 6 3 2 7 2 2 2 2 2" xfId="19735" xr:uid="{D1F46FE7-6AD2-41C7-8D11-1626B570A71D}"/>
    <cellStyle name="Standard 6 3 2 7 2 2 2 3" xfId="19734" xr:uid="{7922819F-072E-4531-87AF-7880AD6CDADD}"/>
    <cellStyle name="Standard 6 3 2 7 2 2 3" xfId="7775" xr:uid="{00000000-0005-0000-0000-0000661E0000}"/>
    <cellStyle name="Standard 6 3 2 7 2 2 3 2" xfId="19736" xr:uid="{C4DC5BAF-7335-4C69-A70A-35103190B83B}"/>
    <cellStyle name="Standard 6 3 2 7 2 2 4" xfId="19733" xr:uid="{EF5EF129-16CC-41DE-9A4E-3C3C31545675}"/>
    <cellStyle name="Standard 6 3 2 7 2 3" xfId="7776" xr:uid="{00000000-0005-0000-0000-0000671E0000}"/>
    <cellStyle name="Standard 6 3 2 7 2 3 2" xfId="7777" xr:uid="{00000000-0005-0000-0000-0000681E0000}"/>
    <cellStyle name="Standard 6 3 2 7 2 3 2 2" xfId="7778" xr:uid="{00000000-0005-0000-0000-0000691E0000}"/>
    <cellStyle name="Standard 6 3 2 7 2 3 2 2 2" xfId="19739" xr:uid="{DA6CF688-5922-4E4E-8D24-F26843CD90EE}"/>
    <cellStyle name="Standard 6 3 2 7 2 3 2 3" xfId="19738" xr:uid="{CBB3EC49-B6B0-4AEA-9617-B72A311D5A87}"/>
    <cellStyle name="Standard 6 3 2 7 2 3 3" xfId="7779" xr:uid="{00000000-0005-0000-0000-00006A1E0000}"/>
    <cellStyle name="Standard 6 3 2 7 2 3 3 2" xfId="19740" xr:uid="{63EA3001-6077-4C7A-AC4E-BB6FE1D68169}"/>
    <cellStyle name="Standard 6 3 2 7 2 3 4" xfId="19737" xr:uid="{02F637D0-9673-4501-9329-1F726B7DFD0E}"/>
    <cellStyle name="Standard 6 3 2 7 2 4" xfId="7780" xr:uid="{00000000-0005-0000-0000-00006B1E0000}"/>
    <cellStyle name="Standard 6 3 2 7 2 4 2" xfId="7781" xr:uid="{00000000-0005-0000-0000-00006C1E0000}"/>
    <cellStyle name="Standard 6 3 2 7 2 4 2 2" xfId="7782" xr:uid="{00000000-0005-0000-0000-00006D1E0000}"/>
    <cellStyle name="Standard 6 3 2 7 2 4 2 2 2" xfId="19743" xr:uid="{70F19D07-A8A8-43DA-BF28-3C044056FE15}"/>
    <cellStyle name="Standard 6 3 2 7 2 4 2 3" xfId="19742" xr:uid="{07164C8A-A686-4699-B2EF-520BB253C3AB}"/>
    <cellStyle name="Standard 6 3 2 7 2 4 3" xfId="7783" xr:uid="{00000000-0005-0000-0000-00006E1E0000}"/>
    <cellStyle name="Standard 6 3 2 7 2 4 3 2" xfId="19744" xr:uid="{28C77B97-F8A3-42D6-B670-C09B0191200F}"/>
    <cellStyle name="Standard 6 3 2 7 2 4 4" xfId="19741" xr:uid="{592FA42C-480C-409D-B9F6-2520CB839CA7}"/>
    <cellStyle name="Standard 6 3 2 7 2 5" xfId="7784" xr:uid="{00000000-0005-0000-0000-00006F1E0000}"/>
    <cellStyle name="Standard 6 3 2 7 2 5 2" xfId="7785" xr:uid="{00000000-0005-0000-0000-0000701E0000}"/>
    <cellStyle name="Standard 6 3 2 7 2 5 2 2" xfId="7786" xr:uid="{00000000-0005-0000-0000-0000711E0000}"/>
    <cellStyle name="Standard 6 3 2 7 2 5 2 2 2" xfId="19747" xr:uid="{8B77AAD4-A244-4B8C-8FEE-AB65F091B167}"/>
    <cellStyle name="Standard 6 3 2 7 2 5 2 3" xfId="19746" xr:uid="{2CC7A2DC-AF18-425A-983F-A4B1C7DCC8E8}"/>
    <cellStyle name="Standard 6 3 2 7 2 5 3" xfId="7787" xr:uid="{00000000-0005-0000-0000-0000721E0000}"/>
    <cellStyle name="Standard 6 3 2 7 2 5 3 2" xfId="19748" xr:uid="{225A092D-F06B-49E7-B82B-13AEF20A1D44}"/>
    <cellStyle name="Standard 6 3 2 7 2 5 4" xfId="19745" xr:uid="{7F9B1862-D534-42EC-89FA-C093495BA831}"/>
    <cellStyle name="Standard 6 3 2 7 2 6" xfId="7788" xr:uid="{00000000-0005-0000-0000-0000731E0000}"/>
    <cellStyle name="Standard 6 3 2 7 2 6 2" xfId="7789" xr:uid="{00000000-0005-0000-0000-0000741E0000}"/>
    <cellStyle name="Standard 6 3 2 7 2 6 2 2" xfId="7790" xr:uid="{00000000-0005-0000-0000-0000751E0000}"/>
    <cellStyle name="Standard 6 3 2 7 2 6 2 2 2" xfId="19751" xr:uid="{F1BAC071-17EC-446B-A4D7-8804120D8F06}"/>
    <cellStyle name="Standard 6 3 2 7 2 6 2 3" xfId="19750" xr:uid="{020D490A-E962-43B7-B536-1DFD662E5E03}"/>
    <cellStyle name="Standard 6 3 2 7 2 6 3" xfId="7791" xr:uid="{00000000-0005-0000-0000-0000761E0000}"/>
    <cellStyle name="Standard 6 3 2 7 2 6 3 2" xfId="19752" xr:uid="{8BFEFF85-D2D8-4596-8A81-5D87FD7ABAAA}"/>
    <cellStyle name="Standard 6 3 2 7 2 6 4" xfId="19749" xr:uid="{1D5A207E-834D-4644-BC76-AF144F326AC8}"/>
    <cellStyle name="Standard 6 3 2 7 2 7" xfId="7792" xr:uid="{00000000-0005-0000-0000-0000771E0000}"/>
    <cellStyle name="Standard 6 3 2 7 2 7 2" xfId="7793" xr:uid="{00000000-0005-0000-0000-0000781E0000}"/>
    <cellStyle name="Standard 6 3 2 7 2 7 2 2" xfId="7794" xr:uid="{00000000-0005-0000-0000-0000791E0000}"/>
    <cellStyle name="Standard 6 3 2 7 2 7 2 2 2" xfId="19755" xr:uid="{0B602D12-8078-427C-AB84-361383310E52}"/>
    <cellStyle name="Standard 6 3 2 7 2 7 2 3" xfId="19754" xr:uid="{895488D0-61A2-4F35-9DB1-A914DFE8AE5D}"/>
    <cellStyle name="Standard 6 3 2 7 2 7 3" xfId="7795" xr:uid="{00000000-0005-0000-0000-00007A1E0000}"/>
    <cellStyle name="Standard 6 3 2 7 2 7 3 2" xfId="19756" xr:uid="{1C7F8B64-4F60-4A23-88B5-59728CAFC0A3}"/>
    <cellStyle name="Standard 6 3 2 7 2 7 4" xfId="19753" xr:uid="{A13281A4-AB20-4D85-9BCD-4FD1D165F4F5}"/>
    <cellStyle name="Standard 6 3 2 7 2 8" xfId="7796" xr:uid="{00000000-0005-0000-0000-00007B1E0000}"/>
    <cellStyle name="Standard 6 3 2 7 2 8 2" xfId="7797" xr:uid="{00000000-0005-0000-0000-00007C1E0000}"/>
    <cellStyle name="Standard 6 3 2 7 2 8 2 2" xfId="19758" xr:uid="{DB833254-6FA4-4528-B3F9-C01062AB7F97}"/>
    <cellStyle name="Standard 6 3 2 7 2 8 3" xfId="19757" xr:uid="{2980B3D5-E75A-4D00-AD9F-B76BABE724C2}"/>
    <cellStyle name="Standard 6 3 2 7 2 9" xfId="7798" xr:uid="{00000000-0005-0000-0000-00007D1E0000}"/>
    <cellStyle name="Standard 6 3 2 7 2 9 2" xfId="19759" xr:uid="{1973A0DA-1B52-459D-932E-75AD28425754}"/>
    <cellStyle name="Standard 6 3 2 7 3" xfId="7799" xr:uid="{00000000-0005-0000-0000-00007E1E0000}"/>
    <cellStyle name="Standard 6 3 2 7 3 2" xfId="7800" xr:uid="{00000000-0005-0000-0000-00007F1E0000}"/>
    <cellStyle name="Standard 6 3 2 7 3 2 2" xfId="7801" xr:uid="{00000000-0005-0000-0000-0000801E0000}"/>
    <cellStyle name="Standard 6 3 2 7 3 2 2 2" xfId="19762" xr:uid="{BEEF8E9D-A3A8-441C-BC26-E10648170B5B}"/>
    <cellStyle name="Standard 6 3 2 7 3 2 3" xfId="19761" xr:uid="{99D71C2D-2437-44D9-9FBA-0F91315FBC0B}"/>
    <cellStyle name="Standard 6 3 2 7 3 3" xfId="7802" xr:uid="{00000000-0005-0000-0000-0000811E0000}"/>
    <cellStyle name="Standard 6 3 2 7 3 3 2" xfId="19763" xr:uid="{BF24C67B-DD81-44D7-8155-3A9D3E3A81B9}"/>
    <cellStyle name="Standard 6 3 2 7 3 4" xfId="19760" xr:uid="{B8985108-330C-467B-91EF-CB5D91D8DD51}"/>
    <cellStyle name="Standard 6 3 2 7 4" xfId="7803" xr:uid="{00000000-0005-0000-0000-0000821E0000}"/>
    <cellStyle name="Standard 6 3 2 7 4 2" xfId="7804" xr:uid="{00000000-0005-0000-0000-0000831E0000}"/>
    <cellStyle name="Standard 6 3 2 7 4 2 2" xfId="7805" xr:uid="{00000000-0005-0000-0000-0000841E0000}"/>
    <cellStyle name="Standard 6 3 2 7 4 2 2 2" xfId="19766" xr:uid="{68DD2475-59BF-45CE-8273-9A02C98393BC}"/>
    <cellStyle name="Standard 6 3 2 7 4 2 3" xfId="19765" xr:uid="{9596C838-0338-489A-A098-A94FA7AE98BC}"/>
    <cellStyle name="Standard 6 3 2 7 4 3" xfId="7806" xr:uid="{00000000-0005-0000-0000-0000851E0000}"/>
    <cellStyle name="Standard 6 3 2 7 4 3 2" xfId="19767" xr:uid="{552E6E3C-7098-4B65-B9AE-8CA78A36B755}"/>
    <cellStyle name="Standard 6 3 2 7 4 4" xfId="19764" xr:uid="{23907D61-C0C5-45C7-90AF-6FE83CAE862C}"/>
    <cellStyle name="Standard 6 3 2 7 5" xfId="7807" xr:uid="{00000000-0005-0000-0000-0000861E0000}"/>
    <cellStyle name="Standard 6 3 2 7 5 2" xfId="7808" xr:uid="{00000000-0005-0000-0000-0000871E0000}"/>
    <cellStyle name="Standard 6 3 2 7 5 2 2" xfId="7809" xr:uid="{00000000-0005-0000-0000-0000881E0000}"/>
    <cellStyle name="Standard 6 3 2 7 5 2 2 2" xfId="19770" xr:uid="{F23A84F1-6E96-484C-8C54-84321E9EE576}"/>
    <cellStyle name="Standard 6 3 2 7 5 2 3" xfId="19769" xr:uid="{A473D2F6-8BFD-49A6-B5D1-716DBB825BA3}"/>
    <cellStyle name="Standard 6 3 2 7 5 3" xfId="7810" xr:uid="{00000000-0005-0000-0000-0000891E0000}"/>
    <cellStyle name="Standard 6 3 2 7 5 3 2" xfId="19771" xr:uid="{C349774F-3047-4FB8-ADE1-81120C84B07D}"/>
    <cellStyle name="Standard 6 3 2 7 5 4" xfId="19768" xr:uid="{BFCC9E94-F8D0-462D-80E1-41905EC330AE}"/>
    <cellStyle name="Standard 6 3 2 7 6" xfId="7811" xr:uid="{00000000-0005-0000-0000-00008A1E0000}"/>
    <cellStyle name="Standard 6 3 2 7 6 2" xfId="7812" xr:uid="{00000000-0005-0000-0000-00008B1E0000}"/>
    <cellStyle name="Standard 6 3 2 7 6 2 2" xfId="7813" xr:uid="{00000000-0005-0000-0000-00008C1E0000}"/>
    <cellStyle name="Standard 6 3 2 7 6 2 2 2" xfId="19774" xr:uid="{08EEE850-C3CE-41B0-8370-AC8A1F6E0ABE}"/>
    <cellStyle name="Standard 6 3 2 7 6 2 3" xfId="19773" xr:uid="{5EB62582-373A-4BDA-81FF-980C634D8ED4}"/>
    <cellStyle name="Standard 6 3 2 7 6 3" xfId="7814" xr:uid="{00000000-0005-0000-0000-00008D1E0000}"/>
    <cellStyle name="Standard 6 3 2 7 6 3 2" xfId="19775" xr:uid="{4056667D-90BC-472B-9CBF-79CEF9BDA364}"/>
    <cellStyle name="Standard 6 3 2 7 6 4" xfId="19772" xr:uid="{D2871452-A80B-4D20-9112-A7ADC8F11103}"/>
    <cellStyle name="Standard 6 3 2 7 7" xfId="7815" xr:uid="{00000000-0005-0000-0000-00008E1E0000}"/>
    <cellStyle name="Standard 6 3 2 7 7 2" xfId="7816" xr:uid="{00000000-0005-0000-0000-00008F1E0000}"/>
    <cellStyle name="Standard 6 3 2 7 7 2 2" xfId="7817" xr:uid="{00000000-0005-0000-0000-0000901E0000}"/>
    <cellStyle name="Standard 6 3 2 7 7 2 2 2" xfId="19778" xr:uid="{0A4E1A78-45FD-457A-A3DA-1C28725999F3}"/>
    <cellStyle name="Standard 6 3 2 7 7 2 3" xfId="19777" xr:uid="{E42D4E85-FB73-4054-B982-C6FE2C0B6B71}"/>
    <cellStyle name="Standard 6 3 2 7 7 3" xfId="7818" xr:uid="{00000000-0005-0000-0000-0000911E0000}"/>
    <cellStyle name="Standard 6 3 2 7 7 3 2" xfId="19779" xr:uid="{014AD5AE-53A1-4E35-AF99-44B98F4FEB72}"/>
    <cellStyle name="Standard 6 3 2 7 7 4" xfId="19776" xr:uid="{54B7A0AA-D8F9-4D58-9FAA-8F1A0EE875EC}"/>
    <cellStyle name="Standard 6 3 2 7 8" xfId="7819" xr:uid="{00000000-0005-0000-0000-0000921E0000}"/>
    <cellStyle name="Standard 6 3 2 7 8 2" xfId="7820" xr:uid="{00000000-0005-0000-0000-0000931E0000}"/>
    <cellStyle name="Standard 6 3 2 7 8 2 2" xfId="7821" xr:uid="{00000000-0005-0000-0000-0000941E0000}"/>
    <cellStyle name="Standard 6 3 2 7 8 2 2 2" xfId="19782" xr:uid="{0B744F40-C79B-4E12-8906-E3064560FE8D}"/>
    <cellStyle name="Standard 6 3 2 7 8 2 3" xfId="19781" xr:uid="{A4BC4F42-D01D-4B6D-8949-EFC3ACE06BCE}"/>
    <cellStyle name="Standard 6 3 2 7 8 3" xfId="7822" xr:uid="{00000000-0005-0000-0000-0000951E0000}"/>
    <cellStyle name="Standard 6 3 2 7 8 3 2" xfId="19783" xr:uid="{97825054-C6AB-4CEF-A1DC-750C0CA65D1E}"/>
    <cellStyle name="Standard 6 3 2 7 8 4" xfId="19780" xr:uid="{AC4DF748-7E02-40DF-B5EC-A78AA5D6604E}"/>
    <cellStyle name="Standard 6 3 2 7 9" xfId="7823" xr:uid="{00000000-0005-0000-0000-0000961E0000}"/>
    <cellStyle name="Standard 6 3 2 7 9 2" xfId="7824" xr:uid="{00000000-0005-0000-0000-0000971E0000}"/>
    <cellStyle name="Standard 6 3 2 7 9 2 2" xfId="19785" xr:uid="{B5B4E4C5-B95E-4972-B2D5-EDEEAC73F3C6}"/>
    <cellStyle name="Standard 6 3 2 7 9 3" xfId="19784" xr:uid="{C4709819-7263-40E2-9078-B3CDEB02EB25}"/>
    <cellStyle name="Standard 6 3 2 8" xfId="7825" xr:uid="{00000000-0005-0000-0000-0000981E0000}"/>
    <cellStyle name="Standard 6 3 2 8 10" xfId="7826" xr:uid="{00000000-0005-0000-0000-0000991E0000}"/>
    <cellStyle name="Standard 6 3 2 8 10 2" xfId="19787" xr:uid="{C100098C-6F42-4167-BE0C-B9ACB98C8C83}"/>
    <cellStyle name="Standard 6 3 2 8 11" xfId="19786" xr:uid="{ABE9985E-C705-4A92-AE73-42D66E2F3B74}"/>
    <cellStyle name="Standard 6 3 2 8 2" xfId="7827" xr:uid="{00000000-0005-0000-0000-00009A1E0000}"/>
    <cellStyle name="Standard 6 3 2 8 2 10" xfId="19788" xr:uid="{FB971766-A7F1-49D2-A818-5D573CFDE738}"/>
    <cellStyle name="Standard 6 3 2 8 2 2" xfId="7828" xr:uid="{00000000-0005-0000-0000-00009B1E0000}"/>
    <cellStyle name="Standard 6 3 2 8 2 2 2" xfId="7829" xr:uid="{00000000-0005-0000-0000-00009C1E0000}"/>
    <cellStyle name="Standard 6 3 2 8 2 2 2 2" xfId="7830" xr:uid="{00000000-0005-0000-0000-00009D1E0000}"/>
    <cellStyle name="Standard 6 3 2 8 2 2 2 2 2" xfId="19791" xr:uid="{37FE3BF2-E2A8-4128-8B05-845DA68EEB20}"/>
    <cellStyle name="Standard 6 3 2 8 2 2 2 3" xfId="19790" xr:uid="{8EC4AC93-04EF-477C-8004-6E7F4143F424}"/>
    <cellStyle name="Standard 6 3 2 8 2 2 3" xfId="7831" xr:uid="{00000000-0005-0000-0000-00009E1E0000}"/>
    <cellStyle name="Standard 6 3 2 8 2 2 3 2" xfId="19792" xr:uid="{66A045BC-B6D4-4E67-85F0-C185B838CD88}"/>
    <cellStyle name="Standard 6 3 2 8 2 2 4" xfId="19789" xr:uid="{5E309C54-87A9-487A-9B2A-012A933FD28D}"/>
    <cellStyle name="Standard 6 3 2 8 2 3" xfId="7832" xr:uid="{00000000-0005-0000-0000-00009F1E0000}"/>
    <cellStyle name="Standard 6 3 2 8 2 3 2" xfId="7833" xr:uid="{00000000-0005-0000-0000-0000A01E0000}"/>
    <cellStyle name="Standard 6 3 2 8 2 3 2 2" xfId="7834" xr:uid="{00000000-0005-0000-0000-0000A11E0000}"/>
    <cellStyle name="Standard 6 3 2 8 2 3 2 2 2" xfId="19795" xr:uid="{9283E52D-9235-4EB9-B6D2-1DA74C5E62BD}"/>
    <cellStyle name="Standard 6 3 2 8 2 3 2 3" xfId="19794" xr:uid="{03CF1E8A-11C1-47E3-95DB-E1D89A9E243E}"/>
    <cellStyle name="Standard 6 3 2 8 2 3 3" xfId="7835" xr:uid="{00000000-0005-0000-0000-0000A21E0000}"/>
    <cellStyle name="Standard 6 3 2 8 2 3 3 2" xfId="19796" xr:uid="{F42E60BD-9A86-4CC6-87E7-EB9F0703978B}"/>
    <cellStyle name="Standard 6 3 2 8 2 3 4" xfId="19793" xr:uid="{748B9530-B5C6-4230-A9E1-C385EDF3F2BB}"/>
    <cellStyle name="Standard 6 3 2 8 2 4" xfId="7836" xr:uid="{00000000-0005-0000-0000-0000A31E0000}"/>
    <cellStyle name="Standard 6 3 2 8 2 4 2" xfId="7837" xr:uid="{00000000-0005-0000-0000-0000A41E0000}"/>
    <cellStyle name="Standard 6 3 2 8 2 4 2 2" xfId="7838" xr:uid="{00000000-0005-0000-0000-0000A51E0000}"/>
    <cellStyle name="Standard 6 3 2 8 2 4 2 2 2" xfId="19799" xr:uid="{BB7E5227-1BDB-4607-8CBC-380369FB1158}"/>
    <cellStyle name="Standard 6 3 2 8 2 4 2 3" xfId="19798" xr:uid="{9D758F0A-06BD-4593-9341-FBA9097D4AE2}"/>
    <cellStyle name="Standard 6 3 2 8 2 4 3" xfId="7839" xr:uid="{00000000-0005-0000-0000-0000A61E0000}"/>
    <cellStyle name="Standard 6 3 2 8 2 4 3 2" xfId="19800" xr:uid="{39D2ECEE-F531-41AC-BB74-724232C85867}"/>
    <cellStyle name="Standard 6 3 2 8 2 4 4" xfId="19797" xr:uid="{8F9C71BB-A24D-45D6-B621-DBCDC2E96286}"/>
    <cellStyle name="Standard 6 3 2 8 2 5" xfId="7840" xr:uid="{00000000-0005-0000-0000-0000A71E0000}"/>
    <cellStyle name="Standard 6 3 2 8 2 5 2" xfId="7841" xr:uid="{00000000-0005-0000-0000-0000A81E0000}"/>
    <cellStyle name="Standard 6 3 2 8 2 5 2 2" xfId="7842" xr:uid="{00000000-0005-0000-0000-0000A91E0000}"/>
    <cellStyle name="Standard 6 3 2 8 2 5 2 2 2" xfId="19803" xr:uid="{DBF777EA-2D9E-4B25-AC71-C0132E537377}"/>
    <cellStyle name="Standard 6 3 2 8 2 5 2 3" xfId="19802" xr:uid="{BDD19BE8-BE7B-40BE-B393-0B30126E77F8}"/>
    <cellStyle name="Standard 6 3 2 8 2 5 3" xfId="7843" xr:uid="{00000000-0005-0000-0000-0000AA1E0000}"/>
    <cellStyle name="Standard 6 3 2 8 2 5 3 2" xfId="19804" xr:uid="{4B8C5E82-0C4A-407F-86BB-11D014A68E75}"/>
    <cellStyle name="Standard 6 3 2 8 2 5 4" xfId="19801" xr:uid="{D1E75F58-A740-4876-B6EF-23B8990A42ED}"/>
    <cellStyle name="Standard 6 3 2 8 2 6" xfId="7844" xr:uid="{00000000-0005-0000-0000-0000AB1E0000}"/>
    <cellStyle name="Standard 6 3 2 8 2 6 2" xfId="7845" xr:uid="{00000000-0005-0000-0000-0000AC1E0000}"/>
    <cellStyle name="Standard 6 3 2 8 2 6 2 2" xfId="7846" xr:uid="{00000000-0005-0000-0000-0000AD1E0000}"/>
    <cellStyle name="Standard 6 3 2 8 2 6 2 2 2" xfId="19807" xr:uid="{89A217E8-0171-45D9-91A6-3CB0EEEBA8B5}"/>
    <cellStyle name="Standard 6 3 2 8 2 6 2 3" xfId="19806" xr:uid="{8D0573D1-B877-4DC8-A637-23D838D60352}"/>
    <cellStyle name="Standard 6 3 2 8 2 6 3" xfId="7847" xr:uid="{00000000-0005-0000-0000-0000AE1E0000}"/>
    <cellStyle name="Standard 6 3 2 8 2 6 3 2" xfId="19808" xr:uid="{768176F0-9EDD-49A7-8554-AC7CAAC8C790}"/>
    <cellStyle name="Standard 6 3 2 8 2 6 4" xfId="19805" xr:uid="{E465B58D-D257-4C5D-ABBB-71FEC25441FA}"/>
    <cellStyle name="Standard 6 3 2 8 2 7" xfId="7848" xr:uid="{00000000-0005-0000-0000-0000AF1E0000}"/>
    <cellStyle name="Standard 6 3 2 8 2 7 2" xfId="7849" xr:uid="{00000000-0005-0000-0000-0000B01E0000}"/>
    <cellStyle name="Standard 6 3 2 8 2 7 2 2" xfId="7850" xr:uid="{00000000-0005-0000-0000-0000B11E0000}"/>
    <cellStyle name="Standard 6 3 2 8 2 7 2 2 2" xfId="19811" xr:uid="{8CA3DAD5-03A9-45D6-9249-CE37964285B6}"/>
    <cellStyle name="Standard 6 3 2 8 2 7 2 3" xfId="19810" xr:uid="{E5FD85F5-88C1-4A42-B7C0-B489994B2561}"/>
    <cellStyle name="Standard 6 3 2 8 2 7 3" xfId="7851" xr:uid="{00000000-0005-0000-0000-0000B21E0000}"/>
    <cellStyle name="Standard 6 3 2 8 2 7 3 2" xfId="19812" xr:uid="{6BA5E788-DA88-4671-8707-DEC902B6DB11}"/>
    <cellStyle name="Standard 6 3 2 8 2 7 4" xfId="19809" xr:uid="{48ABF7C5-C7D1-45FB-8744-8EC19882E885}"/>
    <cellStyle name="Standard 6 3 2 8 2 8" xfId="7852" xr:uid="{00000000-0005-0000-0000-0000B31E0000}"/>
    <cellStyle name="Standard 6 3 2 8 2 8 2" xfId="7853" xr:uid="{00000000-0005-0000-0000-0000B41E0000}"/>
    <cellStyle name="Standard 6 3 2 8 2 8 2 2" xfId="19814" xr:uid="{770488BD-A285-419A-84B0-1CB6ECEC308C}"/>
    <cellStyle name="Standard 6 3 2 8 2 8 3" xfId="19813" xr:uid="{C613EEDC-3496-4AAD-9F97-29BB11026A36}"/>
    <cellStyle name="Standard 6 3 2 8 2 9" xfId="7854" xr:uid="{00000000-0005-0000-0000-0000B51E0000}"/>
    <cellStyle name="Standard 6 3 2 8 2 9 2" xfId="19815" xr:uid="{5CA53AA2-E525-49BC-B340-2B256D56D9DE}"/>
    <cellStyle name="Standard 6 3 2 8 3" xfId="7855" xr:uid="{00000000-0005-0000-0000-0000B61E0000}"/>
    <cellStyle name="Standard 6 3 2 8 3 2" xfId="7856" xr:uid="{00000000-0005-0000-0000-0000B71E0000}"/>
    <cellStyle name="Standard 6 3 2 8 3 2 2" xfId="7857" xr:uid="{00000000-0005-0000-0000-0000B81E0000}"/>
    <cellStyle name="Standard 6 3 2 8 3 2 2 2" xfId="19818" xr:uid="{414BB274-EE81-4AAE-9DA2-D128A5D0FD7B}"/>
    <cellStyle name="Standard 6 3 2 8 3 2 3" xfId="19817" xr:uid="{1F6E345D-FDCA-4C98-9E79-2EA88F6256DB}"/>
    <cellStyle name="Standard 6 3 2 8 3 3" xfId="7858" xr:uid="{00000000-0005-0000-0000-0000B91E0000}"/>
    <cellStyle name="Standard 6 3 2 8 3 3 2" xfId="19819" xr:uid="{D3D3E95B-B0CE-4902-B717-06A1AB0B79DB}"/>
    <cellStyle name="Standard 6 3 2 8 3 4" xfId="19816" xr:uid="{EFC34B1C-1650-4086-9CF3-B18F215FC6FE}"/>
    <cellStyle name="Standard 6 3 2 8 4" xfId="7859" xr:uid="{00000000-0005-0000-0000-0000BA1E0000}"/>
    <cellStyle name="Standard 6 3 2 8 4 2" xfId="7860" xr:uid="{00000000-0005-0000-0000-0000BB1E0000}"/>
    <cellStyle name="Standard 6 3 2 8 4 2 2" xfId="7861" xr:uid="{00000000-0005-0000-0000-0000BC1E0000}"/>
    <cellStyle name="Standard 6 3 2 8 4 2 2 2" xfId="19822" xr:uid="{E4E60A0D-78B0-44E9-B359-7A14BA9B71F2}"/>
    <cellStyle name="Standard 6 3 2 8 4 2 3" xfId="19821" xr:uid="{26BB5B3C-EDC9-4BE2-BD22-D2ABA313E5F7}"/>
    <cellStyle name="Standard 6 3 2 8 4 3" xfId="7862" xr:uid="{00000000-0005-0000-0000-0000BD1E0000}"/>
    <cellStyle name="Standard 6 3 2 8 4 3 2" xfId="19823" xr:uid="{07B80540-D49D-43A4-B45F-33EE079280AB}"/>
    <cellStyle name="Standard 6 3 2 8 4 4" xfId="19820" xr:uid="{DC4FC283-2E91-404E-9945-B5BA64260BE6}"/>
    <cellStyle name="Standard 6 3 2 8 5" xfId="7863" xr:uid="{00000000-0005-0000-0000-0000BE1E0000}"/>
    <cellStyle name="Standard 6 3 2 8 5 2" xfId="7864" xr:uid="{00000000-0005-0000-0000-0000BF1E0000}"/>
    <cellStyle name="Standard 6 3 2 8 5 2 2" xfId="7865" xr:uid="{00000000-0005-0000-0000-0000C01E0000}"/>
    <cellStyle name="Standard 6 3 2 8 5 2 2 2" xfId="19826" xr:uid="{E48EDCD7-CB4F-4493-9977-55337751279C}"/>
    <cellStyle name="Standard 6 3 2 8 5 2 3" xfId="19825" xr:uid="{EB0A3A75-4AB2-4F68-BCF2-4B02D4E80942}"/>
    <cellStyle name="Standard 6 3 2 8 5 3" xfId="7866" xr:uid="{00000000-0005-0000-0000-0000C11E0000}"/>
    <cellStyle name="Standard 6 3 2 8 5 3 2" xfId="19827" xr:uid="{119D9913-832C-4342-8BFB-10E23968DED2}"/>
    <cellStyle name="Standard 6 3 2 8 5 4" xfId="19824" xr:uid="{212AF819-C2D6-43BB-9F8A-47E0A9737AEC}"/>
    <cellStyle name="Standard 6 3 2 8 6" xfId="7867" xr:uid="{00000000-0005-0000-0000-0000C21E0000}"/>
    <cellStyle name="Standard 6 3 2 8 6 2" xfId="7868" xr:uid="{00000000-0005-0000-0000-0000C31E0000}"/>
    <cellStyle name="Standard 6 3 2 8 6 2 2" xfId="7869" xr:uid="{00000000-0005-0000-0000-0000C41E0000}"/>
    <cellStyle name="Standard 6 3 2 8 6 2 2 2" xfId="19830" xr:uid="{EBDBD57D-C253-4511-80DA-D0A14B4ADE33}"/>
    <cellStyle name="Standard 6 3 2 8 6 2 3" xfId="19829" xr:uid="{8C43BBBB-C2BA-4B03-A0A0-2607614013F4}"/>
    <cellStyle name="Standard 6 3 2 8 6 3" xfId="7870" xr:uid="{00000000-0005-0000-0000-0000C51E0000}"/>
    <cellStyle name="Standard 6 3 2 8 6 3 2" xfId="19831" xr:uid="{F0027A90-E7FD-4A77-B1B0-7217A33549CA}"/>
    <cellStyle name="Standard 6 3 2 8 6 4" xfId="19828" xr:uid="{3F90D407-610C-46E2-833E-46624671DE78}"/>
    <cellStyle name="Standard 6 3 2 8 7" xfId="7871" xr:uid="{00000000-0005-0000-0000-0000C61E0000}"/>
    <cellStyle name="Standard 6 3 2 8 7 2" xfId="7872" xr:uid="{00000000-0005-0000-0000-0000C71E0000}"/>
    <cellStyle name="Standard 6 3 2 8 7 2 2" xfId="7873" xr:uid="{00000000-0005-0000-0000-0000C81E0000}"/>
    <cellStyle name="Standard 6 3 2 8 7 2 2 2" xfId="19834" xr:uid="{8F109E19-1278-42EA-B9CC-62C1F6DEED5F}"/>
    <cellStyle name="Standard 6 3 2 8 7 2 3" xfId="19833" xr:uid="{D8A4B5F0-088D-4BB9-96B0-B40B6D2C3A44}"/>
    <cellStyle name="Standard 6 3 2 8 7 3" xfId="7874" xr:uid="{00000000-0005-0000-0000-0000C91E0000}"/>
    <cellStyle name="Standard 6 3 2 8 7 3 2" xfId="19835" xr:uid="{22742443-23CF-4B96-87DC-BC29A7FA58C2}"/>
    <cellStyle name="Standard 6 3 2 8 7 4" xfId="19832" xr:uid="{4D9141A9-A563-4F4F-BC8F-597ADE56C811}"/>
    <cellStyle name="Standard 6 3 2 8 8" xfId="7875" xr:uid="{00000000-0005-0000-0000-0000CA1E0000}"/>
    <cellStyle name="Standard 6 3 2 8 8 2" xfId="7876" xr:uid="{00000000-0005-0000-0000-0000CB1E0000}"/>
    <cellStyle name="Standard 6 3 2 8 8 2 2" xfId="7877" xr:uid="{00000000-0005-0000-0000-0000CC1E0000}"/>
    <cellStyle name="Standard 6 3 2 8 8 2 2 2" xfId="19838" xr:uid="{16F7C1BF-3EDC-4771-8B1A-C44496843560}"/>
    <cellStyle name="Standard 6 3 2 8 8 2 3" xfId="19837" xr:uid="{28CAC755-CFED-4CC8-BCC8-79DBC20C904A}"/>
    <cellStyle name="Standard 6 3 2 8 8 3" xfId="7878" xr:uid="{00000000-0005-0000-0000-0000CD1E0000}"/>
    <cellStyle name="Standard 6 3 2 8 8 3 2" xfId="19839" xr:uid="{1E6FE6ED-6CAD-48A2-88EB-032AA21E12B0}"/>
    <cellStyle name="Standard 6 3 2 8 8 4" xfId="19836" xr:uid="{C10C1B49-D38D-4A41-9705-1DF7E7962478}"/>
    <cellStyle name="Standard 6 3 2 8 9" xfId="7879" xr:uid="{00000000-0005-0000-0000-0000CE1E0000}"/>
    <cellStyle name="Standard 6 3 2 8 9 2" xfId="7880" xr:uid="{00000000-0005-0000-0000-0000CF1E0000}"/>
    <cellStyle name="Standard 6 3 2 8 9 2 2" xfId="19841" xr:uid="{B07E247F-DB97-4756-BD6F-1455EF0C9478}"/>
    <cellStyle name="Standard 6 3 2 8 9 3" xfId="19840" xr:uid="{9AF57624-0C9E-40A1-B131-F697BE4C540F}"/>
    <cellStyle name="Standard 6 3 2 9" xfId="7881" xr:uid="{00000000-0005-0000-0000-0000D01E0000}"/>
    <cellStyle name="Standard 6 3 2 9 10" xfId="7882" xr:uid="{00000000-0005-0000-0000-0000D11E0000}"/>
    <cellStyle name="Standard 6 3 2 9 10 2" xfId="19843" xr:uid="{30ACE63B-055D-4B39-AFFE-985537F8C839}"/>
    <cellStyle name="Standard 6 3 2 9 11" xfId="19842" xr:uid="{2EE94FD2-DE40-4086-88B0-53EB05A9CD2A}"/>
    <cellStyle name="Standard 6 3 2 9 2" xfId="7883" xr:uid="{00000000-0005-0000-0000-0000D21E0000}"/>
    <cellStyle name="Standard 6 3 2 9 2 10" xfId="19844" xr:uid="{9748CB8D-9BAE-4011-A9E3-0C89D21D5EB1}"/>
    <cellStyle name="Standard 6 3 2 9 2 2" xfId="7884" xr:uid="{00000000-0005-0000-0000-0000D31E0000}"/>
    <cellStyle name="Standard 6 3 2 9 2 2 2" xfId="7885" xr:uid="{00000000-0005-0000-0000-0000D41E0000}"/>
    <cellStyle name="Standard 6 3 2 9 2 2 2 2" xfId="7886" xr:uid="{00000000-0005-0000-0000-0000D51E0000}"/>
    <cellStyle name="Standard 6 3 2 9 2 2 2 2 2" xfId="19847" xr:uid="{7D8BF8E7-CFD3-4B4D-AE1C-37A15BFE0048}"/>
    <cellStyle name="Standard 6 3 2 9 2 2 2 3" xfId="19846" xr:uid="{8503F150-11DE-4989-82D4-13AF5C64D604}"/>
    <cellStyle name="Standard 6 3 2 9 2 2 3" xfId="7887" xr:uid="{00000000-0005-0000-0000-0000D61E0000}"/>
    <cellStyle name="Standard 6 3 2 9 2 2 3 2" xfId="19848" xr:uid="{42EB30AC-A376-4D15-BE18-E11A6FEB1274}"/>
    <cellStyle name="Standard 6 3 2 9 2 2 4" xfId="19845" xr:uid="{D2B435AB-D9E0-4E69-9363-FCC9C20F729B}"/>
    <cellStyle name="Standard 6 3 2 9 2 3" xfId="7888" xr:uid="{00000000-0005-0000-0000-0000D71E0000}"/>
    <cellStyle name="Standard 6 3 2 9 2 3 2" xfId="7889" xr:uid="{00000000-0005-0000-0000-0000D81E0000}"/>
    <cellStyle name="Standard 6 3 2 9 2 3 2 2" xfId="7890" xr:uid="{00000000-0005-0000-0000-0000D91E0000}"/>
    <cellStyle name="Standard 6 3 2 9 2 3 2 2 2" xfId="19851" xr:uid="{D7ACC6EC-5D7C-405D-99AA-D03AFA80A118}"/>
    <cellStyle name="Standard 6 3 2 9 2 3 2 3" xfId="19850" xr:uid="{7EF50112-66F3-4673-A563-02FCAB4729F0}"/>
    <cellStyle name="Standard 6 3 2 9 2 3 3" xfId="7891" xr:uid="{00000000-0005-0000-0000-0000DA1E0000}"/>
    <cellStyle name="Standard 6 3 2 9 2 3 3 2" xfId="19852" xr:uid="{655B4BC3-CC54-4F01-B177-35A69562188D}"/>
    <cellStyle name="Standard 6 3 2 9 2 3 4" xfId="19849" xr:uid="{0638F121-084D-441D-9D15-664FAE89AAA6}"/>
    <cellStyle name="Standard 6 3 2 9 2 4" xfId="7892" xr:uid="{00000000-0005-0000-0000-0000DB1E0000}"/>
    <cellStyle name="Standard 6 3 2 9 2 4 2" xfId="7893" xr:uid="{00000000-0005-0000-0000-0000DC1E0000}"/>
    <cellStyle name="Standard 6 3 2 9 2 4 2 2" xfId="7894" xr:uid="{00000000-0005-0000-0000-0000DD1E0000}"/>
    <cellStyle name="Standard 6 3 2 9 2 4 2 2 2" xfId="19855" xr:uid="{E5AB90AD-DE80-4509-8209-4C13ECA5DDF7}"/>
    <cellStyle name="Standard 6 3 2 9 2 4 2 3" xfId="19854" xr:uid="{D76B1AA3-B7F2-458A-9BC0-728EEF5E88EF}"/>
    <cellStyle name="Standard 6 3 2 9 2 4 3" xfId="7895" xr:uid="{00000000-0005-0000-0000-0000DE1E0000}"/>
    <cellStyle name="Standard 6 3 2 9 2 4 3 2" xfId="19856" xr:uid="{C75C7E49-3FAB-48E1-85B5-E588D74D3B89}"/>
    <cellStyle name="Standard 6 3 2 9 2 4 4" xfId="19853" xr:uid="{B0659DDF-CC60-43C6-9B7F-4A94A3F7C5B7}"/>
    <cellStyle name="Standard 6 3 2 9 2 5" xfId="7896" xr:uid="{00000000-0005-0000-0000-0000DF1E0000}"/>
    <cellStyle name="Standard 6 3 2 9 2 5 2" xfId="7897" xr:uid="{00000000-0005-0000-0000-0000E01E0000}"/>
    <cellStyle name="Standard 6 3 2 9 2 5 2 2" xfId="7898" xr:uid="{00000000-0005-0000-0000-0000E11E0000}"/>
    <cellStyle name="Standard 6 3 2 9 2 5 2 2 2" xfId="19859" xr:uid="{178E99D9-12FF-473B-8C19-131F993812A2}"/>
    <cellStyle name="Standard 6 3 2 9 2 5 2 3" xfId="19858" xr:uid="{E754D842-6FC5-47F7-BB2F-BBF04D789F62}"/>
    <cellStyle name="Standard 6 3 2 9 2 5 3" xfId="7899" xr:uid="{00000000-0005-0000-0000-0000E21E0000}"/>
    <cellStyle name="Standard 6 3 2 9 2 5 3 2" xfId="19860" xr:uid="{B702F510-DB8F-49C2-A74E-A34F0CC700DC}"/>
    <cellStyle name="Standard 6 3 2 9 2 5 4" xfId="19857" xr:uid="{7DA9A70E-8FB2-4E7A-BFC2-DA7CAC1710D6}"/>
    <cellStyle name="Standard 6 3 2 9 2 6" xfId="7900" xr:uid="{00000000-0005-0000-0000-0000E31E0000}"/>
    <cellStyle name="Standard 6 3 2 9 2 6 2" xfId="7901" xr:uid="{00000000-0005-0000-0000-0000E41E0000}"/>
    <cellStyle name="Standard 6 3 2 9 2 6 2 2" xfId="7902" xr:uid="{00000000-0005-0000-0000-0000E51E0000}"/>
    <cellStyle name="Standard 6 3 2 9 2 6 2 2 2" xfId="19863" xr:uid="{19F3166D-832B-461C-9719-C9A4AA8D5451}"/>
    <cellStyle name="Standard 6 3 2 9 2 6 2 3" xfId="19862" xr:uid="{39413AC2-60B4-4138-A922-1C8F6E122044}"/>
    <cellStyle name="Standard 6 3 2 9 2 6 3" xfId="7903" xr:uid="{00000000-0005-0000-0000-0000E61E0000}"/>
    <cellStyle name="Standard 6 3 2 9 2 6 3 2" xfId="19864" xr:uid="{00C589AE-ED98-47AD-8232-38EDD727A47D}"/>
    <cellStyle name="Standard 6 3 2 9 2 6 4" xfId="19861" xr:uid="{37DE2ECE-77AE-4E89-9FDF-4A1DF0A049C1}"/>
    <cellStyle name="Standard 6 3 2 9 2 7" xfId="7904" xr:uid="{00000000-0005-0000-0000-0000E71E0000}"/>
    <cellStyle name="Standard 6 3 2 9 2 7 2" xfId="7905" xr:uid="{00000000-0005-0000-0000-0000E81E0000}"/>
    <cellStyle name="Standard 6 3 2 9 2 7 2 2" xfId="7906" xr:uid="{00000000-0005-0000-0000-0000E91E0000}"/>
    <cellStyle name="Standard 6 3 2 9 2 7 2 2 2" xfId="19867" xr:uid="{2D81B458-8DD1-4FBF-A5DB-BDE1C5ED60B2}"/>
    <cellStyle name="Standard 6 3 2 9 2 7 2 3" xfId="19866" xr:uid="{99206045-99A2-40CA-A42C-36D28E3BB754}"/>
    <cellStyle name="Standard 6 3 2 9 2 7 3" xfId="7907" xr:uid="{00000000-0005-0000-0000-0000EA1E0000}"/>
    <cellStyle name="Standard 6 3 2 9 2 7 3 2" xfId="19868" xr:uid="{46411C7E-B5D1-4E4A-A0D9-5035376C8CDB}"/>
    <cellStyle name="Standard 6 3 2 9 2 7 4" xfId="19865" xr:uid="{C612A70E-3788-4C56-9F46-17C1F84AC5E9}"/>
    <cellStyle name="Standard 6 3 2 9 2 8" xfId="7908" xr:uid="{00000000-0005-0000-0000-0000EB1E0000}"/>
    <cellStyle name="Standard 6 3 2 9 2 8 2" xfId="7909" xr:uid="{00000000-0005-0000-0000-0000EC1E0000}"/>
    <cellStyle name="Standard 6 3 2 9 2 8 2 2" xfId="19870" xr:uid="{9755C1CB-3374-48D6-84E8-A44BD7710F24}"/>
    <cellStyle name="Standard 6 3 2 9 2 8 3" xfId="19869" xr:uid="{9D5EA156-518F-4BB2-83E6-290DDAAFA617}"/>
    <cellStyle name="Standard 6 3 2 9 2 9" xfId="7910" xr:uid="{00000000-0005-0000-0000-0000ED1E0000}"/>
    <cellStyle name="Standard 6 3 2 9 2 9 2" xfId="19871" xr:uid="{869966C9-8B52-46C4-BADF-46D1E0DB6572}"/>
    <cellStyle name="Standard 6 3 2 9 3" xfId="7911" xr:uid="{00000000-0005-0000-0000-0000EE1E0000}"/>
    <cellStyle name="Standard 6 3 2 9 3 2" xfId="7912" xr:uid="{00000000-0005-0000-0000-0000EF1E0000}"/>
    <cellStyle name="Standard 6 3 2 9 3 2 2" xfId="7913" xr:uid="{00000000-0005-0000-0000-0000F01E0000}"/>
    <cellStyle name="Standard 6 3 2 9 3 2 2 2" xfId="19874" xr:uid="{D10A63B8-A743-464F-BF21-4099C88A4A78}"/>
    <cellStyle name="Standard 6 3 2 9 3 2 3" xfId="19873" xr:uid="{5D4B2C96-21C3-4E14-A69E-F28D54C73BE7}"/>
    <cellStyle name="Standard 6 3 2 9 3 3" xfId="7914" xr:uid="{00000000-0005-0000-0000-0000F11E0000}"/>
    <cellStyle name="Standard 6 3 2 9 3 3 2" xfId="19875" xr:uid="{D45F827D-0C3B-4208-A82E-073E6CC041AD}"/>
    <cellStyle name="Standard 6 3 2 9 3 4" xfId="19872" xr:uid="{CD4DE65B-4770-476C-878E-C6002E8E7D8D}"/>
    <cellStyle name="Standard 6 3 2 9 4" xfId="7915" xr:uid="{00000000-0005-0000-0000-0000F21E0000}"/>
    <cellStyle name="Standard 6 3 2 9 4 2" xfId="7916" xr:uid="{00000000-0005-0000-0000-0000F31E0000}"/>
    <cellStyle name="Standard 6 3 2 9 4 2 2" xfId="7917" xr:uid="{00000000-0005-0000-0000-0000F41E0000}"/>
    <cellStyle name="Standard 6 3 2 9 4 2 2 2" xfId="19878" xr:uid="{55BDAEC5-82B1-4FE3-8233-4591060CFC5E}"/>
    <cellStyle name="Standard 6 3 2 9 4 2 3" xfId="19877" xr:uid="{AD9E5FAE-42B1-4B38-BBD2-A74980A20602}"/>
    <cellStyle name="Standard 6 3 2 9 4 3" xfId="7918" xr:uid="{00000000-0005-0000-0000-0000F51E0000}"/>
    <cellStyle name="Standard 6 3 2 9 4 3 2" xfId="19879" xr:uid="{A0B10772-6E92-4896-95FF-B3A3D5A0C78D}"/>
    <cellStyle name="Standard 6 3 2 9 4 4" xfId="19876" xr:uid="{ACF730CE-A923-4A8E-B66F-2EDAACA5BFD0}"/>
    <cellStyle name="Standard 6 3 2 9 5" xfId="7919" xr:uid="{00000000-0005-0000-0000-0000F61E0000}"/>
    <cellStyle name="Standard 6 3 2 9 5 2" xfId="7920" xr:uid="{00000000-0005-0000-0000-0000F71E0000}"/>
    <cellStyle name="Standard 6 3 2 9 5 2 2" xfId="7921" xr:uid="{00000000-0005-0000-0000-0000F81E0000}"/>
    <cellStyle name="Standard 6 3 2 9 5 2 2 2" xfId="19882" xr:uid="{33FD5A64-D7C1-4298-866E-829E593DB751}"/>
    <cellStyle name="Standard 6 3 2 9 5 2 3" xfId="19881" xr:uid="{21291FAC-FBB1-4F56-B665-65EDC6F1C9CC}"/>
    <cellStyle name="Standard 6 3 2 9 5 3" xfId="7922" xr:uid="{00000000-0005-0000-0000-0000F91E0000}"/>
    <cellStyle name="Standard 6 3 2 9 5 3 2" xfId="19883" xr:uid="{B80EFCA9-E62F-4AC8-9A46-B76EB2D5393C}"/>
    <cellStyle name="Standard 6 3 2 9 5 4" xfId="19880" xr:uid="{54D9EFED-B8A9-4511-87CD-6591F0193641}"/>
    <cellStyle name="Standard 6 3 2 9 6" xfId="7923" xr:uid="{00000000-0005-0000-0000-0000FA1E0000}"/>
    <cellStyle name="Standard 6 3 2 9 6 2" xfId="7924" xr:uid="{00000000-0005-0000-0000-0000FB1E0000}"/>
    <cellStyle name="Standard 6 3 2 9 6 2 2" xfId="7925" xr:uid="{00000000-0005-0000-0000-0000FC1E0000}"/>
    <cellStyle name="Standard 6 3 2 9 6 2 2 2" xfId="19886" xr:uid="{21023E86-CC4E-44CD-8791-870F0A6F8A53}"/>
    <cellStyle name="Standard 6 3 2 9 6 2 3" xfId="19885" xr:uid="{B11F4A22-2783-48F7-AADA-C79553363CD4}"/>
    <cellStyle name="Standard 6 3 2 9 6 3" xfId="7926" xr:uid="{00000000-0005-0000-0000-0000FD1E0000}"/>
    <cellStyle name="Standard 6 3 2 9 6 3 2" xfId="19887" xr:uid="{2EB8899A-CD76-43DB-A7E8-80673759E632}"/>
    <cellStyle name="Standard 6 3 2 9 6 4" xfId="19884" xr:uid="{93ACC1B2-73AD-4A8D-A8BB-B89B7E37119C}"/>
    <cellStyle name="Standard 6 3 2 9 7" xfId="7927" xr:uid="{00000000-0005-0000-0000-0000FE1E0000}"/>
    <cellStyle name="Standard 6 3 2 9 7 2" xfId="7928" xr:uid="{00000000-0005-0000-0000-0000FF1E0000}"/>
    <cellStyle name="Standard 6 3 2 9 7 2 2" xfId="7929" xr:uid="{00000000-0005-0000-0000-0000001F0000}"/>
    <cellStyle name="Standard 6 3 2 9 7 2 2 2" xfId="19890" xr:uid="{A50C4BA7-C761-498C-A17A-7DDC536679A2}"/>
    <cellStyle name="Standard 6 3 2 9 7 2 3" xfId="19889" xr:uid="{FA72D504-17BA-436A-A3BD-5AAC4C57D88F}"/>
    <cellStyle name="Standard 6 3 2 9 7 3" xfId="7930" xr:uid="{00000000-0005-0000-0000-0000011F0000}"/>
    <cellStyle name="Standard 6 3 2 9 7 3 2" xfId="19891" xr:uid="{562C88A6-DEA0-4AE1-8C61-A1DB6A9BC41E}"/>
    <cellStyle name="Standard 6 3 2 9 7 4" xfId="19888" xr:uid="{7F386100-0B8E-4BBA-AD69-6416C3475DC7}"/>
    <cellStyle name="Standard 6 3 2 9 8" xfId="7931" xr:uid="{00000000-0005-0000-0000-0000021F0000}"/>
    <cellStyle name="Standard 6 3 2 9 8 2" xfId="7932" xr:uid="{00000000-0005-0000-0000-0000031F0000}"/>
    <cellStyle name="Standard 6 3 2 9 8 2 2" xfId="7933" xr:uid="{00000000-0005-0000-0000-0000041F0000}"/>
    <cellStyle name="Standard 6 3 2 9 8 2 2 2" xfId="19894" xr:uid="{B6FDCB4F-2AF8-4C42-A443-48CD215D6AF2}"/>
    <cellStyle name="Standard 6 3 2 9 8 2 3" xfId="19893" xr:uid="{EACEDC46-4D76-477A-B180-74A1F7AB9A3A}"/>
    <cellStyle name="Standard 6 3 2 9 8 3" xfId="7934" xr:uid="{00000000-0005-0000-0000-0000051F0000}"/>
    <cellStyle name="Standard 6 3 2 9 8 3 2" xfId="19895" xr:uid="{BDFDF013-1C0F-4CD7-886F-21DF8B8B7D31}"/>
    <cellStyle name="Standard 6 3 2 9 8 4" xfId="19892" xr:uid="{DF105224-2B4B-44B5-B6A5-50B470D84E79}"/>
    <cellStyle name="Standard 6 3 2 9 9" xfId="7935" xr:uid="{00000000-0005-0000-0000-0000061F0000}"/>
    <cellStyle name="Standard 6 3 2 9 9 2" xfId="7936" xr:uid="{00000000-0005-0000-0000-0000071F0000}"/>
    <cellStyle name="Standard 6 3 2 9 9 2 2" xfId="19897" xr:uid="{5F055B8A-7E17-4678-96DA-57B52470F314}"/>
    <cellStyle name="Standard 6 3 2 9 9 3" xfId="19896" xr:uid="{BE00C354-D61D-4AD3-9417-D560170C8B65}"/>
    <cellStyle name="Standard 6 3 20" xfId="7937" xr:uid="{00000000-0005-0000-0000-0000081F0000}"/>
    <cellStyle name="Standard 6 3 20 2" xfId="7938" xr:uid="{00000000-0005-0000-0000-0000091F0000}"/>
    <cellStyle name="Standard 6 3 20 2 2" xfId="7939" xr:uid="{00000000-0005-0000-0000-00000A1F0000}"/>
    <cellStyle name="Standard 6 3 20 2 2 2" xfId="19900" xr:uid="{F14AB158-697C-4A85-A24A-E7E520253358}"/>
    <cellStyle name="Standard 6 3 20 2 3" xfId="19899" xr:uid="{44A7A061-E12E-4046-BBF1-B6FE5E274B7D}"/>
    <cellStyle name="Standard 6 3 20 3" xfId="7940" xr:uid="{00000000-0005-0000-0000-00000B1F0000}"/>
    <cellStyle name="Standard 6 3 20 3 2" xfId="19901" xr:uid="{796AB4FA-EA18-470D-A12F-7ED5C085B57F}"/>
    <cellStyle name="Standard 6 3 20 4" xfId="19898" xr:uid="{D595FD9D-A817-4368-A540-DFAFD270CCE4}"/>
    <cellStyle name="Standard 6 3 21" xfId="7941" xr:uid="{00000000-0005-0000-0000-00000C1F0000}"/>
    <cellStyle name="Standard 6 3 21 2" xfId="7942" xr:uid="{00000000-0005-0000-0000-00000D1F0000}"/>
    <cellStyle name="Standard 6 3 21 2 2" xfId="7943" xr:uid="{00000000-0005-0000-0000-00000E1F0000}"/>
    <cellStyle name="Standard 6 3 21 2 2 2" xfId="19904" xr:uid="{554D18D8-95ED-4876-B168-FDF2A3EF608C}"/>
    <cellStyle name="Standard 6 3 21 2 3" xfId="19903" xr:uid="{92DAC69E-A4F3-4078-B6FB-318056E2D656}"/>
    <cellStyle name="Standard 6 3 21 3" xfId="7944" xr:uid="{00000000-0005-0000-0000-00000F1F0000}"/>
    <cellStyle name="Standard 6 3 21 3 2" xfId="19905" xr:uid="{FBAB2385-0015-4140-806E-EA1888B080B1}"/>
    <cellStyle name="Standard 6 3 21 4" xfId="19902" xr:uid="{0384755F-6193-4F51-A795-EE1D1688DDB7}"/>
    <cellStyle name="Standard 6 3 22" xfId="7945" xr:uid="{00000000-0005-0000-0000-0000101F0000}"/>
    <cellStyle name="Standard 6 3 22 2" xfId="7946" xr:uid="{00000000-0005-0000-0000-0000111F0000}"/>
    <cellStyle name="Standard 6 3 22 2 2" xfId="7947" xr:uid="{00000000-0005-0000-0000-0000121F0000}"/>
    <cellStyle name="Standard 6 3 22 2 2 2" xfId="19908" xr:uid="{0EE2604C-D8A3-4796-90B1-33775D9C58D1}"/>
    <cellStyle name="Standard 6 3 22 2 3" xfId="19907" xr:uid="{97AF4C8E-0282-4EDC-ACAE-2FB678BB5981}"/>
    <cellStyle name="Standard 6 3 22 3" xfId="7948" xr:uid="{00000000-0005-0000-0000-0000131F0000}"/>
    <cellStyle name="Standard 6 3 22 3 2" xfId="19909" xr:uid="{27EDC64F-6A71-47D8-A598-2812C82372FE}"/>
    <cellStyle name="Standard 6 3 22 4" xfId="19906" xr:uid="{3614FE3A-CB32-4ED4-8891-7A0FAE2EBC09}"/>
    <cellStyle name="Standard 6 3 23" xfId="7949" xr:uid="{00000000-0005-0000-0000-0000141F0000}"/>
    <cellStyle name="Standard 6 3 23 2" xfId="7950" xr:uid="{00000000-0005-0000-0000-0000151F0000}"/>
    <cellStyle name="Standard 6 3 23 2 2" xfId="19911" xr:uid="{3772D213-C6CE-4BC0-97C7-C02EE6D77909}"/>
    <cellStyle name="Standard 6 3 23 3" xfId="19910" xr:uid="{02A2655B-4CDA-4D48-B58A-16B4B009515D}"/>
    <cellStyle name="Standard 6 3 24" xfId="7951" xr:uid="{00000000-0005-0000-0000-0000161F0000}"/>
    <cellStyle name="Standard 6 3 24 2" xfId="19912" xr:uid="{022828D0-C56A-48C7-8FE0-6170829F3939}"/>
    <cellStyle name="Standard 6 3 25" xfId="7952" xr:uid="{00000000-0005-0000-0000-0000171F0000}"/>
    <cellStyle name="Standard 6 3 25 2" xfId="19913" xr:uid="{EFC51BB2-33D5-49EC-86B8-0CE5F3B615AE}"/>
    <cellStyle name="Standard 6 3 26" xfId="18294" xr:uid="{2FD63142-FA41-46BB-AE98-CEE13517C3EA}"/>
    <cellStyle name="Standard 6 3 3" xfId="7953" xr:uid="{00000000-0005-0000-0000-0000181F0000}"/>
    <cellStyle name="Standard 6 3 3 10" xfId="7954" xr:uid="{00000000-0005-0000-0000-0000191F0000}"/>
    <cellStyle name="Standard 6 3 3 10 2" xfId="7955" xr:uid="{00000000-0005-0000-0000-00001A1F0000}"/>
    <cellStyle name="Standard 6 3 3 10 2 2" xfId="7956" xr:uid="{00000000-0005-0000-0000-00001B1F0000}"/>
    <cellStyle name="Standard 6 3 3 10 2 2 2" xfId="19917" xr:uid="{AF617A09-53FD-4268-950E-699326ACFEA0}"/>
    <cellStyle name="Standard 6 3 3 10 2 3" xfId="19916" xr:uid="{D20F4297-1930-4BF8-B749-F86103F08FD4}"/>
    <cellStyle name="Standard 6 3 3 10 3" xfId="7957" xr:uid="{00000000-0005-0000-0000-00001C1F0000}"/>
    <cellStyle name="Standard 6 3 3 10 3 2" xfId="19918" xr:uid="{F96B8E09-1540-43F6-98D5-9C1D0E242000}"/>
    <cellStyle name="Standard 6 3 3 10 4" xfId="19915" xr:uid="{A91FF248-C7B6-4074-8343-5DEE6D4AF8CD}"/>
    <cellStyle name="Standard 6 3 3 11" xfId="7958" xr:uid="{00000000-0005-0000-0000-00001D1F0000}"/>
    <cellStyle name="Standard 6 3 3 11 2" xfId="7959" xr:uid="{00000000-0005-0000-0000-00001E1F0000}"/>
    <cellStyle name="Standard 6 3 3 11 2 2" xfId="7960" xr:uid="{00000000-0005-0000-0000-00001F1F0000}"/>
    <cellStyle name="Standard 6 3 3 11 2 2 2" xfId="19921" xr:uid="{F53052AC-F9F2-4B37-A38B-AC0A745D4D76}"/>
    <cellStyle name="Standard 6 3 3 11 2 3" xfId="19920" xr:uid="{29551939-1544-4569-8EBF-5C33D528855E}"/>
    <cellStyle name="Standard 6 3 3 11 3" xfId="7961" xr:uid="{00000000-0005-0000-0000-0000201F0000}"/>
    <cellStyle name="Standard 6 3 3 11 3 2" xfId="19922" xr:uid="{4722530F-75A0-431A-88E1-637FB68DF435}"/>
    <cellStyle name="Standard 6 3 3 11 4" xfId="19919" xr:uid="{F1D20C27-2FDD-46F4-8A76-FF10B79C7B12}"/>
    <cellStyle name="Standard 6 3 3 12" xfId="7962" xr:uid="{00000000-0005-0000-0000-0000211F0000}"/>
    <cellStyle name="Standard 6 3 3 12 2" xfId="7963" xr:uid="{00000000-0005-0000-0000-0000221F0000}"/>
    <cellStyle name="Standard 6 3 3 12 2 2" xfId="7964" xr:uid="{00000000-0005-0000-0000-0000231F0000}"/>
    <cellStyle name="Standard 6 3 3 12 2 2 2" xfId="19925" xr:uid="{72FDCBA3-3576-490C-A41F-F6C5758C6357}"/>
    <cellStyle name="Standard 6 3 3 12 2 3" xfId="19924" xr:uid="{CB6C1DB8-5980-47BB-B12A-1CF5B657FAD6}"/>
    <cellStyle name="Standard 6 3 3 12 3" xfId="7965" xr:uid="{00000000-0005-0000-0000-0000241F0000}"/>
    <cellStyle name="Standard 6 3 3 12 3 2" xfId="19926" xr:uid="{4370830C-F35C-4CAB-B866-B8CF57667450}"/>
    <cellStyle name="Standard 6 3 3 12 4" xfId="19923" xr:uid="{BE90968C-81B4-44F0-B5EC-E8270522A8DD}"/>
    <cellStyle name="Standard 6 3 3 13" xfId="7966" xr:uid="{00000000-0005-0000-0000-0000251F0000}"/>
    <cellStyle name="Standard 6 3 3 13 2" xfId="7967" xr:uid="{00000000-0005-0000-0000-0000261F0000}"/>
    <cellStyle name="Standard 6 3 3 13 2 2" xfId="7968" xr:uid="{00000000-0005-0000-0000-0000271F0000}"/>
    <cellStyle name="Standard 6 3 3 13 2 2 2" xfId="19929" xr:uid="{2EE7AE8E-0024-48AF-A6AE-7EBC1B336E88}"/>
    <cellStyle name="Standard 6 3 3 13 2 3" xfId="19928" xr:uid="{5ADA4FF9-BEC0-419E-A62E-D236C5AC7734}"/>
    <cellStyle name="Standard 6 3 3 13 3" xfId="7969" xr:uid="{00000000-0005-0000-0000-0000281F0000}"/>
    <cellStyle name="Standard 6 3 3 13 3 2" xfId="19930" xr:uid="{BD643440-343B-497B-8026-E1ECDB88ACDD}"/>
    <cellStyle name="Standard 6 3 3 13 4" xfId="19927" xr:uid="{EA587953-064F-488B-8C44-6B56A28122D3}"/>
    <cellStyle name="Standard 6 3 3 14" xfId="7970" xr:uid="{00000000-0005-0000-0000-0000291F0000}"/>
    <cellStyle name="Standard 6 3 3 14 2" xfId="7971" xr:uid="{00000000-0005-0000-0000-00002A1F0000}"/>
    <cellStyle name="Standard 6 3 3 14 2 2" xfId="7972" xr:uid="{00000000-0005-0000-0000-00002B1F0000}"/>
    <cellStyle name="Standard 6 3 3 14 2 2 2" xfId="19933" xr:uid="{EED8ADCA-F8F9-4F19-A8FA-041179C4E4E9}"/>
    <cellStyle name="Standard 6 3 3 14 2 3" xfId="19932" xr:uid="{EB5D3B65-AF6C-4CB4-9AB6-CFE6F95E23F4}"/>
    <cellStyle name="Standard 6 3 3 14 3" xfId="7973" xr:uid="{00000000-0005-0000-0000-00002C1F0000}"/>
    <cellStyle name="Standard 6 3 3 14 3 2" xfId="19934" xr:uid="{E5678167-CEAE-4E8A-8FA9-A338FE4C3FE7}"/>
    <cellStyle name="Standard 6 3 3 14 4" xfId="19931" xr:uid="{4D2032EA-63C5-4238-AFAB-02A85C344F8C}"/>
    <cellStyle name="Standard 6 3 3 15" xfId="7974" xr:uid="{00000000-0005-0000-0000-00002D1F0000}"/>
    <cellStyle name="Standard 6 3 3 15 2" xfId="7975" xr:uid="{00000000-0005-0000-0000-00002E1F0000}"/>
    <cellStyle name="Standard 6 3 3 15 2 2" xfId="7976" xr:uid="{00000000-0005-0000-0000-00002F1F0000}"/>
    <cellStyle name="Standard 6 3 3 15 2 2 2" xfId="19937" xr:uid="{4EA9DEF7-617A-44D1-B700-0EE44BD7A813}"/>
    <cellStyle name="Standard 6 3 3 15 2 3" xfId="19936" xr:uid="{30782DE9-8977-47B0-B30C-E8667CDC8BFB}"/>
    <cellStyle name="Standard 6 3 3 15 3" xfId="7977" xr:uid="{00000000-0005-0000-0000-0000301F0000}"/>
    <cellStyle name="Standard 6 3 3 15 3 2" xfId="19938" xr:uid="{B727D4C4-FBE3-431B-B2A7-68D09AB7F825}"/>
    <cellStyle name="Standard 6 3 3 15 4" xfId="19935" xr:uid="{74415C4E-5A49-4C3D-BE14-514C495AF57D}"/>
    <cellStyle name="Standard 6 3 3 16" xfId="7978" xr:uid="{00000000-0005-0000-0000-0000311F0000}"/>
    <cellStyle name="Standard 6 3 3 16 2" xfId="7979" xr:uid="{00000000-0005-0000-0000-0000321F0000}"/>
    <cellStyle name="Standard 6 3 3 16 2 2" xfId="7980" xr:uid="{00000000-0005-0000-0000-0000331F0000}"/>
    <cellStyle name="Standard 6 3 3 16 2 2 2" xfId="19941" xr:uid="{0596325E-BC65-43A5-902A-A137CA68D597}"/>
    <cellStyle name="Standard 6 3 3 16 2 3" xfId="19940" xr:uid="{49F4F08E-FA9B-45DC-B3AC-3551DA3DA922}"/>
    <cellStyle name="Standard 6 3 3 16 3" xfId="7981" xr:uid="{00000000-0005-0000-0000-0000341F0000}"/>
    <cellStyle name="Standard 6 3 3 16 3 2" xfId="19942" xr:uid="{3836C9D4-4175-47A2-B7E8-03659AD41BFE}"/>
    <cellStyle name="Standard 6 3 3 16 4" xfId="19939" xr:uid="{AD8A3E87-F591-4524-BC97-E6F9078457B6}"/>
    <cellStyle name="Standard 6 3 3 17" xfId="7982" xr:uid="{00000000-0005-0000-0000-0000351F0000}"/>
    <cellStyle name="Standard 6 3 3 17 2" xfId="7983" xr:uid="{00000000-0005-0000-0000-0000361F0000}"/>
    <cellStyle name="Standard 6 3 3 17 2 2" xfId="7984" xr:uid="{00000000-0005-0000-0000-0000371F0000}"/>
    <cellStyle name="Standard 6 3 3 17 2 2 2" xfId="19945" xr:uid="{9F6ED8DD-640E-410D-875C-E0E571BEE420}"/>
    <cellStyle name="Standard 6 3 3 17 2 3" xfId="19944" xr:uid="{9BF2B26A-F1F9-437A-AE41-E07AE5A08635}"/>
    <cellStyle name="Standard 6 3 3 17 3" xfId="7985" xr:uid="{00000000-0005-0000-0000-0000381F0000}"/>
    <cellStyle name="Standard 6 3 3 17 3 2" xfId="19946" xr:uid="{309EF560-2452-4243-B2C7-78DBBEFA9F5F}"/>
    <cellStyle name="Standard 6 3 3 17 4" xfId="19943" xr:uid="{A54BB0BE-315B-482A-9FEC-BD1E95F2F48C}"/>
    <cellStyle name="Standard 6 3 3 18" xfId="7986" xr:uid="{00000000-0005-0000-0000-0000391F0000}"/>
    <cellStyle name="Standard 6 3 3 18 2" xfId="7987" xr:uid="{00000000-0005-0000-0000-00003A1F0000}"/>
    <cellStyle name="Standard 6 3 3 18 2 2" xfId="7988" xr:uid="{00000000-0005-0000-0000-00003B1F0000}"/>
    <cellStyle name="Standard 6 3 3 18 2 2 2" xfId="19949" xr:uid="{C33E188A-119B-45F4-AA2C-FE362FD1524A}"/>
    <cellStyle name="Standard 6 3 3 18 2 3" xfId="19948" xr:uid="{1997A1E6-3ADA-4BE3-B535-62CAB126F3CD}"/>
    <cellStyle name="Standard 6 3 3 18 3" xfId="7989" xr:uid="{00000000-0005-0000-0000-00003C1F0000}"/>
    <cellStyle name="Standard 6 3 3 18 3 2" xfId="19950" xr:uid="{329A828E-877B-47C3-BBA3-982B1D1E89BB}"/>
    <cellStyle name="Standard 6 3 3 18 4" xfId="19947" xr:uid="{F68474AD-163A-4046-9558-F050E54D2E78}"/>
    <cellStyle name="Standard 6 3 3 19" xfId="7990" xr:uid="{00000000-0005-0000-0000-00003D1F0000}"/>
    <cellStyle name="Standard 6 3 3 19 2" xfId="7991" xr:uid="{00000000-0005-0000-0000-00003E1F0000}"/>
    <cellStyle name="Standard 6 3 3 19 2 2" xfId="7992" xr:uid="{00000000-0005-0000-0000-00003F1F0000}"/>
    <cellStyle name="Standard 6 3 3 19 2 2 2" xfId="19953" xr:uid="{C92C2DFE-40B0-430E-8C7E-B3994C78CD83}"/>
    <cellStyle name="Standard 6 3 3 19 2 3" xfId="19952" xr:uid="{9F670483-9164-44EE-8BC1-C28CF50293B3}"/>
    <cellStyle name="Standard 6 3 3 19 3" xfId="7993" xr:uid="{00000000-0005-0000-0000-0000401F0000}"/>
    <cellStyle name="Standard 6 3 3 19 3 2" xfId="19954" xr:uid="{E3B4B5F8-23C6-4BEF-BCE7-B54056F83840}"/>
    <cellStyle name="Standard 6 3 3 19 4" xfId="19951" xr:uid="{678059D4-BF2A-4818-818A-D0F88B867E85}"/>
    <cellStyle name="Standard 6 3 3 2" xfId="7994" xr:uid="{00000000-0005-0000-0000-0000411F0000}"/>
    <cellStyle name="Standard 6 3 3 2 10" xfId="7995" xr:uid="{00000000-0005-0000-0000-0000421F0000}"/>
    <cellStyle name="Standard 6 3 3 2 10 2" xfId="7996" xr:uid="{00000000-0005-0000-0000-0000431F0000}"/>
    <cellStyle name="Standard 6 3 3 2 10 2 2" xfId="19957" xr:uid="{86B79F35-8C8C-4113-B902-2A33AFAD99EB}"/>
    <cellStyle name="Standard 6 3 3 2 10 3" xfId="19956" xr:uid="{C1725B27-9EB0-4262-94A7-B0E470E8DEA5}"/>
    <cellStyle name="Standard 6 3 3 2 11" xfId="7997" xr:uid="{00000000-0005-0000-0000-0000441F0000}"/>
    <cellStyle name="Standard 6 3 3 2 11 2" xfId="19958" xr:uid="{96A0AC6B-0FD9-403A-9659-A0386E52E64A}"/>
    <cellStyle name="Standard 6 3 3 2 12" xfId="19955" xr:uid="{BA66A07D-5318-4FC5-A7E8-F4B512DFB21B}"/>
    <cellStyle name="Standard 6 3 3 2 2" xfId="7998" xr:uid="{00000000-0005-0000-0000-0000451F0000}"/>
    <cellStyle name="Standard 6 3 3 2 2 10" xfId="7999" xr:uid="{00000000-0005-0000-0000-0000461F0000}"/>
    <cellStyle name="Standard 6 3 3 2 2 10 2" xfId="19960" xr:uid="{0803ADA2-6DD7-45E6-9F3A-7AD4CF9A523F}"/>
    <cellStyle name="Standard 6 3 3 2 2 11" xfId="19959" xr:uid="{2D8EF392-8E1F-433F-B822-120D7A723923}"/>
    <cellStyle name="Standard 6 3 3 2 2 2" xfId="8000" xr:uid="{00000000-0005-0000-0000-0000471F0000}"/>
    <cellStyle name="Standard 6 3 3 2 2 2 10" xfId="19961" xr:uid="{ED2F3C2C-663D-46DA-921A-941149CC9155}"/>
    <cellStyle name="Standard 6 3 3 2 2 2 2" xfId="8001" xr:uid="{00000000-0005-0000-0000-0000481F0000}"/>
    <cellStyle name="Standard 6 3 3 2 2 2 2 2" xfId="8002" xr:uid="{00000000-0005-0000-0000-0000491F0000}"/>
    <cellStyle name="Standard 6 3 3 2 2 2 2 2 2" xfId="8003" xr:uid="{00000000-0005-0000-0000-00004A1F0000}"/>
    <cellStyle name="Standard 6 3 3 2 2 2 2 2 2 2" xfId="19964" xr:uid="{9D5749AB-D6A4-4782-98B8-D05514E4259A}"/>
    <cellStyle name="Standard 6 3 3 2 2 2 2 2 3" xfId="19963" xr:uid="{1BB040B8-BC99-4884-8433-D4AC7D0B66DC}"/>
    <cellStyle name="Standard 6 3 3 2 2 2 2 3" xfId="8004" xr:uid="{00000000-0005-0000-0000-00004B1F0000}"/>
    <cellStyle name="Standard 6 3 3 2 2 2 2 3 2" xfId="19965" xr:uid="{F345E7B3-3DC1-4027-A6CC-5799F088DA58}"/>
    <cellStyle name="Standard 6 3 3 2 2 2 2 4" xfId="19962" xr:uid="{CA8ADCD7-DDEB-4980-87F4-A0884D1BCC9A}"/>
    <cellStyle name="Standard 6 3 3 2 2 2 3" xfId="8005" xr:uid="{00000000-0005-0000-0000-00004C1F0000}"/>
    <cellStyle name="Standard 6 3 3 2 2 2 3 2" xfId="8006" xr:uid="{00000000-0005-0000-0000-00004D1F0000}"/>
    <cellStyle name="Standard 6 3 3 2 2 2 3 2 2" xfId="8007" xr:uid="{00000000-0005-0000-0000-00004E1F0000}"/>
    <cellStyle name="Standard 6 3 3 2 2 2 3 2 2 2" xfId="19968" xr:uid="{2E052530-6938-4837-9641-B0DF2489936A}"/>
    <cellStyle name="Standard 6 3 3 2 2 2 3 2 3" xfId="19967" xr:uid="{3CA760FC-56AC-455E-83CF-B290194D6396}"/>
    <cellStyle name="Standard 6 3 3 2 2 2 3 3" xfId="8008" xr:uid="{00000000-0005-0000-0000-00004F1F0000}"/>
    <cellStyle name="Standard 6 3 3 2 2 2 3 3 2" xfId="19969" xr:uid="{B669BCE9-7992-491A-9A96-BE5582C1669B}"/>
    <cellStyle name="Standard 6 3 3 2 2 2 3 4" xfId="19966" xr:uid="{8BB0CC1D-CE21-4DEC-813D-E155744CECAC}"/>
    <cellStyle name="Standard 6 3 3 2 2 2 4" xfId="8009" xr:uid="{00000000-0005-0000-0000-0000501F0000}"/>
    <cellStyle name="Standard 6 3 3 2 2 2 4 2" xfId="8010" xr:uid="{00000000-0005-0000-0000-0000511F0000}"/>
    <cellStyle name="Standard 6 3 3 2 2 2 4 2 2" xfId="8011" xr:uid="{00000000-0005-0000-0000-0000521F0000}"/>
    <cellStyle name="Standard 6 3 3 2 2 2 4 2 2 2" xfId="19972" xr:uid="{A51BAE97-E8AF-46BE-938E-07563CA08E9C}"/>
    <cellStyle name="Standard 6 3 3 2 2 2 4 2 3" xfId="19971" xr:uid="{18FF0E36-5725-4CF0-9436-4C4B7FEAB67F}"/>
    <cellStyle name="Standard 6 3 3 2 2 2 4 3" xfId="8012" xr:uid="{00000000-0005-0000-0000-0000531F0000}"/>
    <cellStyle name="Standard 6 3 3 2 2 2 4 3 2" xfId="19973" xr:uid="{B63A1DA8-B893-4411-991D-6E7A46E81063}"/>
    <cellStyle name="Standard 6 3 3 2 2 2 4 4" xfId="19970" xr:uid="{479615F4-080E-4D51-B995-20AE4AABA955}"/>
    <cellStyle name="Standard 6 3 3 2 2 2 5" xfId="8013" xr:uid="{00000000-0005-0000-0000-0000541F0000}"/>
    <cellStyle name="Standard 6 3 3 2 2 2 5 2" xfId="8014" xr:uid="{00000000-0005-0000-0000-0000551F0000}"/>
    <cellStyle name="Standard 6 3 3 2 2 2 5 2 2" xfId="8015" xr:uid="{00000000-0005-0000-0000-0000561F0000}"/>
    <cellStyle name="Standard 6 3 3 2 2 2 5 2 2 2" xfId="19976" xr:uid="{57EF0339-BEA8-4762-A59B-2EAF88440E8C}"/>
    <cellStyle name="Standard 6 3 3 2 2 2 5 2 3" xfId="19975" xr:uid="{BFB24C40-4D71-4191-AAD3-AB170C734791}"/>
    <cellStyle name="Standard 6 3 3 2 2 2 5 3" xfId="8016" xr:uid="{00000000-0005-0000-0000-0000571F0000}"/>
    <cellStyle name="Standard 6 3 3 2 2 2 5 3 2" xfId="19977" xr:uid="{7D00882A-73F8-4051-8AF4-9E7A003C57D3}"/>
    <cellStyle name="Standard 6 3 3 2 2 2 5 4" xfId="19974" xr:uid="{78D0E82A-07A0-451C-B90D-2039D936B51E}"/>
    <cellStyle name="Standard 6 3 3 2 2 2 6" xfId="8017" xr:uid="{00000000-0005-0000-0000-0000581F0000}"/>
    <cellStyle name="Standard 6 3 3 2 2 2 6 2" xfId="8018" xr:uid="{00000000-0005-0000-0000-0000591F0000}"/>
    <cellStyle name="Standard 6 3 3 2 2 2 6 2 2" xfId="8019" xr:uid="{00000000-0005-0000-0000-00005A1F0000}"/>
    <cellStyle name="Standard 6 3 3 2 2 2 6 2 2 2" xfId="19980" xr:uid="{36EB1FCF-3184-4FF0-B6B2-372514475088}"/>
    <cellStyle name="Standard 6 3 3 2 2 2 6 2 3" xfId="19979" xr:uid="{7BC820D0-892B-43D8-9E1E-9B49597D1C08}"/>
    <cellStyle name="Standard 6 3 3 2 2 2 6 3" xfId="8020" xr:uid="{00000000-0005-0000-0000-00005B1F0000}"/>
    <cellStyle name="Standard 6 3 3 2 2 2 6 3 2" xfId="19981" xr:uid="{FC8D66B8-4CC8-4EE6-881B-808207311166}"/>
    <cellStyle name="Standard 6 3 3 2 2 2 6 4" xfId="19978" xr:uid="{A9E0D7D8-5953-4457-9C75-505E74E3866B}"/>
    <cellStyle name="Standard 6 3 3 2 2 2 7" xfId="8021" xr:uid="{00000000-0005-0000-0000-00005C1F0000}"/>
    <cellStyle name="Standard 6 3 3 2 2 2 7 2" xfId="8022" xr:uid="{00000000-0005-0000-0000-00005D1F0000}"/>
    <cellStyle name="Standard 6 3 3 2 2 2 7 2 2" xfId="8023" xr:uid="{00000000-0005-0000-0000-00005E1F0000}"/>
    <cellStyle name="Standard 6 3 3 2 2 2 7 2 2 2" xfId="19984" xr:uid="{030786D6-1390-4BAD-938D-178CDFDE5224}"/>
    <cellStyle name="Standard 6 3 3 2 2 2 7 2 3" xfId="19983" xr:uid="{7DDAEB3C-1D7A-4E26-879E-90B5130EDBFF}"/>
    <cellStyle name="Standard 6 3 3 2 2 2 7 3" xfId="8024" xr:uid="{00000000-0005-0000-0000-00005F1F0000}"/>
    <cellStyle name="Standard 6 3 3 2 2 2 7 3 2" xfId="19985" xr:uid="{46D32C92-C506-4252-BE9D-8CC291C56926}"/>
    <cellStyle name="Standard 6 3 3 2 2 2 7 4" xfId="19982" xr:uid="{62154855-4D88-4402-9C01-6E9E95B1D160}"/>
    <cellStyle name="Standard 6 3 3 2 2 2 8" xfId="8025" xr:uid="{00000000-0005-0000-0000-0000601F0000}"/>
    <cellStyle name="Standard 6 3 3 2 2 2 8 2" xfId="8026" xr:uid="{00000000-0005-0000-0000-0000611F0000}"/>
    <cellStyle name="Standard 6 3 3 2 2 2 8 2 2" xfId="19987" xr:uid="{401DA4A5-0F94-405E-A2DB-73AA01C6AC53}"/>
    <cellStyle name="Standard 6 3 3 2 2 2 8 3" xfId="19986" xr:uid="{85943DAF-21B7-4C5D-B1BC-223B0449F5F1}"/>
    <cellStyle name="Standard 6 3 3 2 2 2 9" xfId="8027" xr:uid="{00000000-0005-0000-0000-0000621F0000}"/>
    <cellStyle name="Standard 6 3 3 2 2 2 9 2" xfId="19988" xr:uid="{FF370FB0-0BD2-447F-A1BA-CEDF8CAF608B}"/>
    <cellStyle name="Standard 6 3 3 2 2 3" xfId="8028" xr:uid="{00000000-0005-0000-0000-0000631F0000}"/>
    <cellStyle name="Standard 6 3 3 2 2 3 2" xfId="8029" xr:uid="{00000000-0005-0000-0000-0000641F0000}"/>
    <cellStyle name="Standard 6 3 3 2 2 3 2 2" xfId="8030" xr:uid="{00000000-0005-0000-0000-0000651F0000}"/>
    <cellStyle name="Standard 6 3 3 2 2 3 2 2 2" xfId="19991" xr:uid="{A72C7481-32D9-4A3A-B62B-136BBFCC2F6B}"/>
    <cellStyle name="Standard 6 3 3 2 2 3 2 3" xfId="19990" xr:uid="{789D9AAF-750A-49CC-8724-DD4A928999CE}"/>
    <cellStyle name="Standard 6 3 3 2 2 3 3" xfId="8031" xr:uid="{00000000-0005-0000-0000-0000661F0000}"/>
    <cellStyle name="Standard 6 3 3 2 2 3 3 2" xfId="19992" xr:uid="{A4405412-8BFC-4782-A39B-52B2F3238EA2}"/>
    <cellStyle name="Standard 6 3 3 2 2 3 4" xfId="19989" xr:uid="{30D740DA-63B7-425F-A877-C384D08DA1D6}"/>
    <cellStyle name="Standard 6 3 3 2 2 4" xfId="8032" xr:uid="{00000000-0005-0000-0000-0000671F0000}"/>
    <cellStyle name="Standard 6 3 3 2 2 4 2" xfId="8033" xr:uid="{00000000-0005-0000-0000-0000681F0000}"/>
    <cellStyle name="Standard 6 3 3 2 2 4 2 2" xfId="8034" xr:uid="{00000000-0005-0000-0000-0000691F0000}"/>
    <cellStyle name="Standard 6 3 3 2 2 4 2 2 2" xfId="19995" xr:uid="{43F69F10-79FC-444E-9BA5-5FCB077C3E45}"/>
    <cellStyle name="Standard 6 3 3 2 2 4 2 3" xfId="19994" xr:uid="{BA5DAD3A-BD9D-4238-A57F-D46A6E70779E}"/>
    <cellStyle name="Standard 6 3 3 2 2 4 3" xfId="8035" xr:uid="{00000000-0005-0000-0000-00006A1F0000}"/>
    <cellStyle name="Standard 6 3 3 2 2 4 3 2" xfId="19996" xr:uid="{3D1AC64C-0974-448E-9E76-A817D272ACCE}"/>
    <cellStyle name="Standard 6 3 3 2 2 4 4" xfId="19993" xr:uid="{DB159DE9-F664-4D58-BBDC-F47F5F5B1834}"/>
    <cellStyle name="Standard 6 3 3 2 2 5" xfId="8036" xr:uid="{00000000-0005-0000-0000-00006B1F0000}"/>
    <cellStyle name="Standard 6 3 3 2 2 5 2" xfId="8037" xr:uid="{00000000-0005-0000-0000-00006C1F0000}"/>
    <cellStyle name="Standard 6 3 3 2 2 5 2 2" xfId="8038" xr:uid="{00000000-0005-0000-0000-00006D1F0000}"/>
    <cellStyle name="Standard 6 3 3 2 2 5 2 2 2" xfId="19999" xr:uid="{0C62BFB4-F98D-4563-848B-D2CDF0EE4BD1}"/>
    <cellStyle name="Standard 6 3 3 2 2 5 2 3" xfId="19998" xr:uid="{D5EEBC60-59CA-48A3-B265-BEEA1F7ED82E}"/>
    <cellStyle name="Standard 6 3 3 2 2 5 3" xfId="8039" xr:uid="{00000000-0005-0000-0000-00006E1F0000}"/>
    <cellStyle name="Standard 6 3 3 2 2 5 3 2" xfId="20000" xr:uid="{17AD099B-2E17-4866-AE4A-FA7CCC43D145}"/>
    <cellStyle name="Standard 6 3 3 2 2 5 4" xfId="19997" xr:uid="{ED2449D3-39AF-4F04-B24F-8D565DA8DBDB}"/>
    <cellStyle name="Standard 6 3 3 2 2 6" xfId="8040" xr:uid="{00000000-0005-0000-0000-00006F1F0000}"/>
    <cellStyle name="Standard 6 3 3 2 2 6 2" xfId="8041" xr:uid="{00000000-0005-0000-0000-0000701F0000}"/>
    <cellStyle name="Standard 6 3 3 2 2 6 2 2" xfId="8042" xr:uid="{00000000-0005-0000-0000-0000711F0000}"/>
    <cellStyle name="Standard 6 3 3 2 2 6 2 2 2" xfId="20003" xr:uid="{E6136F11-F96A-42D3-AA73-7C26594C507A}"/>
    <cellStyle name="Standard 6 3 3 2 2 6 2 3" xfId="20002" xr:uid="{C4029DF8-432A-4366-812C-98EFA7E96C89}"/>
    <cellStyle name="Standard 6 3 3 2 2 6 3" xfId="8043" xr:uid="{00000000-0005-0000-0000-0000721F0000}"/>
    <cellStyle name="Standard 6 3 3 2 2 6 3 2" xfId="20004" xr:uid="{D7DF6863-ABE3-44C3-B9F8-502BAB0DD86D}"/>
    <cellStyle name="Standard 6 3 3 2 2 6 4" xfId="20001" xr:uid="{E520B82D-3897-4D80-8E49-44C556A74B08}"/>
    <cellStyle name="Standard 6 3 3 2 2 7" xfId="8044" xr:uid="{00000000-0005-0000-0000-0000731F0000}"/>
    <cellStyle name="Standard 6 3 3 2 2 7 2" xfId="8045" xr:uid="{00000000-0005-0000-0000-0000741F0000}"/>
    <cellStyle name="Standard 6 3 3 2 2 7 2 2" xfId="8046" xr:uid="{00000000-0005-0000-0000-0000751F0000}"/>
    <cellStyle name="Standard 6 3 3 2 2 7 2 2 2" xfId="20007" xr:uid="{3B28681A-5C9F-47BF-A76E-394CBEC6548F}"/>
    <cellStyle name="Standard 6 3 3 2 2 7 2 3" xfId="20006" xr:uid="{F2A1EF00-03DF-4FB7-BF5C-32B0C9AD73D3}"/>
    <cellStyle name="Standard 6 3 3 2 2 7 3" xfId="8047" xr:uid="{00000000-0005-0000-0000-0000761F0000}"/>
    <cellStyle name="Standard 6 3 3 2 2 7 3 2" xfId="20008" xr:uid="{490FC770-F4F1-4521-8D0F-07E230D402F9}"/>
    <cellStyle name="Standard 6 3 3 2 2 7 4" xfId="20005" xr:uid="{3BB5DF5D-A920-439D-925F-23EDF740DBD2}"/>
    <cellStyle name="Standard 6 3 3 2 2 8" xfId="8048" xr:uid="{00000000-0005-0000-0000-0000771F0000}"/>
    <cellStyle name="Standard 6 3 3 2 2 8 2" xfId="8049" xr:uid="{00000000-0005-0000-0000-0000781F0000}"/>
    <cellStyle name="Standard 6 3 3 2 2 8 2 2" xfId="8050" xr:uid="{00000000-0005-0000-0000-0000791F0000}"/>
    <cellStyle name="Standard 6 3 3 2 2 8 2 2 2" xfId="20011" xr:uid="{7A16E2D2-631C-4B0C-A61F-DF4EB569CB06}"/>
    <cellStyle name="Standard 6 3 3 2 2 8 2 3" xfId="20010" xr:uid="{7A04740B-3211-446D-81B6-4747E855842D}"/>
    <cellStyle name="Standard 6 3 3 2 2 8 3" xfId="8051" xr:uid="{00000000-0005-0000-0000-00007A1F0000}"/>
    <cellStyle name="Standard 6 3 3 2 2 8 3 2" xfId="20012" xr:uid="{265EFF45-A7C9-4920-8ECA-01C84BB6C562}"/>
    <cellStyle name="Standard 6 3 3 2 2 8 4" xfId="20009" xr:uid="{CC779B96-42D5-4995-ABAF-69C9089E76E1}"/>
    <cellStyle name="Standard 6 3 3 2 2 9" xfId="8052" xr:uid="{00000000-0005-0000-0000-00007B1F0000}"/>
    <cellStyle name="Standard 6 3 3 2 2 9 2" xfId="8053" xr:uid="{00000000-0005-0000-0000-00007C1F0000}"/>
    <cellStyle name="Standard 6 3 3 2 2 9 2 2" xfId="20014" xr:uid="{7627D2F1-BF8E-4CA4-BD9F-991BEAEF7955}"/>
    <cellStyle name="Standard 6 3 3 2 2 9 3" xfId="20013" xr:uid="{0F1CE933-C723-4C4B-BFF2-05452704CBE0}"/>
    <cellStyle name="Standard 6 3 3 2 3" xfId="8054" xr:uid="{00000000-0005-0000-0000-00007D1F0000}"/>
    <cellStyle name="Standard 6 3 3 2 3 10" xfId="20015" xr:uid="{4FCE3C5B-FF4E-4117-BBC0-186BD17D02F1}"/>
    <cellStyle name="Standard 6 3 3 2 3 2" xfId="8055" xr:uid="{00000000-0005-0000-0000-00007E1F0000}"/>
    <cellStyle name="Standard 6 3 3 2 3 2 2" xfId="8056" xr:uid="{00000000-0005-0000-0000-00007F1F0000}"/>
    <cellStyle name="Standard 6 3 3 2 3 2 2 2" xfId="8057" xr:uid="{00000000-0005-0000-0000-0000801F0000}"/>
    <cellStyle name="Standard 6 3 3 2 3 2 2 2 2" xfId="20018" xr:uid="{DD8F5473-093A-48D9-835F-6B4294141B84}"/>
    <cellStyle name="Standard 6 3 3 2 3 2 2 3" xfId="20017" xr:uid="{E5EE596B-E535-4602-9565-53B2A13F6DE8}"/>
    <cellStyle name="Standard 6 3 3 2 3 2 3" xfId="8058" xr:uid="{00000000-0005-0000-0000-0000811F0000}"/>
    <cellStyle name="Standard 6 3 3 2 3 2 3 2" xfId="20019" xr:uid="{3F9F6BE7-6A77-4322-AE6B-FA898A68946B}"/>
    <cellStyle name="Standard 6 3 3 2 3 2 4" xfId="20016" xr:uid="{C389DD90-601A-45BB-ACF0-3EC437B13B4B}"/>
    <cellStyle name="Standard 6 3 3 2 3 3" xfId="8059" xr:uid="{00000000-0005-0000-0000-0000821F0000}"/>
    <cellStyle name="Standard 6 3 3 2 3 3 2" xfId="8060" xr:uid="{00000000-0005-0000-0000-0000831F0000}"/>
    <cellStyle name="Standard 6 3 3 2 3 3 2 2" xfId="8061" xr:uid="{00000000-0005-0000-0000-0000841F0000}"/>
    <cellStyle name="Standard 6 3 3 2 3 3 2 2 2" xfId="20022" xr:uid="{AE5CB68A-197B-43D9-BAE9-3FE54D69102B}"/>
    <cellStyle name="Standard 6 3 3 2 3 3 2 3" xfId="20021" xr:uid="{FAD64A3D-6A4A-4EAE-BAA3-50FCB88D9E37}"/>
    <cellStyle name="Standard 6 3 3 2 3 3 3" xfId="8062" xr:uid="{00000000-0005-0000-0000-0000851F0000}"/>
    <cellStyle name="Standard 6 3 3 2 3 3 3 2" xfId="20023" xr:uid="{9B12C5DF-56E9-4DBE-B48B-BF6F5634E261}"/>
    <cellStyle name="Standard 6 3 3 2 3 3 4" xfId="20020" xr:uid="{628F21DF-6B8F-42C1-B104-83B2716A4855}"/>
    <cellStyle name="Standard 6 3 3 2 3 4" xfId="8063" xr:uid="{00000000-0005-0000-0000-0000861F0000}"/>
    <cellStyle name="Standard 6 3 3 2 3 4 2" xfId="8064" xr:uid="{00000000-0005-0000-0000-0000871F0000}"/>
    <cellStyle name="Standard 6 3 3 2 3 4 2 2" xfId="8065" xr:uid="{00000000-0005-0000-0000-0000881F0000}"/>
    <cellStyle name="Standard 6 3 3 2 3 4 2 2 2" xfId="20026" xr:uid="{9F68B410-4B06-4B52-AEFC-CEC4C15F401B}"/>
    <cellStyle name="Standard 6 3 3 2 3 4 2 3" xfId="20025" xr:uid="{0CA3BC44-0BD5-4980-9DAE-9566C0DA958C}"/>
    <cellStyle name="Standard 6 3 3 2 3 4 3" xfId="8066" xr:uid="{00000000-0005-0000-0000-0000891F0000}"/>
    <cellStyle name="Standard 6 3 3 2 3 4 3 2" xfId="20027" xr:uid="{A2AE5362-D4D7-4B51-AA2F-E8C542E68402}"/>
    <cellStyle name="Standard 6 3 3 2 3 4 4" xfId="20024" xr:uid="{592F2907-1EAF-495F-8D1E-6CCF600F331C}"/>
    <cellStyle name="Standard 6 3 3 2 3 5" xfId="8067" xr:uid="{00000000-0005-0000-0000-00008A1F0000}"/>
    <cellStyle name="Standard 6 3 3 2 3 5 2" xfId="8068" xr:uid="{00000000-0005-0000-0000-00008B1F0000}"/>
    <cellStyle name="Standard 6 3 3 2 3 5 2 2" xfId="8069" xr:uid="{00000000-0005-0000-0000-00008C1F0000}"/>
    <cellStyle name="Standard 6 3 3 2 3 5 2 2 2" xfId="20030" xr:uid="{F2C1F533-FD8D-449C-BE22-3A0BE9415C96}"/>
    <cellStyle name="Standard 6 3 3 2 3 5 2 3" xfId="20029" xr:uid="{3D09818D-2D29-481C-88B2-16D5C680E404}"/>
    <cellStyle name="Standard 6 3 3 2 3 5 3" xfId="8070" xr:uid="{00000000-0005-0000-0000-00008D1F0000}"/>
    <cellStyle name="Standard 6 3 3 2 3 5 3 2" xfId="20031" xr:uid="{B9E14975-3625-451D-84B7-C94E4DCFADAB}"/>
    <cellStyle name="Standard 6 3 3 2 3 5 4" xfId="20028" xr:uid="{8CA1AC96-4CD9-41B8-BAA5-E5A2F4D8AD6B}"/>
    <cellStyle name="Standard 6 3 3 2 3 6" xfId="8071" xr:uid="{00000000-0005-0000-0000-00008E1F0000}"/>
    <cellStyle name="Standard 6 3 3 2 3 6 2" xfId="8072" xr:uid="{00000000-0005-0000-0000-00008F1F0000}"/>
    <cellStyle name="Standard 6 3 3 2 3 6 2 2" xfId="8073" xr:uid="{00000000-0005-0000-0000-0000901F0000}"/>
    <cellStyle name="Standard 6 3 3 2 3 6 2 2 2" xfId="20034" xr:uid="{DFCB4D71-A0D7-4546-B068-C7ADCC2582CB}"/>
    <cellStyle name="Standard 6 3 3 2 3 6 2 3" xfId="20033" xr:uid="{2F1F9FC2-5610-49DC-8133-F18386852E7F}"/>
    <cellStyle name="Standard 6 3 3 2 3 6 3" xfId="8074" xr:uid="{00000000-0005-0000-0000-0000911F0000}"/>
    <cellStyle name="Standard 6 3 3 2 3 6 3 2" xfId="20035" xr:uid="{F157655A-EEA1-4E78-9820-676E95C16D70}"/>
    <cellStyle name="Standard 6 3 3 2 3 6 4" xfId="20032" xr:uid="{5AE3E989-4A6C-4DF6-903C-902DF13FCF5B}"/>
    <cellStyle name="Standard 6 3 3 2 3 7" xfId="8075" xr:uid="{00000000-0005-0000-0000-0000921F0000}"/>
    <cellStyle name="Standard 6 3 3 2 3 7 2" xfId="8076" xr:uid="{00000000-0005-0000-0000-0000931F0000}"/>
    <cellStyle name="Standard 6 3 3 2 3 7 2 2" xfId="8077" xr:uid="{00000000-0005-0000-0000-0000941F0000}"/>
    <cellStyle name="Standard 6 3 3 2 3 7 2 2 2" xfId="20038" xr:uid="{6686D461-0EED-4377-9F47-5F783D083518}"/>
    <cellStyle name="Standard 6 3 3 2 3 7 2 3" xfId="20037" xr:uid="{EBE74496-4845-4D70-8B2F-F72FE8EB7ADB}"/>
    <cellStyle name="Standard 6 3 3 2 3 7 3" xfId="8078" xr:uid="{00000000-0005-0000-0000-0000951F0000}"/>
    <cellStyle name="Standard 6 3 3 2 3 7 3 2" xfId="20039" xr:uid="{E171A332-8D53-4AEF-9E7D-47E778BEA158}"/>
    <cellStyle name="Standard 6 3 3 2 3 7 4" xfId="20036" xr:uid="{EC21FB85-DDE6-45EC-B31D-F45975D50B46}"/>
    <cellStyle name="Standard 6 3 3 2 3 8" xfId="8079" xr:uid="{00000000-0005-0000-0000-0000961F0000}"/>
    <cellStyle name="Standard 6 3 3 2 3 8 2" xfId="8080" xr:uid="{00000000-0005-0000-0000-0000971F0000}"/>
    <cellStyle name="Standard 6 3 3 2 3 8 2 2" xfId="20041" xr:uid="{053A1362-B2C5-4E1D-BAA4-D65EFCEBDF47}"/>
    <cellStyle name="Standard 6 3 3 2 3 8 3" xfId="20040" xr:uid="{61007FBA-D28A-4BAF-81D0-855B3A6F7503}"/>
    <cellStyle name="Standard 6 3 3 2 3 9" xfId="8081" xr:uid="{00000000-0005-0000-0000-0000981F0000}"/>
    <cellStyle name="Standard 6 3 3 2 3 9 2" xfId="20042" xr:uid="{2DD4A5AB-18B4-439B-8747-18539B8F8C4A}"/>
    <cellStyle name="Standard 6 3 3 2 4" xfId="8082" xr:uid="{00000000-0005-0000-0000-0000991F0000}"/>
    <cellStyle name="Standard 6 3 3 2 4 2" xfId="8083" xr:uid="{00000000-0005-0000-0000-00009A1F0000}"/>
    <cellStyle name="Standard 6 3 3 2 4 2 2" xfId="8084" xr:uid="{00000000-0005-0000-0000-00009B1F0000}"/>
    <cellStyle name="Standard 6 3 3 2 4 2 2 2" xfId="20045" xr:uid="{3474A853-1F53-4050-AC7D-AAE07E7A48C1}"/>
    <cellStyle name="Standard 6 3 3 2 4 2 3" xfId="20044" xr:uid="{DC77924F-A0AC-4576-B98C-533BF1665190}"/>
    <cellStyle name="Standard 6 3 3 2 4 3" xfId="8085" xr:uid="{00000000-0005-0000-0000-00009C1F0000}"/>
    <cellStyle name="Standard 6 3 3 2 4 3 2" xfId="20046" xr:uid="{E45FA28C-E674-49DF-8CC4-648F40283479}"/>
    <cellStyle name="Standard 6 3 3 2 4 4" xfId="20043" xr:uid="{4130D975-25BA-4393-9614-5E1ADE22CB94}"/>
    <cellStyle name="Standard 6 3 3 2 5" xfId="8086" xr:uid="{00000000-0005-0000-0000-00009D1F0000}"/>
    <cellStyle name="Standard 6 3 3 2 5 2" xfId="8087" xr:uid="{00000000-0005-0000-0000-00009E1F0000}"/>
    <cellStyle name="Standard 6 3 3 2 5 2 2" xfId="8088" xr:uid="{00000000-0005-0000-0000-00009F1F0000}"/>
    <cellStyle name="Standard 6 3 3 2 5 2 2 2" xfId="20049" xr:uid="{E8E7FB68-7AA5-406D-BDCA-EDF62CE3A462}"/>
    <cellStyle name="Standard 6 3 3 2 5 2 3" xfId="20048" xr:uid="{2E009950-B5F8-419E-83A5-D0878F91B818}"/>
    <cellStyle name="Standard 6 3 3 2 5 3" xfId="8089" xr:uid="{00000000-0005-0000-0000-0000A01F0000}"/>
    <cellStyle name="Standard 6 3 3 2 5 3 2" xfId="20050" xr:uid="{61EA04C7-CE79-4258-A56D-86B603435E36}"/>
    <cellStyle name="Standard 6 3 3 2 5 4" xfId="20047" xr:uid="{D370CEF2-3886-4D74-8956-041968BCAC1D}"/>
    <cellStyle name="Standard 6 3 3 2 6" xfId="8090" xr:uid="{00000000-0005-0000-0000-0000A11F0000}"/>
    <cellStyle name="Standard 6 3 3 2 6 2" xfId="8091" xr:uid="{00000000-0005-0000-0000-0000A21F0000}"/>
    <cellStyle name="Standard 6 3 3 2 6 2 2" xfId="8092" xr:uid="{00000000-0005-0000-0000-0000A31F0000}"/>
    <cellStyle name="Standard 6 3 3 2 6 2 2 2" xfId="20053" xr:uid="{75F54C33-0FB9-4D8F-93D8-67D67EB613B5}"/>
    <cellStyle name="Standard 6 3 3 2 6 2 3" xfId="20052" xr:uid="{EA4FDA5B-9355-468D-ADF7-D1D6756BF58A}"/>
    <cellStyle name="Standard 6 3 3 2 6 3" xfId="8093" xr:uid="{00000000-0005-0000-0000-0000A41F0000}"/>
    <cellStyle name="Standard 6 3 3 2 6 3 2" xfId="20054" xr:uid="{CF1D0C03-4382-4851-B26C-919274520659}"/>
    <cellStyle name="Standard 6 3 3 2 6 4" xfId="20051" xr:uid="{14765B22-C313-46BA-9F8E-5CF955DFD46A}"/>
    <cellStyle name="Standard 6 3 3 2 7" xfId="8094" xr:uid="{00000000-0005-0000-0000-0000A51F0000}"/>
    <cellStyle name="Standard 6 3 3 2 7 2" xfId="8095" xr:uid="{00000000-0005-0000-0000-0000A61F0000}"/>
    <cellStyle name="Standard 6 3 3 2 7 2 2" xfId="8096" xr:uid="{00000000-0005-0000-0000-0000A71F0000}"/>
    <cellStyle name="Standard 6 3 3 2 7 2 2 2" xfId="20057" xr:uid="{5AA252A6-FF2C-4ED0-AC70-0728A132928C}"/>
    <cellStyle name="Standard 6 3 3 2 7 2 3" xfId="20056" xr:uid="{BC30692B-688E-41D5-9EA4-9370D14E094E}"/>
    <cellStyle name="Standard 6 3 3 2 7 3" xfId="8097" xr:uid="{00000000-0005-0000-0000-0000A81F0000}"/>
    <cellStyle name="Standard 6 3 3 2 7 3 2" xfId="20058" xr:uid="{41219790-AA2B-4AE2-8205-3A5F0D7F376B}"/>
    <cellStyle name="Standard 6 3 3 2 7 4" xfId="20055" xr:uid="{6254A119-EB6E-40A7-A079-4FEB53155A4B}"/>
    <cellStyle name="Standard 6 3 3 2 8" xfId="8098" xr:uid="{00000000-0005-0000-0000-0000A91F0000}"/>
    <cellStyle name="Standard 6 3 3 2 8 2" xfId="8099" xr:uid="{00000000-0005-0000-0000-0000AA1F0000}"/>
    <cellStyle name="Standard 6 3 3 2 8 2 2" xfId="8100" xr:uid="{00000000-0005-0000-0000-0000AB1F0000}"/>
    <cellStyle name="Standard 6 3 3 2 8 2 2 2" xfId="20061" xr:uid="{C19AC1DC-FBED-4764-9A50-5E0AA1317882}"/>
    <cellStyle name="Standard 6 3 3 2 8 2 3" xfId="20060" xr:uid="{383D2F58-9A5C-49CF-93E9-903D16FA9B74}"/>
    <cellStyle name="Standard 6 3 3 2 8 3" xfId="8101" xr:uid="{00000000-0005-0000-0000-0000AC1F0000}"/>
    <cellStyle name="Standard 6 3 3 2 8 3 2" xfId="20062" xr:uid="{280C7E2F-37FA-4963-A74A-B9359AE434A3}"/>
    <cellStyle name="Standard 6 3 3 2 8 4" xfId="20059" xr:uid="{0FFC8C42-34ED-45E0-B2F8-22BE19A4D221}"/>
    <cellStyle name="Standard 6 3 3 2 9" xfId="8102" xr:uid="{00000000-0005-0000-0000-0000AD1F0000}"/>
    <cellStyle name="Standard 6 3 3 2 9 2" xfId="8103" xr:uid="{00000000-0005-0000-0000-0000AE1F0000}"/>
    <cellStyle name="Standard 6 3 3 2 9 2 2" xfId="8104" xr:uid="{00000000-0005-0000-0000-0000AF1F0000}"/>
    <cellStyle name="Standard 6 3 3 2 9 2 2 2" xfId="20065" xr:uid="{6A6AC1AB-B0D7-41BC-8767-F5166A88CB31}"/>
    <cellStyle name="Standard 6 3 3 2 9 2 3" xfId="20064" xr:uid="{680991A3-F29C-410D-B45A-7676E4B8523E}"/>
    <cellStyle name="Standard 6 3 3 2 9 3" xfId="8105" xr:uid="{00000000-0005-0000-0000-0000B01F0000}"/>
    <cellStyle name="Standard 6 3 3 2 9 3 2" xfId="20066" xr:uid="{EB79F235-C896-45DD-BF70-2D32E2F8D1DF}"/>
    <cellStyle name="Standard 6 3 3 2 9 4" xfId="20063" xr:uid="{8C5C95A9-BAFD-4490-A0B5-F57E55D52A4B}"/>
    <cellStyle name="Standard 6 3 3 20" xfId="8106" xr:uid="{00000000-0005-0000-0000-0000B11F0000}"/>
    <cellStyle name="Standard 6 3 3 20 2" xfId="8107" xr:uid="{00000000-0005-0000-0000-0000B21F0000}"/>
    <cellStyle name="Standard 6 3 3 20 2 2" xfId="20068" xr:uid="{8BDBED7E-5067-4715-A767-A748AC79DB5A}"/>
    <cellStyle name="Standard 6 3 3 20 3" xfId="20067" xr:uid="{60C0716C-573E-47FC-AC02-19E36B904433}"/>
    <cellStyle name="Standard 6 3 3 21" xfId="8108" xr:uid="{00000000-0005-0000-0000-0000B31F0000}"/>
    <cellStyle name="Standard 6 3 3 21 2" xfId="20069" xr:uid="{E1D578A2-0DEA-4127-926C-85710C075D65}"/>
    <cellStyle name="Standard 6 3 3 22" xfId="8109" xr:uid="{00000000-0005-0000-0000-0000B41F0000}"/>
    <cellStyle name="Standard 6 3 3 22 2" xfId="20070" xr:uid="{09112CB2-DB64-4F75-8B39-41B58B6A71A6}"/>
    <cellStyle name="Standard 6 3 3 23" xfId="19914" xr:uid="{3BE2CE4F-6FC3-41DD-8019-85F1F00B25E9}"/>
    <cellStyle name="Standard 6 3 3 3" xfId="8110" xr:uid="{00000000-0005-0000-0000-0000B51F0000}"/>
    <cellStyle name="Standard 6 3 3 3 10" xfId="8111" xr:uid="{00000000-0005-0000-0000-0000B61F0000}"/>
    <cellStyle name="Standard 6 3 3 3 10 2" xfId="20072" xr:uid="{B458D8C9-F71B-4114-AE2C-E7C8B66FD60D}"/>
    <cellStyle name="Standard 6 3 3 3 11" xfId="20071" xr:uid="{5414002E-3FA8-4BD5-88AA-8747049B5091}"/>
    <cellStyle name="Standard 6 3 3 3 2" xfId="8112" xr:uid="{00000000-0005-0000-0000-0000B71F0000}"/>
    <cellStyle name="Standard 6 3 3 3 2 10" xfId="20073" xr:uid="{ED4574A7-7032-495C-A390-69A23DF62EB9}"/>
    <cellStyle name="Standard 6 3 3 3 2 2" xfId="8113" xr:uid="{00000000-0005-0000-0000-0000B81F0000}"/>
    <cellStyle name="Standard 6 3 3 3 2 2 2" xfId="8114" xr:uid="{00000000-0005-0000-0000-0000B91F0000}"/>
    <cellStyle name="Standard 6 3 3 3 2 2 2 2" xfId="8115" xr:uid="{00000000-0005-0000-0000-0000BA1F0000}"/>
    <cellStyle name="Standard 6 3 3 3 2 2 2 2 2" xfId="20076" xr:uid="{18AF15F3-CCBE-498C-8B77-21CE9FF9E880}"/>
    <cellStyle name="Standard 6 3 3 3 2 2 2 3" xfId="20075" xr:uid="{BCD81F4C-37BC-48D9-8B7F-B24DF3191156}"/>
    <cellStyle name="Standard 6 3 3 3 2 2 3" xfId="8116" xr:uid="{00000000-0005-0000-0000-0000BB1F0000}"/>
    <cellStyle name="Standard 6 3 3 3 2 2 3 2" xfId="20077" xr:uid="{5D120540-FF3E-4A06-856A-7878E424A26A}"/>
    <cellStyle name="Standard 6 3 3 3 2 2 4" xfId="20074" xr:uid="{EF2F2E7C-1652-4BF1-9892-75D935DAC003}"/>
    <cellStyle name="Standard 6 3 3 3 2 3" xfId="8117" xr:uid="{00000000-0005-0000-0000-0000BC1F0000}"/>
    <cellStyle name="Standard 6 3 3 3 2 3 2" xfId="8118" xr:uid="{00000000-0005-0000-0000-0000BD1F0000}"/>
    <cellStyle name="Standard 6 3 3 3 2 3 2 2" xfId="8119" xr:uid="{00000000-0005-0000-0000-0000BE1F0000}"/>
    <cellStyle name="Standard 6 3 3 3 2 3 2 2 2" xfId="20080" xr:uid="{B9048B70-93C4-48C1-95D3-98754E508908}"/>
    <cellStyle name="Standard 6 3 3 3 2 3 2 3" xfId="20079" xr:uid="{D3D3997E-0270-46FF-AD79-E2E8501A5663}"/>
    <cellStyle name="Standard 6 3 3 3 2 3 3" xfId="8120" xr:uid="{00000000-0005-0000-0000-0000BF1F0000}"/>
    <cellStyle name="Standard 6 3 3 3 2 3 3 2" xfId="20081" xr:uid="{5AFB645C-B7E4-4748-8C52-7AFAB8A007C7}"/>
    <cellStyle name="Standard 6 3 3 3 2 3 4" xfId="20078" xr:uid="{FC78BF65-9CCC-4369-97B6-CFD3885FABD2}"/>
    <cellStyle name="Standard 6 3 3 3 2 4" xfId="8121" xr:uid="{00000000-0005-0000-0000-0000C01F0000}"/>
    <cellStyle name="Standard 6 3 3 3 2 4 2" xfId="8122" xr:uid="{00000000-0005-0000-0000-0000C11F0000}"/>
    <cellStyle name="Standard 6 3 3 3 2 4 2 2" xfId="8123" xr:uid="{00000000-0005-0000-0000-0000C21F0000}"/>
    <cellStyle name="Standard 6 3 3 3 2 4 2 2 2" xfId="20084" xr:uid="{EFF89E27-D8BC-4ED0-A2F4-F9D104BB66D4}"/>
    <cellStyle name="Standard 6 3 3 3 2 4 2 3" xfId="20083" xr:uid="{D4684F56-F83C-4230-8E4C-49D85826C6CD}"/>
    <cellStyle name="Standard 6 3 3 3 2 4 3" xfId="8124" xr:uid="{00000000-0005-0000-0000-0000C31F0000}"/>
    <cellStyle name="Standard 6 3 3 3 2 4 3 2" xfId="20085" xr:uid="{7CA851F1-98B5-44CE-94C9-1222EDDAD343}"/>
    <cellStyle name="Standard 6 3 3 3 2 4 4" xfId="20082" xr:uid="{78437E4F-26EB-450C-B4C9-39486BC12A1D}"/>
    <cellStyle name="Standard 6 3 3 3 2 5" xfId="8125" xr:uid="{00000000-0005-0000-0000-0000C41F0000}"/>
    <cellStyle name="Standard 6 3 3 3 2 5 2" xfId="8126" xr:uid="{00000000-0005-0000-0000-0000C51F0000}"/>
    <cellStyle name="Standard 6 3 3 3 2 5 2 2" xfId="8127" xr:uid="{00000000-0005-0000-0000-0000C61F0000}"/>
    <cellStyle name="Standard 6 3 3 3 2 5 2 2 2" xfId="20088" xr:uid="{6334E67F-B8D8-49F9-879D-E6F9382B82EA}"/>
    <cellStyle name="Standard 6 3 3 3 2 5 2 3" xfId="20087" xr:uid="{68C5FE3D-DA14-48F2-961A-D190A4A21CEA}"/>
    <cellStyle name="Standard 6 3 3 3 2 5 3" xfId="8128" xr:uid="{00000000-0005-0000-0000-0000C71F0000}"/>
    <cellStyle name="Standard 6 3 3 3 2 5 3 2" xfId="20089" xr:uid="{4B3847EF-71C7-4885-ACAE-96C5BB9C876E}"/>
    <cellStyle name="Standard 6 3 3 3 2 5 4" xfId="20086" xr:uid="{90920992-E26C-4390-90CD-F7167ACB9347}"/>
    <cellStyle name="Standard 6 3 3 3 2 6" xfId="8129" xr:uid="{00000000-0005-0000-0000-0000C81F0000}"/>
    <cellStyle name="Standard 6 3 3 3 2 6 2" xfId="8130" xr:uid="{00000000-0005-0000-0000-0000C91F0000}"/>
    <cellStyle name="Standard 6 3 3 3 2 6 2 2" xfId="8131" xr:uid="{00000000-0005-0000-0000-0000CA1F0000}"/>
    <cellStyle name="Standard 6 3 3 3 2 6 2 2 2" xfId="20092" xr:uid="{C76997E6-95D1-49A8-8BE6-93B61C4830C0}"/>
    <cellStyle name="Standard 6 3 3 3 2 6 2 3" xfId="20091" xr:uid="{11C3F78B-7D89-4929-B5A0-6B4509340932}"/>
    <cellStyle name="Standard 6 3 3 3 2 6 3" xfId="8132" xr:uid="{00000000-0005-0000-0000-0000CB1F0000}"/>
    <cellStyle name="Standard 6 3 3 3 2 6 3 2" xfId="20093" xr:uid="{5E077EF2-8E7D-490C-B5D3-D78EB2ABA075}"/>
    <cellStyle name="Standard 6 3 3 3 2 6 4" xfId="20090" xr:uid="{4344BE7E-78A6-4DE3-91F6-33671CB20EFD}"/>
    <cellStyle name="Standard 6 3 3 3 2 7" xfId="8133" xr:uid="{00000000-0005-0000-0000-0000CC1F0000}"/>
    <cellStyle name="Standard 6 3 3 3 2 7 2" xfId="8134" xr:uid="{00000000-0005-0000-0000-0000CD1F0000}"/>
    <cellStyle name="Standard 6 3 3 3 2 7 2 2" xfId="8135" xr:uid="{00000000-0005-0000-0000-0000CE1F0000}"/>
    <cellStyle name="Standard 6 3 3 3 2 7 2 2 2" xfId="20096" xr:uid="{8627D659-9DD6-4E87-BF15-C0EC697BD230}"/>
    <cellStyle name="Standard 6 3 3 3 2 7 2 3" xfId="20095" xr:uid="{4A3F3657-C494-4B67-B7FF-E1BB85DB8F6C}"/>
    <cellStyle name="Standard 6 3 3 3 2 7 3" xfId="8136" xr:uid="{00000000-0005-0000-0000-0000CF1F0000}"/>
    <cellStyle name="Standard 6 3 3 3 2 7 3 2" xfId="20097" xr:uid="{43BC5AF9-53A1-4F09-9D69-583A80ABB404}"/>
    <cellStyle name="Standard 6 3 3 3 2 7 4" xfId="20094" xr:uid="{713FF310-5077-420D-A84D-D4244D2D63BC}"/>
    <cellStyle name="Standard 6 3 3 3 2 8" xfId="8137" xr:uid="{00000000-0005-0000-0000-0000D01F0000}"/>
    <cellStyle name="Standard 6 3 3 3 2 8 2" xfId="8138" xr:uid="{00000000-0005-0000-0000-0000D11F0000}"/>
    <cellStyle name="Standard 6 3 3 3 2 8 2 2" xfId="20099" xr:uid="{F9CBF944-DB7B-4773-97EA-C935A5AAA8FA}"/>
    <cellStyle name="Standard 6 3 3 3 2 8 3" xfId="20098" xr:uid="{9F7933E0-EFAE-44F9-838C-B5F8A7D1D820}"/>
    <cellStyle name="Standard 6 3 3 3 2 9" xfId="8139" xr:uid="{00000000-0005-0000-0000-0000D21F0000}"/>
    <cellStyle name="Standard 6 3 3 3 2 9 2" xfId="20100" xr:uid="{55AFD1E1-D1FC-4162-A9C5-DDD6632A30D4}"/>
    <cellStyle name="Standard 6 3 3 3 3" xfId="8140" xr:uid="{00000000-0005-0000-0000-0000D31F0000}"/>
    <cellStyle name="Standard 6 3 3 3 3 2" xfId="8141" xr:uid="{00000000-0005-0000-0000-0000D41F0000}"/>
    <cellStyle name="Standard 6 3 3 3 3 2 2" xfId="8142" xr:uid="{00000000-0005-0000-0000-0000D51F0000}"/>
    <cellStyle name="Standard 6 3 3 3 3 2 2 2" xfId="20103" xr:uid="{FC851C48-B23F-4FCF-BE28-84D8B63DCA69}"/>
    <cellStyle name="Standard 6 3 3 3 3 2 3" xfId="20102" xr:uid="{2EAD20BF-6986-4CDE-BA86-AABE4D6D48CA}"/>
    <cellStyle name="Standard 6 3 3 3 3 3" xfId="8143" xr:uid="{00000000-0005-0000-0000-0000D61F0000}"/>
    <cellStyle name="Standard 6 3 3 3 3 3 2" xfId="20104" xr:uid="{43A19286-40C0-4C20-B834-3054BED7424F}"/>
    <cellStyle name="Standard 6 3 3 3 3 4" xfId="20101" xr:uid="{D1CBCF33-DFA6-40F1-9BDF-07EB40D0334B}"/>
    <cellStyle name="Standard 6 3 3 3 4" xfId="8144" xr:uid="{00000000-0005-0000-0000-0000D71F0000}"/>
    <cellStyle name="Standard 6 3 3 3 4 2" xfId="8145" xr:uid="{00000000-0005-0000-0000-0000D81F0000}"/>
    <cellStyle name="Standard 6 3 3 3 4 2 2" xfId="8146" xr:uid="{00000000-0005-0000-0000-0000D91F0000}"/>
    <cellStyle name="Standard 6 3 3 3 4 2 2 2" xfId="20107" xr:uid="{3571AB99-7255-431D-9BA1-AA4F900F95BC}"/>
    <cellStyle name="Standard 6 3 3 3 4 2 3" xfId="20106" xr:uid="{C30D2281-0EC5-4EDE-8E78-794ECE0714E3}"/>
    <cellStyle name="Standard 6 3 3 3 4 3" xfId="8147" xr:uid="{00000000-0005-0000-0000-0000DA1F0000}"/>
    <cellStyle name="Standard 6 3 3 3 4 3 2" xfId="20108" xr:uid="{CFB85341-F1B2-4958-849D-11938F9BB672}"/>
    <cellStyle name="Standard 6 3 3 3 4 4" xfId="20105" xr:uid="{5EC9074A-E893-4204-8189-7DCDF63BB7C8}"/>
    <cellStyle name="Standard 6 3 3 3 5" xfId="8148" xr:uid="{00000000-0005-0000-0000-0000DB1F0000}"/>
    <cellStyle name="Standard 6 3 3 3 5 2" xfId="8149" xr:uid="{00000000-0005-0000-0000-0000DC1F0000}"/>
    <cellStyle name="Standard 6 3 3 3 5 2 2" xfId="8150" xr:uid="{00000000-0005-0000-0000-0000DD1F0000}"/>
    <cellStyle name="Standard 6 3 3 3 5 2 2 2" xfId="20111" xr:uid="{5E677ADC-B219-4343-9042-8CD4BE56A3DD}"/>
    <cellStyle name="Standard 6 3 3 3 5 2 3" xfId="20110" xr:uid="{52278D3E-C8EF-4B3A-9601-4B6723803B55}"/>
    <cellStyle name="Standard 6 3 3 3 5 3" xfId="8151" xr:uid="{00000000-0005-0000-0000-0000DE1F0000}"/>
    <cellStyle name="Standard 6 3 3 3 5 3 2" xfId="20112" xr:uid="{452EC2A9-0790-460C-8146-0983CE1452EE}"/>
    <cellStyle name="Standard 6 3 3 3 5 4" xfId="20109" xr:uid="{62F61136-9785-4E7B-8ADD-86CF53E8B9C9}"/>
    <cellStyle name="Standard 6 3 3 3 6" xfId="8152" xr:uid="{00000000-0005-0000-0000-0000DF1F0000}"/>
    <cellStyle name="Standard 6 3 3 3 6 2" xfId="8153" xr:uid="{00000000-0005-0000-0000-0000E01F0000}"/>
    <cellStyle name="Standard 6 3 3 3 6 2 2" xfId="8154" xr:uid="{00000000-0005-0000-0000-0000E11F0000}"/>
    <cellStyle name="Standard 6 3 3 3 6 2 2 2" xfId="20115" xr:uid="{3CF79EC9-DDBE-46F3-8100-5BD3040AEA27}"/>
    <cellStyle name="Standard 6 3 3 3 6 2 3" xfId="20114" xr:uid="{38D23C00-2E06-4339-B3C7-25FC409E6841}"/>
    <cellStyle name="Standard 6 3 3 3 6 3" xfId="8155" xr:uid="{00000000-0005-0000-0000-0000E21F0000}"/>
    <cellStyle name="Standard 6 3 3 3 6 3 2" xfId="20116" xr:uid="{1CB0F86B-C1B5-4C2B-A3F0-B1E87077A31F}"/>
    <cellStyle name="Standard 6 3 3 3 6 4" xfId="20113" xr:uid="{A07EFDC0-D40D-4755-84C9-2645DC172125}"/>
    <cellStyle name="Standard 6 3 3 3 7" xfId="8156" xr:uid="{00000000-0005-0000-0000-0000E31F0000}"/>
    <cellStyle name="Standard 6 3 3 3 7 2" xfId="8157" xr:uid="{00000000-0005-0000-0000-0000E41F0000}"/>
    <cellStyle name="Standard 6 3 3 3 7 2 2" xfId="8158" xr:uid="{00000000-0005-0000-0000-0000E51F0000}"/>
    <cellStyle name="Standard 6 3 3 3 7 2 2 2" xfId="20119" xr:uid="{74F4E2CE-95AA-4F49-A577-CE83D780C3B1}"/>
    <cellStyle name="Standard 6 3 3 3 7 2 3" xfId="20118" xr:uid="{DBAC9DA0-63AD-4EEF-B95A-A4D37B72ABDE}"/>
    <cellStyle name="Standard 6 3 3 3 7 3" xfId="8159" xr:uid="{00000000-0005-0000-0000-0000E61F0000}"/>
    <cellStyle name="Standard 6 3 3 3 7 3 2" xfId="20120" xr:uid="{D00C6FF4-503A-4953-9A29-FB400ECE1F52}"/>
    <cellStyle name="Standard 6 3 3 3 7 4" xfId="20117" xr:uid="{2FC865A2-D77C-4F89-BBF8-53EA021ED7ED}"/>
    <cellStyle name="Standard 6 3 3 3 8" xfId="8160" xr:uid="{00000000-0005-0000-0000-0000E71F0000}"/>
    <cellStyle name="Standard 6 3 3 3 8 2" xfId="8161" xr:uid="{00000000-0005-0000-0000-0000E81F0000}"/>
    <cellStyle name="Standard 6 3 3 3 8 2 2" xfId="8162" xr:uid="{00000000-0005-0000-0000-0000E91F0000}"/>
    <cellStyle name="Standard 6 3 3 3 8 2 2 2" xfId="20123" xr:uid="{EE047F96-1FFB-4C8B-9639-9ECC8F860A69}"/>
    <cellStyle name="Standard 6 3 3 3 8 2 3" xfId="20122" xr:uid="{24ECF6B1-45F9-43C1-BAD1-4E03A05AAE01}"/>
    <cellStyle name="Standard 6 3 3 3 8 3" xfId="8163" xr:uid="{00000000-0005-0000-0000-0000EA1F0000}"/>
    <cellStyle name="Standard 6 3 3 3 8 3 2" xfId="20124" xr:uid="{6CEA2088-6F88-4C59-9B5C-4D6AADAF3825}"/>
    <cellStyle name="Standard 6 3 3 3 8 4" xfId="20121" xr:uid="{A93399FE-022C-434D-98B2-9604FC3FB232}"/>
    <cellStyle name="Standard 6 3 3 3 9" xfId="8164" xr:uid="{00000000-0005-0000-0000-0000EB1F0000}"/>
    <cellStyle name="Standard 6 3 3 3 9 2" xfId="8165" xr:uid="{00000000-0005-0000-0000-0000EC1F0000}"/>
    <cellStyle name="Standard 6 3 3 3 9 2 2" xfId="20126" xr:uid="{5CBDA4BE-837D-4099-A556-6E1C8BD3E731}"/>
    <cellStyle name="Standard 6 3 3 3 9 3" xfId="20125" xr:uid="{0044CD17-2BB2-4F4E-8D9C-19A791142C92}"/>
    <cellStyle name="Standard 6 3 3 4" xfId="8166" xr:uid="{00000000-0005-0000-0000-0000ED1F0000}"/>
    <cellStyle name="Standard 6 3 3 4 10" xfId="8167" xr:uid="{00000000-0005-0000-0000-0000EE1F0000}"/>
    <cellStyle name="Standard 6 3 3 4 10 2" xfId="20128" xr:uid="{3E5F3C9D-C68D-4DEC-AFEA-25B59CF80582}"/>
    <cellStyle name="Standard 6 3 3 4 11" xfId="20127" xr:uid="{C4415910-E443-4B74-9DB4-EDC0090BAC7D}"/>
    <cellStyle name="Standard 6 3 3 4 2" xfId="8168" xr:uid="{00000000-0005-0000-0000-0000EF1F0000}"/>
    <cellStyle name="Standard 6 3 3 4 2 10" xfId="20129" xr:uid="{F6E16328-F273-426D-817C-5005851328CC}"/>
    <cellStyle name="Standard 6 3 3 4 2 2" xfId="8169" xr:uid="{00000000-0005-0000-0000-0000F01F0000}"/>
    <cellStyle name="Standard 6 3 3 4 2 2 2" xfId="8170" xr:uid="{00000000-0005-0000-0000-0000F11F0000}"/>
    <cellStyle name="Standard 6 3 3 4 2 2 2 2" xfId="8171" xr:uid="{00000000-0005-0000-0000-0000F21F0000}"/>
    <cellStyle name="Standard 6 3 3 4 2 2 2 2 2" xfId="20132" xr:uid="{62D9A813-891D-47C9-8824-33A06E3FE955}"/>
    <cellStyle name="Standard 6 3 3 4 2 2 2 3" xfId="20131" xr:uid="{1927602B-CB3F-4F88-9A76-AA2090901F4E}"/>
    <cellStyle name="Standard 6 3 3 4 2 2 3" xfId="8172" xr:uid="{00000000-0005-0000-0000-0000F31F0000}"/>
    <cellStyle name="Standard 6 3 3 4 2 2 3 2" xfId="20133" xr:uid="{062DAE76-0F5F-49CF-BA1D-9187E41C1924}"/>
    <cellStyle name="Standard 6 3 3 4 2 2 4" xfId="20130" xr:uid="{BD6959E7-166E-430F-8E53-AB5C4B715C6E}"/>
    <cellStyle name="Standard 6 3 3 4 2 3" xfId="8173" xr:uid="{00000000-0005-0000-0000-0000F41F0000}"/>
    <cellStyle name="Standard 6 3 3 4 2 3 2" xfId="8174" xr:uid="{00000000-0005-0000-0000-0000F51F0000}"/>
    <cellStyle name="Standard 6 3 3 4 2 3 2 2" xfId="8175" xr:uid="{00000000-0005-0000-0000-0000F61F0000}"/>
    <cellStyle name="Standard 6 3 3 4 2 3 2 2 2" xfId="20136" xr:uid="{EEE22E32-0704-43F0-974B-11CBA118DEC0}"/>
    <cellStyle name="Standard 6 3 3 4 2 3 2 3" xfId="20135" xr:uid="{555A7F50-9F6E-4F7C-9006-B9FEA921A745}"/>
    <cellStyle name="Standard 6 3 3 4 2 3 3" xfId="8176" xr:uid="{00000000-0005-0000-0000-0000F71F0000}"/>
    <cellStyle name="Standard 6 3 3 4 2 3 3 2" xfId="20137" xr:uid="{59D5BE27-29A6-45B7-BEC7-67566728C051}"/>
    <cellStyle name="Standard 6 3 3 4 2 3 4" xfId="20134" xr:uid="{945D024E-8285-44EF-A2BE-66B901894078}"/>
    <cellStyle name="Standard 6 3 3 4 2 4" xfId="8177" xr:uid="{00000000-0005-0000-0000-0000F81F0000}"/>
    <cellStyle name="Standard 6 3 3 4 2 4 2" xfId="8178" xr:uid="{00000000-0005-0000-0000-0000F91F0000}"/>
    <cellStyle name="Standard 6 3 3 4 2 4 2 2" xfId="8179" xr:uid="{00000000-0005-0000-0000-0000FA1F0000}"/>
    <cellStyle name="Standard 6 3 3 4 2 4 2 2 2" xfId="20140" xr:uid="{90C9C873-5745-4E24-9591-194902AAFE12}"/>
    <cellStyle name="Standard 6 3 3 4 2 4 2 3" xfId="20139" xr:uid="{693EDB70-960C-463A-AB85-A011C0F3CD78}"/>
    <cellStyle name="Standard 6 3 3 4 2 4 3" xfId="8180" xr:uid="{00000000-0005-0000-0000-0000FB1F0000}"/>
    <cellStyle name="Standard 6 3 3 4 2 4 3 2" xfId="20141" xr:uid="{A5F71CEC-F5F1-4860-8335-21CBE4A6062D}"/>
    <cellStyle name="Standard 6 3 3 4 2 4 4" xfId="20138" xr:uid="{76417A2C-C167-49C2-A6AE-842932E51212}"/>
    <cellStyle name="Standard 6 3 3 4 2 5" xfId="8181" xr:uid="{00000000-0005-0000-0000-0000FC1F0000}"/>
    <cellStyle name="Standard 6 3 3 4 2 5 2" xfId="8182" xr:uid="{00000000-0005-0000-0000-0000FD1F0000}"/>
    <cellStyle name="Standard 6 3 3 4 2 5 2 2" xfId="8183" xr:uid="{00000000-0005-0000-0000-0000FE1F0000}"/>
    <cellStyle name="Standard 6 3 3 4 2 5 2 2 2" xfId="20144" xr:uid="{AAA9C544-A52F-4D26-A2FC-5E10CF8110F9}"/>
    <cellStyle name="Standard 6 3 3 4 2 5 2 3" xfId="20143" xr:uid="{6C5EBCA3-70BA-45ED-9A4B-B9BA4F99D1C5}"/>
    <cellStyle name="Standard 6 3 3 4 2 5 3" xfId="8184" xr:uid="{00000000-0005-0000-0000-0000FF1F0000}"/>
    <cellStyle name="Standard 6 3 3 4 2 5 3 2" xfId="20145" xr:uid="{940333C8-A5BA-48BC-8A71-171F5B37D20F}"/>
    <cellStyle name="Standard 6 3 3 4 2 5 4" xfId="20142" xr:uid="{CF894FEA-94EC-48A3-9FF9-7B13720DB84D}"/>
    <cellStyle name="Standard 6 3 3 4 2 6" xfId="8185" xr:uid="{00000000-0005-0000-0000-000000200000}"/>
    <cellStyle name="Standard 6 3 3 4 2 6 2" xfId="8186" xr:uid="{00000000-0005-0000-0000-000001200000}"/>
    <cellStyle name="Standard 6 3 3 4 2 6 2 2" xfId="8187" xr:uid="{00000000-0005-0000-0000-000002200000}"/>
    <cellStyle name="Standard 6 3 3 4 2 6 2 2 2" xfId="20148" xr:uid="{2B7C4458-8D59-4D30-8F07-3F55ED38B68A}"/>
    <cellStyle name="Standard 6 3 3 4 2 6 2 3" xfId="20147" xr:uid="{DA94F8F7-3C71-491B-903E-13F3D154BC03}"/>
    <cellStyle name="Standard 6 3 3 4 2 6 3" xfId="8188" xr:uid="{00000000-0005-0000-0000-000003200000}"/>
    <cellStyle name="Standard 6 3 3 4 2 6 3 2" xfId="20149" xr:uid="{17045A8C-421F-4AD2-81A3-FBAD5FBC2E87}"/>
    <cellStyle name="Standard 6 3 3 4 2 6 4" xfId="20146" xr:uid="{B504E420-8729-4083-8B95-B39747B5217E}"/>
    <cellStyle name="Standard 6 3 3 4 2 7" xfId="8189" xr:uid="{00000000-0005-0000-0000-000004200000}"/>
    <cellStyle name="Standard 6 3 3 4 2 7 2" xfId="8190" xr:uid="{00000000-0005-0000-0000-000005200000}"/>
    <cellStyle name="Standard 6 3 3 4 2 7 2 2" xfId="8191" xr:uid="{00000000-0005-0000-0000-000006200000}"/>
    <cellStyle name="Standard 6 3 3 4 2 7 2 2 2" xfId="20152" xr:uid="{0BF4FC8E-DC17-4E0E-88EC-AB1ABA31CE43}"/>
    <cellStyle name="Standard 6 3 3 4 2 7 2 3" xfId="20151" xr:uid="{8544C502-F6FC-488D-85BB-624B6BDD3395}"/>
    <cellStyle name="Standard 6 3 3 4 2 7 3" xfId="8192" xr:uid="{00000000-0005-0000-0000-000007200000}"/>
    <cellStyle name="Standard 6 3 3 4 2 7 3 2" xfId="20153" xr:uid="{6BAFBEF6-8C49-4420-A0D7-3A14B7E4DF64}"/>
    <cellStyle name="Standard 6 3 3 4 2 7 4" xfId="20150" xr:uid="{252DF5E8-B150-4073-949F-CD0E2544F326}"/>
    <cellStyle name="Standard 6 3 3 4 2 8" xfId="8193" xr:uid="{00000000-0005-0000-0000-000008200000}"/>
    <cellStyle name="Standard 6 3 3 4 2 8 2" xfId="8194" xr:uid="{00000000-0005-0000-0000-000009200000}"/>
    <cellStyle name="Standard 6 3 3 4 2 8 2 2" xfId="20155" xr:uid="{DEC2508E-BD21-449E-9C02-D46CBFEB5E83}"/>
    <cellStyle name="Standard 6 3 3 4 2 8 3" xfId="20154" xr:uid="{5C479A3C-3F7B-4C54-B1B6-EE02F83B58A7}"/>
    <cellStyle name="Standard 6 3 3 4 2 9" xfId="8195" xr:uid="{00000000-0005-0000-0000-00000A200000}"/>
    <cellStyle name="Standard 6 3 3 4 2 9 2" xfId="20156" xr:uid="{6AD90BD9-3984-4BF9-9FE5-49BBD8A2C07C}"/>
    <cellStyle name="Standard 6 3 3 4 3" xfId="8196" xr:uid="{00000000-0005-0000-0000-00000B200000}"/>
    <cellStyle name="Standard 6 3 3 4 3 2" xfId="8197" xr:uid="{00000000-0005-0000-0000-00000C200000}"/>
    <cellStyle name="Standard 6 3 3 4 3 2 2" xfId="8198" xr:uid="{00000000-0005-0000-0000-00000D200000}"/>
    <cellStyle name="Standard 6 3 3 4 3 2 2 2" xfId="20159" xr:uid="{8A7B5B67-1D8E-4BB9-A311-3BD60FA928D7}"/>
    <cellStyle name="Standard 6 3 3 4 3 2 3" xfId="20158" xr:uid="{0A7EADD2-F158-433A-9636-F91FD3AB2A5A}"/>
    <cellStyle name="Standard 6 3 3 4 3 3" xfId="8199" xr:uid="{00000000-0005-0000-0000-00000E200000}"/>
    <cellStyle name="Standard 6 3 3 4 3 3 2" xfId="20160" xr:uid="{95A33317-C693-4CC9-85F4-C02FE3AB9B30}"/>
    <cellStyle name="Standard 6 3 3 4 3 4" xfId="20157" xr:uid="{65768E60-CCF6-4271-ADFA-35F0CF6D110E}"/>
    <cellStyle name="Standard 6 3 3 4 4" xfId="8200" xr:uid="{00000000-0005-0000-0000-00000F200000}"/>
    <cellStyle name="Standard 6 3 3 4 4 2" xfId="8201" xr:uid="{00000000-0005-0000-0000-000010200000}"/>
    <cellStyle name="Standard 6 3 3 4 4 2 2" xfId="8202" xr:uid="{00000000-0005-0000-0000-000011200000}"/>
    <cellStyle name="Standard 6 3 3 4 4 2 2 2" xfId="20163" xr:uid="{94ADB786-70AF-4B0A-97B3-50270F5A63C7}"/>
    <cellStyle name="Standard 6 3 3 4 4 2 3" xfId="20162" xr:uid="{789B36CB-9FF0-408F-A015-07C4B7883873}"/>
    <cellStyle name="Standard 6 3 3 4 4 3" xfId="8203" xr:uid="{00000000-0005-0000-0000-000012200000}"/>
    <cellStyle name="Standard 6 3 3 4 4 3 2" xfId="20164" xr:uid="{55A7A177-1D22-41F2-98CC-2A2B46560242}"/>
    <cellStyle name="Standard 6 3 3 4 4 4" xfId="20161" xr:uid="{E174EA41-D2BC-447B-8A7A-482162F6C7A9}"/>
    <cellStyle name="Standard 6 3 3 4 5" xfId="8204" xr:uid="{00000000-0005-0000-0000-000013200000}"/>
    <cellStyle name="Standard 6 3 3 4 5 2" xfId="8205" xr:uid="{00000000-0005-0000-0000-000014200000}"/>
    <cellStyle name="Standard 6 3 3 4 5 2 2" xfId="8206" xr:uid="{00000000-0005-0000-0000-000015200000}"/>
    <cellStyle name="Standard 6 3 3 4 5 2 2 2" xfId="20167" xr:uid="{2BFCCA0F-EF84-496B-945E-BF4D26CA2748}"/>
    <cellStyle name="Standard 6 3 3 4 5 2 3" xfId="20166" xr:uid="{3E56E44F-2756-4A84-B42F-D5AB0E8FF5FC}"/>
    <cellStyle name="Standard 6 3 3 4 5 3" xfId="8207" xr:uid="{00000000-0005-0000-0000-000016200000}"/>
    <cellStyle name="Standard 6 3 3 4 5 3 2" xfId="20168" xr:uid="{FDF3B073-F6B8-4FDC-9735-6AC5C01AFB7D}"/>
    <cellStyle name="Standard 6 3 3 4 5 4" xfId="20165" xr:uid="{6D803C90-0138-4632-B9E9-0BF6991490D5}"/>
    <cellStyle name="Standard 6 3 3 4 6" xfId="8208" xr:uid="{00000000-0005-0000-0000-000017200000}"/>
    <cellStyle name="Standard 6 3 3 4 6 2" xfId="8209" xr:uid="{00000000-0005-0000-0000-000018200000}"/>
    <cellStyle name="Standard 6 3 3 4 6 2 2" xfId="8210" xr:uid="{00000000-0005-0000-0000-000019200000}"/>
    <cellStyle name="Standard 6 3 3 4 6 2 2 2" xfId="20171" xr:uid="{821228BA-E554-4D5B-9C93-AEB6E83C90C9}"/>
    <cellStyle name="Standard 6 3 3 4 6 2 3" xfId="20170" xr:uid="{822059A5-963B-49A1-AB4F-B3117317D28D}"/>
    <cellStyle name="Standard 6 3 3 4 6 3" xfId="8211" xr:uid="{00000000-0005-0000-0000-00001A200000}"/>
    <cellStyle name="Standard 6 3 3 4 6 3 2" xfId="20172" xr:uid="{526A8355-2660-4C89-9597-DA962720CABE}"/>
    <cellStyle name="Standard 6 3 3 4 6 4" xfId="20169" xr:uid="{79DA97F9-39A2-42FD-8718-35187B23CC4F}"/>
    <cellStyle name="Standard 6 3 3 4 7" xfId="8212" xr:uid="{00000000-0005-0000-0000-00001B200000}"/>
    <cellStyle name="Standard 6 3 3 4 7 2" xfId="8213" xr:uid="{00000000-0005-0000-0000-00001C200000}"/>
    <cellStyle name="Standard 6 3 3 4 7 2 2" xfId="8214" xr:uid="{00000000-0005-0000-0000-00001D200000}"/>
    <cellStyle name="Standard 6 3 3 4 7 2 2 2" xfId="20175" xr:uid="{392281D7-6494-4CA6-A965-E9CEC374C7B5}"/>
    <cellStyle name="Standard 6 3 3 4 7 2 3" xfId="20174" xr:uid="{93E3A5B5-3272-49E2-A5B7-2DB8FE3DA61A}"/>
    <cellStyle name="Standard 6 3 3 4 7 3" xfId="8215" xr:uid="{00000000-0005-0000-0000-00001E200000}"/>
    <cellStyle name="Standard 6 3 3 4 7 3 2" xfId="20176" xr:uid="{5B3C14C1-75B7-4F52-8511-72250F66838A}"/>
    <cellStyle name="Standard 6 3 3 4 7 4" xfId="20173" xr:uid="{F7112F39-8E20-4569-8F9E-BDC2E1F1D747}"/>
    <cellStyle name="Standard 6 3 3 4 8" xfId="8216" xr:uid="{00000000-0005-0000-0000-00001F200000}"/>
    <cellStyle name="Standard 6 3 3 4 8 2" xfId="8217" xr:uid="{00000000-0005-0000-0000-000020200000}"/>
    <cellStyle name="Standard 6 3 3 4 8 2 2" xfId="8218" xr:uid="{00000000-0005-0000-0000-000021200000}"/>
    <cellStyle name="Standard 6 3 3 4 8 2 2 2" xfId="20179" xr:uid="{BDF051F5-F5F3-4F5E-8024-90AC67A9DBE4}"/>
    <cellStyle name="Standard 6 3 3 4 8 2 3" xfId="20178" xr:uid="{E73AC0E9-1D5F-4F31-AD0B-8C615FDB845D}"/>
    <cellStyle name="Standard 6 3 3 4 8 3" xfId="8219" xr:uid="{00000000-0005-0000-0000-000022200000}"/>
    <cellStyle name="Standard 6 3 3 4 8 3 2" xfId="20180" xr:uid="{4D60010C-E296-422B-85C2-C7A248665657}"/>
    <cellStyle name="Standard 6 3 3 4 8 4" xfId="20177" xr:uid="{D773230B-B5A0-4297-8D07-B4F269C7CF66}"/>
    <cellStyle name="Standard 6 3 3 4 9" xfId="8220" xr:uid="{00000000-0005-0000-0000-000023200000}"/>
    <cellStyle name="Standard 6 3 3 4 9 2" xfId="8221" xr:uid="{00000000-0005-0000-0000-000024200000}"/>
    <cellStyle name="Standard 6 3 3 4 9 2 2" xfId="20182" xr:uid="{5C8A657F-FF41-49F9-819A-B64BAE155C22}"/>
    <cellStyle name="Standard 6 3 3 4 9 3" xfId="20181" xr:uid="{4459D6DF-2311-4B94-A0F0-EBCD748C743B}"/>
    <cellStyle name="Standard 6 3 3 5" xfId="8222" xr:uid="{00000000-0005-0000-0000-000025200000}"/>
    <cellStyle name="Standard 6 3 3 5 10" xfId="8223" xr:uid="{00000000-0005-0000-0000-000026200000}"/>
    <cellStyle name="Standard 6 3 3 5 10 2" xfId="20184" xr:uid="{DB4637BF-FB80-4A65-B7F2-F15A1B7B1E2F}"/>
    <cellStyle name="Standard 6 3 3 5 11" xfId="20183" xr:uid="{9E84E0CF-0FDA-435C-B0A4-56B6D89AB6FD}"/>
    <cellStyle name="Standard 6 3 3 5 2" xfId="8224" xr:uid="{00000000-0005-0000-0000-000027200000}"/>
    <cellStyle name="Standard 6 3 3 5 2 10" xfId="20185" xr:uid="{F5BE0684-9793-483F-8FCD-2457B4D2D19B}"/>
    <cellStyle name="Standard 6 3 3 5 2 2" xfId="8225" xr:uid="{00000000-0005-0000-0000-000028200000}"/>
    <cellStyle name="Standard 6 3 3 5 2 2 2" xfId="8226" xr:uid="{00000000-0005-0000-0000-000029200000}"/>
    <cellStyle name="Standard 6 3 3 5 2 2 2 2" xfId="8227" xr:uid="{00000000-0005-0000-0000-00002A200000}"/>
    <cellStyle name="Standard 6 3 3 5 2 2 2 2 2" xfId="20188" xr:uid="{B624E71B-1C50-4144-8E39-C858DE39718D}"/>
    <cellStyle name="Standard 6 3 3 5 2 2 2 3" xfId="20187" xr:uid="{28213332-B6F3-4DA1-AEF2-9BD69DE33A0B}"/>
    <cellStyle name="Standard 6 3 3 5 2 2 3" xfId="8228" xr:uid="{00000000-0005-0000-0000-00002B200000}"/>
    <cellStyle name="Standard 6 3 3 5 2 2 3 2" xfId="20189" xr:uid="{1C8CFF48-101E-4995-B279-17A520C86D07}"/>
    <cellStyle name="Standard 6 3 3 5 2 2 4" xfId="20186" xr:uid="{81028D76-2D7D-4F20-A9CE-859D3BFC0612}"/>
    <cellStyle name="Standard 6 3 3 5 2 3" xfId="8229" xr:uid="{00000000-0005-0000-0000-00002C200000}"/>
    <cellStyle name="Standard 6 3 3 5 2 3 2" xfId="8230" xr:uid="{00000000-0005-0000-0000-00002D200000}"/>
    <cellStyle name="Standard 6 3 3 5 2 3 2 2" xfId="8231" xr:uid="{00000000-0005-0000-0000-00002E200000}"/>
    <cellStyle name="Standard 6 3 3 5 2 3 2 2 2" xfId="20192" xr:uid="{D91E4F38-8DDA-4DB9-82E6-6C5E4D100A5C}"/>
    <cellStyle name="Standard 6 3 3 5 2 3 2 3" xfId="20191" xr:uid="{63B0CAEC-DD9E-44B2-8026-7ADA2C1FC94E}"/>
    <cellStyle name="Standard 6 3 3 5 2 3 3" xfId="8232" xr:uid="{00000000-0005-0000-0000-00002F200000}"/>
    <cellStyle name="Standard 6 3 3 5 2 3 3 2" xfId="20193" xr:uid="{67C63FAE-FB24-4F11-91CD-D3798B2EF53A}"/>
    <cellStyle name="Standard 6 3 3 5 2 3 4" xfId="20190" xr:uid="{80FCCF00-E7F9-41CB-9DE6-BB0E2FF5ECFC}"/>
    <cellStyle name="Standard 6 3 3 5 2 4" xfId="8233" xr:uid="{00000000-0005-0000-0000-000030200000}"/>
    <cellStyle name="Standard 6 3 3 5 2 4 2" xfId="8234" xr:uid="{00000000-0005-0000-0000-000031200000}"/>
    <cellStyle name="Standard 6 3 3 5 2 4 2 2" xfId="8235" xr:uid="{00000000-0005-0000-0000-000032200000}"/>
    <cellStyle name="Standard 6 3 3 5 2 4 2 2 2" xfId="20196" xr:uid="{442158E9-37E3-4671-A0C1-E2D1EC9A8FB3}"/>
    <cellStyle name="Standard 6 3 3 5 2 4 2 3" xfId="20195" xr:uid="{B4DB70D4-5873-4C6E-9A41-0C5C9F8EB887}"/>
    <cellStyle name="Standard 6 3 3 5 2 4 3" xfId="8236" xr:uid="{00000000-0005-0000-0000-000033200000}"/>
    <cellStyle name="Standard 6 3 3 5 2 4 3 2" xfId="20197" xr:uid="{83FF7D27-8863-404B-8CDF-C71857AC1228}"/>
    <cellStyle name="Standard 6 3 3 5 2 4 4" xfId="20194" xr:uid="{6DFC8389-1BA0-4D8B-B92D-3D4BAF7EA10F}"/>
    <cellStyle name="Standard 6 3 3 5 2 5" xfId="8237" xr:uid="{00000000-0005-0000-0000-000034200000}"/>
    <cellStyle name="Standard 6 3 3 5 2 5 2" xfId="8238" xr:uid="{00000000-0005-0000-0000-000035200000}"/>
    <cellStyle name="Standard 6 3 3 5 2 5 2 2" xfId="8239" xr:uid="{00000000-0005-0000-0000-000036200000}"/>
    <cellStyle name="Standard 6 3 3 5 2 5 2 2 2" xfId="20200" xr:uid="{D7895B02-487A-4F7B-B0BF-726E94EBA676}"/>
    <cellStyle name="Standard 6 3 3 5 2 5 2 3" xfId="20199" xr:uid="{23B665F2-30A7-4C61-936E-9A49A6939511}"/>
    <cellStyle name="Standard 6 3 3 5 2 5 3" xfId="8240" xr:uid="{00000000-0005-0000-0000-000037200000}"/>
    <cellStyle name="Standard 6 3 3 5 2 5 3 2" xfId="20201" xr:uid="{1B141EFA-7B55-4C44-8247-1261EF7DD99B}"/>
    <cellStyle name="Standard 6 3 3 5 2 5 4" xfId="20198" xr:uid="{E69C5D93-09D7-4CA5-BD1D-88090E218AFA}"/>
    <cellStyle name="Standard 6 3 3 5 2 6" xfId="8241" xr:uid="{00000000-0005-0000-0000-000038200000}"/>
    <cellStyle name="Standard 6 3 3 5 2 6 2" xfId="8242" xr:uid="{00000000-0005-0000-0000-000039200000}"/>
    <cellStyle name="Standard 6 3 3 5 2 6 2 2" xfId="8243" xr:uid="{00000000-0005-0000-0000-00003A200000}"/>
    <cellStyle name="Standard 6 3 3 5 2 6 2 2 2" xfId="20204" xr:uid="{D0AE6565-F877-40AF-871D-D5057547620E}"/>
    <cellStyle name="Standard 6 3 3 5 2 6 2 3" xfId="20203" xr:uid="{C7E09C81-D745-42D5-813C-71BBA00A9FDC}"/>
    <cellStyle name="Standard 6 3 3 5 2 6 3" xfId="8244" xr:uid="{00000000-0005-0000-0000-00003B200000}"/>
    <cellStyle name="Standard 6 3 3 5 2 6 3 2" xfId="20205" xr:uid="{10B6D768-CA22-4A45-BC43-2894D2C23586}"/>
    <cellStyle name="Standard 6 3 3 5 2 6 4" xfId="20202" xr:uid="{32FC8226-1DBE-4257-A6F3-5A1CEEA31BA7}"/>
    <cellStyle name="Standard 6 3 3 5 2 7" xfId="8245" xr:uid="{00000000-0005-0000-0000-00003C200000}"/>
    <cellStyle name="Standard 6 3 3 5 2 7 2" xfId="8246" xr:uid="{00000000-0005-0000-0000-00003D200000}"/>
    <cellStyle name="Standard 6 3 3 5 2 7 2 2" xfId="8247" xr:uid="{00000000-0005-0000-0000-00003E200000}"/>
    <cellStyle name="Standard 6 3 3 5 2 7 2 2 2" xfId="20208" xr:uid="{4BD95DB9-EC76-4CF2-8F32-DA70E21B9FDD}"/>
    <cellStyle name="Standard 6 3 3 5 2 7 2 3" xfId="20207" xr:uid="{EE3D3D73-61D2-45AC-B338-6554C42AF9A8}"/>
    <cellStyle name="Standard 6 3 3 5 2 7 3" xfId="8248" xr:uid="{00000000-0005-0000-0000-00003F200000}"/>
    <cellStyle name="Standard 6 3 3 5 2 7 3 2" xfId="20209" xr:uid="{38AFEB7A-F56F-4B95-808A-D1315B6A8B59}"/>
    <cellStyle name="Standard 6 3 3 5 2 7 4" xfId="20206" xr:uid="{B17E011F-D18D-4585-8622-2007B4A73B0D}"/>
    <cellStyle name="Standard 6 3 3 5 2 8" xfId="8249" xr:uid="{00000000-0005-0000-0000-000040200000}"/>
    <cellStyle name="Standard 6 3 3 5 2 8 2" xfId="8250" xr:uid="{00000000-0005-0000-0000-000041200000}"/>
    <cellStyle name="Standard 6 3 3 5 2 8 2 2" xfId="20211" xr:uid="{8226597A-397A-4758-A910-691C294145C8}"/>
    <cellStyle name="Standard 6 3 3 5 2 8 3" xfId="20210" xr:uid="{A4E46C54-A418-4AD7-9C1D-7B18FDE112C4}"/>
    <cellStyle name="Standard 6 3 3 5 2 9" xfId="8251" xr:uid="{00000000-0005-0000-0000-000042200000}"/>
    <cellStyle name="Standard 6 3 3 5 2 9 2" xfId="20212" xr:uid="{BF1EAA2F-A41B-4803-84BE-884600979987}"/>
    <cellStyle name="Standard 6 3 3 5 3" xfId="8252" xr:uid="{00000000-0005-0000-0000-000043200000}"/>
    <cellStyle name="Standard 6 3 3 5 3 2" xfId="8253" xr:uid="{00000000-0005-0000-0000-000044200000}"/>
    <cellStyle name="Standard 6 3 3 5 3 2 2" xfId="8254" xr:uid="{00000000-0005-0000-0000-000045200000}"/>
    <cellStyle name="Standard 6 3 3 5 3 2 2 2" xfId="20215" xr:uid="{98B18BCE-BC4E-473C-AF7C-E3E930A72DC0}"/>
    <cellStyle name="Standard 6 3 3 5 3 2 3" xfId="20214" xr:uid="{074C09AF-8A55-40BC-AAD2-8F629C4D1404}"/>
    <cellStyle name="Standard 6 3 3 5 3 3" xfId="8255" xr:uid="{00000000-0005-0000-0000-000046200000}"/>
    <cellStyle name="Standard 6 3 3 5 3 3 2" xfId="20216" xr:uid="{54A83E8B-E49B-4F44-A6A3-EC57AE907726}"/>
    <cellStyle name="Standard 6 3 3 5 3 4" xfId="20213" xr:uid="{95981CBC-C9D9-443A-A1C1-A39E0ADA2BE8}"/>
    <cellStyle name="Standard 6 3 3 5 4" xfId="8256" xr:uid="{00000000-0005-0000-0000-000047200000}"/>
    <cellStyle name="Standard 6 3 3 5 4 2" xfId="8257" xr:uid="{00000000-0005-0000-0000-000048200000}"/>
    <cellStyle name="Standard 6 3 3 5 4 2 2" xfId="8258" xr:uid="{00000000-0005-0000-0000-000049200000}"/>
    <cellStyle name="Standard 6 3 3 5 4 2 2 2" xfId="20219" xr:uid="{642DD6FA-C3B1-4051-AB0E-CB0051C15AF3}"/>
    <cellStyle name="Standard 6 3 3 5 4 2 3" xfId="20218" xr:uid="{6A72C95A-88FF-4824-969A-E9C730E4F59F}"/>
    <cellStyle name="Standard 6 3 3 5 4 3" xfId="8259" xr:uid="{00000000-0005-0000-0000-00004A200000}"/>
    <cellStyle name="Standard 6 3 3 5 4 3 2" xfId="20220" xr:uid="{538E66CB-42E5-478C-B1CC-0AB622EA0EAC}"/>
    <cellStyle name="Standard 6 3 3 5 4 4" xfId="20217" xr:uid="{4C140461-F652-4B4D-B813-2C612A8D345A}"/>
    <cellStyle name="Standard 6 3 3 5 5" xfId="8260" xr:uid="{00000000-0005-0000-0000-00004B200000}"/>
    <cellStyle name="Standard 6 3 3 5 5 2" xfId="8261" xr:uid="{00000000-0005-0000-0000-00004C200000}"/>
    <cellStyle name="Standard 6 3 3 5 5 2 2" xfId="8262" xr:uid="{00000000-0005-0000-0000-00004D200000}"/>
    <cellStyle name="Standard 6 3 3 5 5 2 2 2" xfId="20223" xr:uid="{F5874BDF-0024-492B-8E57-BA853D8A07C5}"/>
    <cellStyle name="Standard 6 3 3 5 5 2 3" xfId="20222" xr:uid="{9065228B-C466-453D-9034-9536B30C6B7E}"/>
    <cellStyle name="Standard 6 3 3 5 5 3" xfId="8263" xr:uid="{00000000-0005-0000-0000-00004E200000}"/>
    <cellStyle name="Standard 6 3 3 5 5 3 2" xfId="20224" xr:uid="{A14CA81F-4F8A-473A-8388-936E2FFE77CE}"/>
    <cellStyle name="Standard 6 3 3 5 5 4" xfId="20221" xr:uid="{CE83676B-6DD0-4217-BBD6-656A9F8BCFDA}"/>
    <cellStyle name="Standard 6 3 3 5 6" xfId="8264" xr:uid="{00000000-0005-0000-0000-00004F200000}"/>
    <cellStyle name="Standard 6 3 3 5 6 2" xfId="8265" xr:uid="{00000000-0005-0000-0000-000050200000}"/>
    <cellStyle name="Standard 6 3 3 5 6 2 2" xfId="8266" xr:uid="{00000000-0005-0000-0000-000051200000}"/>
    <cellStyle name="Standard 6 3 3 5 6 2 2 2" xfId="20227" xr:uid="{009A9EDD-05AF-4EDF-BE1F-7565F8C5129F}"/>
    <cellStyle name="Standard 6 3 3 5 6 2 3" xfId="20226" xr:uid="{4272AC6E-E750-4006-8C89-4A2678F3D05D}"/>
    <cellStyle name="Standard 6 3 3 5 6 3" xfId="8267" xr:uid="{00000000-0005-0000-0000-000052200000}"/>
    <cellStyle name="Standard 6 3 3 5 6 3 2" xfId="20228" xr:uid="{C74F84DE-4409-41FB-92EE-D889D029F9F4}"/>
    <cellStyle name="Standard 6 3 3 5 6 4" xfId="20225" xr:uid="{EF496FDB-0ACA-45FB-A0AF-540F3D3734B9}"/>
    <cellStyle name="Standard 6 3 3 5 7" xfId="8268" xr:uid="{00000000-0005-0000-0000-000053200000}"/>
    <cellStyle name="Standard 6 3 3 5 7 2" xfId="8269" xr:uid="{00000000-0005-0000-0000-000054200000}"/>
    <cellStyle name="Standard 6 3 3 5 7 2 2" xfId="8270" xr:uid="{00000000-0005-0000-0000-000055200000}"/>
    <cellStyle name="Standard 6 3 3 5 7 2 2 2" xfId="20231" xr:uid="{28867B68-3C39-4FA1-AB43-44D82CA26CE0}"/>
    <cellStyle name="Standard 6 3 3 5 7 2 3" xfId="20230" xr:uid="{2A4EAB4C-A2A2-4931-8037-573B926D84F3}"/>
    <cellStyle name="Standard 6 3 3 5 7 3" xfId="8271" xr:uid="{00000000-0005-0000-0000-000056200000}"/>
    <cellStyle name="Standard 6 3 3 5 7 3 2" xfId="20232" xr:uid="{2981F5AF-E01B-474C-89AB-A6A71F7FF938}"/>
    <cellStyle name="Standard 6 3 3 5 7 4" xfId="20229" xr:uid="{5D0C9937-414C-40EC-AC79-D124123C3337}"/>
    <cellStyle name="Standard 6 3 3 5 8" xfId="8272" xr:uid="{00000000-0005-0000-0000-000057200000}"/>
    <cellStyle name="Standard 6 3 3 5 8 2" xfId="8273" xr:uid="{00000000-0005-0000-0000-000058200000}"/>
    <cellStyle name="Standard 6 3 3 5 8 2 2" xfId="8274" xr:uid="{00000000-0005-0000-0000-000059200000}"/>
    <cellStyle name="Standard 6 3 3 5 8 2 2 2" xfId="20235" xr:uid="{05B9B92C-D6E4-4EAD-AEF5-5A516B5C408F}"/>
    <cellStyle name="Standard 6 3 3 5 8 2 3" xfId="20234" xr:uid="{265373D5-1FC5-4479-8FEA-59308008520C}"/>
    <cellStyle name="Standard 6 3 3 5 8 3" xfId="8275" xr:uid="{00000000-0005-0000-0000-00005A200000}"/>
    <cellStyle name="Standard 6 3 3 5 8 3 2" xfId="20236" xr:uid="{333BC5C7-F536-486F-96DA-81756A5B8D3E}"/>
    <cellStyle name="Standard 6 3 3 5 8 4" xfId="20233" xr:uid="{22C9C7BA-37E9-4A0B-828F-9A5C40E7CCAF}"/>
    <cellStyle name="Standard 6 3 3 5 9" xfId="8276" xr:uid="{00000000-0005-0000-0000-00005B200000}"/>
    <cellStyle name="Standard 6 3 3 5 9 2" xfId="8277" xr:uid="{00000000-0005-0000-0000-00005C200000}"/>
    <cellStyle name="Standard 6 3 3 5 9 2 2" xfId="20238" xr:uid="{F637713F-E14C-43BF-9311-8A4D91ABDB43}"/>
    <cellStyle name="Standard 6 3 3 5 9 3" xfId="20237" xr:uid="{833DC76E-FCE7-427B-B228-17A88556B2A3}"/>
    <cellStyle name="Standard 6 3 3 6" xfId="8278" xr:uid="{00000000-0005-0000-0000-00005D200000}"/>
    <cellStyle name="Standard 6 3 3 6 10" xfId="8279" xr:uid="{00000000-0005-0000-0000-00005E200000}"/>
    <cellStyle name="Standard 6 3 3 6 10 2" xfId="20240" xr:uid="{4977D263-79C9-4958-85A6-10BA256F3FED}"/>
    <cellStyle name="Standard 6 3 3 6 11" xfId="20239" xr:uid="{DE6A6E48-B032-49D8-9611-0CE5B73AB20E}"/>
    <cellStyle name="Standard 6 3 3 6 2" xfId="8280" xr:uid="{00000000-0005-0000-0000-00005F200000}"/>
    <cellStyle name="Standard 6 3 3 6 2 10" xfId="20241" xr:uid="{83E26FA2-A341-428E-AEAC-AC749B401EB3}"/>
    <cellStyle name="Standard 6 3 3 6 2 2" xfId="8281" xr:uid="{00000000-0005-0000-0000-000060200000}"/>
    <cellStyle name="Standard 6 3 3 6 2 2 2" xfId="8282" xr:uid="{00000000-0005-0000-0000-000061200000}"/>
    <cellStyle name="Standard 6 3 3 6 2 2 2 2" xfId="8283" xr:uid="{00000000-0005-0000-0000-000062200000}"/>
    <cellStyle name="Standard 6 3 3 6 2 2 2 2 2" xfId="20244" xr:uid="{C2D3E62A-F75A-449B-AD48-23E381CECC8B}"/>
    <cellStyle name="Standard 6 3 3 6 2 2 2 3" xfId="20243" xr:uid="{73C668FB-ED4F-4E86-A096-13CA6049A4B9}"/>
    <cellStyle name="Standard 6 3 3 6 2 2 3" xfId="8284" xr:uid="{00000000-0005-0000-0000-000063200000}"/>
    <cellStyle name="Standard 6 3 3 6 2 2 3 2" xfId="20245" xr:uid="{72E573C9-25DE-4BEF-9552-7FA89EB0C43F}"/>
    <cellStyle name="Standard 6 3 3 6 2 2 4" xfId="20242" xr:uid="{97882A51-2ED3-4D74-8664-010F8F7A27BB}"/>
    <cellStyle name="Standard 6 3 3 6 2 3" xfId="8285" xr:uid="{00000000-0005-0000-0000-000064200000}"/>
    <cellStyle name="Standard 6 3 3 6 2 3 2" xfId="8286" xr:uid="{00000000-0005-0000-0000-000065200000}"/>
    <cellStyle name="Standard 6 3 3 6 2 3 2 2" xfId="8287" xr:uid="{00000000-0005-0000-0000-000066200000}"/>
    <cellStyle name="Standard 6 3 3 6 2 3 2 2 2" xfId="20248" xr:uid="{080691A0-FD96-4C49-B50D-CE385198BF4F}"/>
    <cellStyle name="Standard 6 3 3 6 2 3 2 3" xfId="20247" xr:uid="{05DA027E-FC40-4C5E-AA78-807CFA7EFB58}"/>
    <cellStyle name="Standard 6 3 3 6 2 3 3" xfId="8288" xr:uid="{00000000-0005-0000-0000-000067200000}"/>
    <cellStyle name="Standard 6 3 3 6 2 3 3 2" xfId="20249" xr:uid="{E0F318ED-9067-47EE-BB5C-62B98BB511A7}"/>
    <cellStyle name="Standard 6 3 3 6 2 3 4" xfId="20246" xr:uid="{49C066F7-3F6D-450D-BAB8-189C2281200E}"/>
    <cellStyle name="Standard 6 3 3 6 2 4" xfId="8289" xr:uid="{00000000-0005-0000-0000-000068200000}"/>
    <cellStyle name="Standard 6 3 3 6 2 4 2" xfId="8290" xr:uid="{00000000-0005-0000-0000-000069200000}"/>
    <cellStyle name="Standard 6 3 3 6 2 4 2 2" xfId="8291" xr:uid="{00000000-0005-0000-0000-00006A200000}"/>
    <cellStyle name="Standard 6 3 3 6 2 4 2 2 2" xfId="20252" xr:uid="{3F345587-A0FF-4667-84E8-562E077B6B42}"/>
    <cellStyle name="Standard 6 3 3 6 2 4 2 3" xfId="20251" xr:uid="{468C16DF-FD04-4AFD-9918-E3E525DBF8D8}"/>
    <cellStyle name="Standard 6 3 3 6 2 4 3" xfId="8292" xr:uid="{00000000-0005-0000-0000-00006B200000}"/>
    <cellStyle name="Standard 6 3 3 6 2 4 3 2" xfId="20253" xr:uid="{B2258B48-67AC-4CEC-94EB-13CC1B9A0F7A}"/>
    <cellStyle name="Standard 6 3 3 6 2 4 4" xfId="20250" xr:uid="{2AF80311-24CF-485C-810C-78FDD5D47A3E}"/>
    <cellStyle name="Standard 6 3 3 6 2 5" xfId="8293" xr:uid="{00000000-0005-0000-0000-00006C200000}"/>
    <cellStyle name="Standard 6 3 3 6 2 5 2" xfId="8294" xr:uid="{00000000-0005-0000-0000-00006D200000}"/>
    <cellStyle name="Standard 6 3 3 6 2 5 2 2" xfId="8295" xr:uid="{00000000-0005-0000-0000-00006E200000}"/>
    <cellStyle name="Standard 6 3 3 6 2 5 2 2 2" xfId="20256" xr:uid="{5B9F053B-C035-4094-AAD3-1C47F4EA5F04}"/>
    <cellStyle name="Standard 6 3 3 6 2 5 2 3" xfId="20255" xr:uid="{1C90C61C-B69A-4E71-8B57-10C2698D9AF2}"/>
    <cellStyle name="Standard 6 3 3 6 2 5 3" xfId="8296" xr:uid="{00000000-0005-0000-0000-00006F200000}"/>
    <cellStyle name="Standard 6 3 3 6 2 5 3 2" xfId="20257" xr:uid="{5C969DFA-4D3F-41D0-9DA9-752CD8399520}"/>
    <cellStyle name="Standard 6 3 3 6 2 5 4" xfId="20254" xr:uid="{D8DCE39F-8F53-458E-B908-A0AA5FB4E88E}"/>
    <cellStyle name="Standard 6 3 3 6 2 6" xfId="8297" xr:uid="{00000000-0005-0000-0000-000070200000}"/>
    <cellStyle name="Standard 6 3 3 6 2 6 2" xfId="8298" xr:uid="{00000000-0005-0000-0000-000071200000}"/>
    <cellStyle name="Standard 6 3 3 6 2 6 2 2" xfId="8299" xr:uid="{00000000-0005-0000-0000-000072200000}"/>
    <cellStyle name="Standard 6 3 3 6 2 6 2 2 2" xfId="20260" xr:uid="{4DD2FF14-A85D-420B-9EC4-8E8EB2BD3FD2}"/>
    <cellStyle name="Standard 6 3 3 6 2 6 2 3" xfId="20259" xr:uid="{422AF17E-2A18-4E3E-AC6D-1CC79B61A5F7}"/>
    <cellStyle name="Standard 6 3 3 6 2 6 3" xfId="8300" xr:uid="{00000000-0005-0000-0000-000073200000}"/>
    <cellStyle name="Standard 6 3 3 6 2 6 3 2" xfId="20261" xr:uid="{B3123DE7-B544-46F8-8D98-E597E50E6217}"/>
    <cellStyle name="Standard 6 3 3 6 2 6 4" xfId="20258" xr:uid="{73F2A728-1621-4606-BDB3-91892603E74B}"/>
    <cellStyle name="Standard 6 3 3 6 2 7" xfId="8301" xr:uid="{00000000-0005-0000-0000-000074200000}"/>
    <cellStyle name="Standard 6 3 3 6 2 7 2" xfId="8302" xr:uid="{00000000-0005-0000-0000-000075200000}"/>
    <cellStyle name="Standard 6 3 3 6 2 7 2 2" xfId="8303" xr:uid="{00000000-0005-0000-0000-000076200000}"/>
    <cellStyle name="Standard 6 3 3 6 2 7 2 2 2" xfId="20264" xr:uid="{C651A5E1-7A6C-4393-9F24-58394615CAAB}"/>
    <cellStyle name="Standard 6 3 3 6 2 7 2 3" xfId="20263" xr:uid="{146803A2-D831-4195-9A31-7544D64EDE72}"/>
    <cellStyle name="Standard 6 3 3 6 2 7 3" xfId="8304" xr:uid="{00000000-0005-0000-0000-000077200000}"/>
    <cellStyle name="Standard 6 3 3 6 2 7 3 2" xfId="20265" xr:uid="{AB111B04-1A22-4F55-BAD8-742B1BBD0A58}"/>
    <cellStyle name="Standard 6 3 3 6 2 7 4" xfId="20262" xr:uid="{99B90740-33BF-4B8C-8193-D0553939004F}"/>
    <cellStyle name="Standard 6 3 3 6 2 8" xfId="8305" xr:uid="{00000000-0005-0000-0000-000078200000}"/>
    <cellStyle name="Standard 6 3 3 6 2 8 2" xfId="8306" xr:uid="{00000000-0005-0000-0000-000079200000}"/>
    <cellStyle name="Standard 6 3 3 6 2 8 2 2" xfId="20267" xr:uid="{0EDC96B5-1185-465D-90F0-5137B8966BBE}"/>
    <cellStyle name="Standard 6 3 3 6 2 8 3" xfId="20266" xr:uid="{CA645182-8D2D-40B1-8141-68C6F9C92B04}"/>
    <cellStyle name="Standard 6 3 3 6 2 9" xfId="8307" xr:uid="{00000000-0005-0000-0000-00007A200000}"/>
    <cellStyle name="Standard 6 3 3 6 2 9 2" xfId="20268" xr:uid="{87E395F1-4AA2-4D73-8F86-ABA0DF05E86F}"/>
    <cellStyle name="Standard 6 3 3 6 3" xfId="8308" xr:uid="{00000000-0005-0000-0000-00007B200000}"/>
    <cellStyle name="Standard 6 3 3 6 3 2" xfId="8309" xr:uid="{00000000-0005-0000-0000-00007C200000}"/>
    <cellStyle name="Standard 6 3 3 6 3 2 2" xfId="8310" xr:uid="{00000000-0005-0000-0000-00007D200000}"/>
    <cellStyle name="Standard 6 3 3 6 3 2 2 2" xfId="20271" xr:uid="{1A9C279F-255E-4290-AC68-4FC8BCC4B4FA}"/>
    <cellStyle name="Standard 6 3 3 6 3 2 3" xfId="20270" xr:uid="{799CF88E-DFE8-43D7-8270-B36F3E3828C3}"/>
    <cellStyle name="Standard 6 3 3 6 3 3" xfId="8311" xr:uid="{00000000-0005-0000-0000-00007E200000}"/>
    <cellStyle name="Standard 6 3 3 6 3 3 2" xfId="20272" xr:uid="{22C18147-6283-4B51-A067-91BEC0570D38}"/>
    <cellStyle name="Standard 6 3 3 6 3 4" xfId="20269" xr:uid="{78AC6467-4A20-4259-8980-497AB3604C07}"/>
    <cellStyle name="Standard 6 3 3 6 4" xfId="8312" xr:uid="{00000000-0005-0000-0000-00007F200000}"/>
    <cellStyle name="Standard 6 3 3 6 4 2" xfId="8313" xr:uid="{00000000-0005-0000-0000-000080200000}"/>
    <cellStyle name="Standard 6 3 3 6 4 2 2" xfId="8314" xr:uid="{00000000-0005-0000-0000-000081200000}"/>
    <cellStyle name="Standard 6 3 3 6 4 2 2 2" xfId="20275" xr:uid="{5C3BFFFB-4052-45AF-A5A6-3B36068DFB5A}"/>
    <cellStyle name="Standard 6 3 3 6 4 2 3" xfId="20274" xr:uid="{3563E049-94B2-473F-B8B7-C60B195BE0E4}"/>
    <cellStyle name="Standard 6 3 3 6 4 3" xfId="8315" xr:uid="{00000000-0005-0000-0000-000082200000}"/>
    <cellStyle name="Standard 6 3 3 6 4 3 2" xfId="20276" xr:uid="{A5C2874B-B016-44FA-B4B4-8A0656B2110B}"/>
    <cellStyle name="Standard 6 3 3 6 4 4" xfId="20273" xr:uid="{4273330B-369E-4CBF-BEE5-27FAACEE4899}"/>
    <cellStyle name="Standard 6 3 3 6 5" xfId="8316" xr:uid="{00000000-0005-0000-0000-000083200000}"/>
    <cellStyle name="Standard 6 3 3 6 5 2" xfId="8317" xr:uid="{00000000-0005-0000-0000-000084200000}"/>
    <cellStyle name="Standard 6 3 3 6 5 2 2" xfId="8318" xr:uid="{00000000-0005-0000-0000-000085200000}"/>
    <cellStyle name="Standard 6 3 3 6 5 2 2 2" xfId="20279" xr:uid="{FE1EEFB4-53A9-4A7C-9946-25CA8669A02E}"/>
    <cellStyle name="Standard 6 3 3 6 5 2 3" xfId="20278" xr:uid="{D39F22C7-A253-487E-B3E2-5791F1E366AB}"/>
    <cellStyle name="Standard 6 3 3 6 5 3" xfId="8319" xr:uid="{00000000-0005-0000-0000-000086200000}"/>
    <cellStyle name="Standard 6 3 3 6 5 3 2" xfId="20280" xr:uid="{1F56E8AD-21D8-4019-AC15-1A92853A9191}"/>
    <cellStyle name="Standard 6 3 3 6 5 4" xfId="20277" xr:uid="{EC0B3D07-734A-47E8-BAAC-BA1AF58D0801}"/>
    <cellStyle name="Standard 6 3 3 6 6" xfId="8320" xr:uid="{00000000-0005-0000-0000-000087200000}"/>
    <cellStyle name="Standard 6 3 3 6 6 2" xfId="8321" xr:uid="{00000000-0005-0000-0000-000088200000}"/>
    <cellStyle name="Standard 6 3 3 6 6 2 2" xfId="8322" xr:uid="{00000000-0005-0000-0000-000089200000}"/>
    <cellStyle name="Standard 6 3 3 6 6 2 2 2" xfId="20283" xr:uid="{8940047A-61C4-420E-82E9-4B272B15AF44}"/>
    <cellStyle name="Standard 6 3 3 6 6 2 3" xfId="20282" xr:uid="{7C9D3BD7-4A46-4360-9CE9-A6C5B023230F}"/>
    <cellStyle name="Standard 6 3 3 6 6 3" xfId="8323" xr:uid="{00000000-0005-0000-0000-00008A200000}"/>
    <cellStyle name="Standard 6 3 3 6 6 3 2" xfId="20284" xr:uid="{5E533560-1BCE-440F-AA5E-175527F31326}"/>
    <cellStyle name="Standard 6 3 3 6 6 4" xfId="20281" xr:uid="{D780B1CA-6B8C-4FB9-BE1B-48AB324DB0DC}"/>
    <cellStyle name="Standard 6 3 3 6 7" xfId="8324" xr:uid="{00000000-0005-0000-0000-00008B200000}"/>
    <cellStyle name="Standard 6 3 3 6 7 2" xfId="8325" xr:uid="{00000000-0005-0000-0000-00008C200000}"/>
    <cellStyle name="Standard 6 3 3 6 7 2 2" xfId="8326" xr:uid="{00000000-0005-0000-0000-00008D200000}"/>
    <cellStyle name="Standard 6 3 3 6 7 2 2 2" xfId="20287" xr:uid="{3083F975-2CCB-4C85-B5AA-DD3B3C79A286}"/>
    <cellStyle name="Standard 6 3 3 6 7 2 3" xfId="20286" xr:uid="{9C40D73C-C1C1-422B-B5B1-C395D7C8E1DE}"/>
    <cellStyle name="Standard 6 3 3 6 7 3" xfId="8327" xr:uid="{00000000-0005-0000-0000-00008E200000}"/>
    <cellStyle name="Standard 6 3 3 6 7 3 2" xfId="20288" xr:uid="{143D1795-8C15-4411-A018-A904B8DAB052}"/>
    <cellStyle name="Standard 6 3 3 6 7 4" xfId="20285" xr:uid="{51506DE6-2CBA-4449-A1E1-72297FF76536}"/>
    <cellStyle name="Standard 6 3 3 6 8" xfId="8328" xr:uid="{00000000-0005-0000-0000-00008F200000}"/>
    <cellStyle name="Standard 6 3 3 6 8 2" xfId="8329" xr:uid="{00000000-0005-0000-0000-000090200000}"/>
    <cellStyle name="Standard 6 3 3 6 8 2 2" xfId="8330" xr:uid="{00000000-0005-0000-0000-000091200000}"/>
    <cellStyle name="Standard 6 3 3 6 8 2 2 2" xfId="20291" xr:uid="{441F6F13-4A71-43AC-B746-B4A8E5A07A31}"/>
    <cellStyle name="Standard 6 3 3 6 8 2 3" xfId="20290" xr:uid="{CDA9E657-4E03-4C42-9A7D-6333FA921EF1}"/>
    <cellStyle name="Standard 6 3 3 6 8 3" xfId="8331" xr:uid="{00000000-0005-0000-0000-000092200000}"/>
    <cellStyle name="Standard 6 3 3 6 8 3 2" xfId="20292" xr:uid="{9217FEBA-3BF6-4A9A-8CBB-AC10DF3C1FC0}"/>
    <cellStyle name="Standard 6 3 3 6 8 4" xfId="20289" xr:uid="{68E3C0A0-73E8-456A-ADA8-984E9029FA2C}"/>
    <cellStyle name="Standard 6 3 3 6 9" xfId="8332" xr:uid="{00000000-0005-0000-0000-000093200000}"/>
    <cellStyle name="Standard 6 3 3 6 9 2" xfId="8333" xr:uid="{00000000-0005-0000-0000-000094200000}"/>
    <cellStyle name="Standard 6 3 3 6 9 2 2" xfId="20294" xr:uid="{3B6686CF-39E6-423E-AEC6-A2FC20E80CBE}"/>
    <cellStyle name="Standard 6 3 3 6 9 3" xfId="20293" xr:uid="{81DA0D7E-F80F-4F85-B7A4-2EC224702BC8}"/>
    <cellStyle name="Standard 6 3 3 7" xfId="8334" xr:uid="{00000000-0005-0000-0000-000095200000}"/>
    <cellStyle name="Standard 6 3 3 7 10" xfId="8335" xr:uid="{00000000-0005-0000-0000-000096200000}"/>
    <cellStyle name="Standard 6 3 3 7 10 2" xfId="20296" xr:uid="{392E42DC-51FE-49C8-B29D-693B1ED8DF83}"/>
    <cellStyle name="Standard 6 3 3 7 11" xfId="20295" xr:uid="{5371741A-7DB8-4C6F-88FC-2F8A0B6C41DA}"/>
    <cellStyle name="Standard 6 3 3 7 2" xfId="8336" xr:uid="{00000000-0005-0000-0000-000097200000}"/>
    <cellStyle name="Standard 6 3 3 7 2 10" xfId="20297" xr:uid="{11327C9D-30E2-40B1-A051-24F7A5618276}"/>
    <cellStyle name="Standard 6 3 3 7 2 2" xfId="8337" xr:uid="{00000000-0005-0000-0000-000098200000}"/>
    <cellStyle name="Standard 6 3 3 7 2 2 2" xfId="8338" xr:uid="{00000000-0005-0000-0000-000099200000}"/>
    <cellStyle name="Standard 6 3 3 7 2 2 2 2" xfId="8339" xr:uid="{00000000-0005-0000-0000-00009A200000}"/>
    <cellStyle name="Standard 6 3 3 7 2 2 2 2 2" xfId="20300" xr:uid="{C077648C-45A2-4F38-AAE9-926B79F71257}"/>
    <cellStyle name="Standard 6 3 3 7 2 2 2 3" xfId="20299" xr:uid="{8C9D929C-E222-4088-9953-6EC356D0C2D5}"/>
    <cellStyle name="Standard 6 3 3 7 2 2 3" xfId="8340" xr:uid="{00000000-0005-0000-0000-00009B200000}"/>
    <cellStyle name="Standard 6 3 3 7 2 2 3 2" xfId="20301" xr:uid="{F2999A05-E577-4CF2-A09C-EA9D99659E4D}"/>
    <cellStyle name="Standard 6 3 3 7 2 2 4" xfId="20298" xr:uid="{C1AD972E-CDE9-4FA8-8491-865C9CA57E6A}"/>
    <cellStyle name="Standard 6 3 3 7 2 3" xfId="8341" xr:uid="{00000000-0005-0000-0000-00009C200000}"/>
    <cellStyle name="Standard 6 3 3 7 2 3 2" xfId="8342" xr:uid="{00000000-0005-0000-0000-00009D200000}"/>
    <cellStyle name="Standard 6 3 3 7 2 3 2 2" xfId="8343" xr:uid="{00000000-0005-0000-0000-00009E200000}"/>
    <cellStyle name="Standard 6 3 3 7 2 3 2 2 2" xfId="20304" xr:uid="{280904AA-26D9-45AB-A3E0-6A143B8E1A63}"/>
    <cellStyle name="Standard 6 3 3 7 2 3 2 3" xfId="20303" xr:uid="{50EDE4DF-BFD4-434F-B967-C93C073B2A82}"/>
    <cellStyle name="Standard 6 3 3 7 2 3 3" xfId="8344" xr:uid="{00000000-0005-0000-0000-00009F200000}"/>
    <cellStyle name="Standard 6 3 3 7 2 3 3 2" xfId="20305" xr:uid="{8F7A81CF-853C-4081-98BE-685C523FFC7E}"/>
    <cellStyle name="Standard 6 3 3 7 2 3 4" xfId="20302" xr:uid="{14BCCFD4-33A8-4702-9EE7-28BD14760324}"/>
    <cellStyle name="Standard 6 3 3 7 2 4" xfId="8345" xr:uid="{00000000-0005-0000-0000-0000A0200000}"/>
    <cellStyle name="Standard 6 3 3 7 2 4 2" xfId="8346" xr:uid="{00000000-0005-0000-0000-0000A1200000}"/>
    <cellStyle name="Standard 6 3 3 7 2 4 2 2" xfId="8347" xr:uid="{00000000-0005-0000-0000-0000A2200000}"/>
    <cellStyle name="Standard 6 3 3 7 2 4 2 2 2" xfId="20308" xr:uid="{91640272-4099-41F5-A73B-D98819FC3D8E}"/>
    <cellStyle name="Standard 6 3 3 7 2 4 2 3" xfId="20307" xr:uid="{29DC22ED-0290-428E-9656-59B78FA4EAE9}"/>
    <cellStyle name="Standard 6 3 3 7 2 4 3" xfId="8348" xr:uid="{00000000-0005-0000-0000-0000A3200000}"/>
    <cellStyle name="Standard 6 3 3 7 2 4 3 2" xfId="20309" xr:uid="{75DF515D-161F-4FCD-B9CC-8604D1B5CAE6}"/>
    <cellStyle name="Standard 6 3 3 7 2 4 4" xfId="20306" xr:uid="{7E3252A4-923C-4CDB-847E-7F214F3B2BCE}"/>
    <cellStyle name="Standard 6 3 3 7 2 5" xfId="8349" xr:uid="{00000000-0005-0000-0000-0000A4200000}"/>
    <cellStyle name="Standard 6 3 3 7 2 5 2" xfId="8350" xr:uid="{00000000-0005-0000-0000-0000A5200000}"/>
    <cellStyle name="Standard 6 3 3 7 2 5 2 2" xfId="8351" xr:uid="{00000000-0005-0000-0000-0000A6200000}"/>
    <cellStyle name="Standard 6 3 3 7 2 5 2 2 2" xfId="20312" xr:uid="{EF92D562-F722-4395-BB24-C241E759E1A5}"/>
    <cellStyle name="Standard 6 3 3 7 2 5 2 3" xfId="20311" xr:uid="{4379532B-FFEF-4D32-9D58-327C3FD0B283}"/>
    <cellStyle name="Standard 6 3 3 7 2 5 3" xfId="8352" xr:uid="{00000000-0005-0000-0000-0000A7200000}"/>
    <cellStyle name="Standard 6 3 3 7 2 5 3 2" xfId="20313" xr:uid="{CA5022B5-2A28-410A-912F-8BCF3306942C}"/>
    <cellStyle name="Standard 6 3 3 7 2 5 4" xfId="20310" xr:uid="{1A50FC64-5069-4F62-845C-D1A152365698}"/>
    <cellStyle name="Standard 6 3 3 7 2 6" xfId="8353" xr:uid="{00000000-0005-0000-0000-0000A8200000}"/>
    <cellStyle name="Standard 6 3 3 7 2 6 2" xfId="8354" xr:uid="{00000000-0005-0000-0000-0000A9200000}"/>
    <cellStyle name="Standard 6 3 3 7 2 6 2 2" xfId="8355" xr:uid="{00000000-0005-0000-0000-0000AA200000}"/>
    <cellStyle name="Standard 6 3 3 7 2 6 2 2 2" xfId="20316" xr:uid="{E45FC479-141C-40E5-977B-3E9716FCC60F}"/>
    <cellStyle name="Standard 6 3 3 7 2 6 2 3" xfId="20315" xr:uid="{01AAE1EC-7650-4E6D-9536-4D7B6FC7C686}"/>
    <cellStyle name="Standard 6 3 3 7 2 6 3" xfId="8356" xr:uid="{00000000-0005-0000-0000-0000AB200000}"/>
    <cellStyle name="Standard 6 3 3 7 2 6 3 2" xfId="20317" xr:uid="{2A786442-AE8F-4924-BB48-0BEEAF590C1E}"/>
    <cellStyle name="Standard 6 3 3 7 2 6 4" xfId="20314" xr:uid="{5C4797EE-4FAD-44DF-A805-98A6D7215BB6}"/>
    <cellStyle name="Standard 6 3 3 7 2 7" xfId="8357" xr:uid="{00000000-0005-0000-0000-0000AC200000}"/>
    <cellStyle name="Standard 6 3 3 7 2 7 2" xfId="8358" xr:uid="{00000000-0005-0000-0000-0000AD200000}"/>
    <cellStyle name="Standard 6 3 3 7 2 7 2 2" xfId="8359" xr:uid="{00000000-0005-0000-0000-0000AE200000}"/>
    <cellStyle name="Standard 6 3 3 7 2 7 2 2 2" xfId="20320" xr:uid="{FD2E6686-96C0-41AF-ACBE-35E84C3BA2F6}"/>
    <cellStyle name="Standard 6 3 3 7 2 7 2 3" xfId="20319" xr:uid="{BCE09DC8-B9F8-4A33-8875-6836CB1A9E48}"/>
    <cellStyle name="Standard 6 3 3 7 2 7 3" xfId="8360" xr:uid="{00000000-0005-0000-0000-0000AF200000}"/>
    <cellStyle name="Standard 6 3 3 7 2 7 3 2" xfId="20321" xr:uid="{F9819D3B-58ED-47E8-A6C6-9ADB67A321B4}"/>
    <cellStyle name="Standard 6 3 3 7 2 7 4" xfId="20318" xr:uid="{A8BE0EA0-6CCB-4AD9-B7B2-941A1726BC74}"/>
    <cellStyle name="Standard 6 3 3 7 2 8" xfId="8361" xr:uid="{00000000-0005-0000-0000-0000B0200000}"/>
    <cellStyle name="Standard 6 3 3 7 2 8 2" xfId="8362" xr:uid="{00000000-0005-0000-0000-0000B1200000}"/>
    <cellStyle name="Standard 6 3 3 7 2 8 2 2" xfId="20323" xr:uid="{33E98078-B52A-4D5B-BF4D-E486746FFC22}"/>
    <cellStyle name="Standard 6 3 3 7 2 8 3" xfId="20322" xr:uid="{1FC4239F-C950-4FE4-BA01-454557E7152A}"/>
    <cellStyle name="Standard 6 3 3 7 2 9" xfId="8363" xr:uid="{00000000-0005-0000-0000-0000B2200000}"/>
    <cellStyle name="Standard 6 3 3 7 2 9 2" xfId="20324" xr:uid="{5AC11E1C-A6AD-4A0B-9704-F6AFE03B0629}"/>
    <cellStyle name="Standard 6 3 3 7 3" xfId="8364" xr:uid="{00000000-0005-0000-0000-0000B3200000}"/>
    <cellStyle name="Standard 6 3 3 7 3 2" xfId="8365" xr:uid="{00000000-0005-0000-0000-0000B4200000}"/>
    <cellStyle name="Standard 6 3 3 7 3 2 2" xfId="8366" xr:uid="{00000000-0005-0000-0000-0000B5200000}"/>
    <cellStyle name="Standard 6 3 3 7 3 2 2 2" xfId="20327" xr:uid="{EDE7626C-0D1E-4AC2-8A9B-6D4FA0FD84CF}"/>
    <cellStyle name="Standard 6 3 3 7 3 2 3" xfId="20326" xr:uid="{953AE62D-416D-4318-A576-C84EEF60982A}"/>
    <cellStyle name="Standard 6 3 3 7 3 3" xfId="8367" xr:uid="{00000000-0005-0000-0000-0000B6200000}"/>
    <cellStyle name="Standard 6 3 3 7 3 3 2" xfId="20328" xr:uid="{8DBD83DB-E19C-4287-9EE4-91B600B77645}"/>
    <cellStyle name="Standard 6 3 3 7 3 4" xfId="20325" xr:uid="{AA7E6931-97A7-4BD3-8E1B-7764BCE319A7}"/>
    <cellStyle name="Standard 6 3 3 7 4" xfId="8368" xr:uid="{00000000-0005-0000-0000-0000B7200000}"/>
    <cellStyle name="Standard 6 3 3 7 4 2" xfId="8369" xr:uid="{00000000-0005-0000-0000-0000B8200000}"/>
    <cellStyle name="Standard 6 3 3 7 4 2 2" xfId="8370" xr:uid="{00000000-0005-0000-0000-0000B9200000}"/>
    <cellStyle name="Standard 6 3 3 7 4 2 2 2" xfId="20331" xr:uid="{6E985469-C801-43A5-B56C-3DC10E32F419}"/>
    <cellStyle name="Standard 6 3 3 7 4 2 3" xfId="20330" xr:uid="{FAFCE8EF-A342-43FF-B753-FCE4289AEB33}"/>
    <cellStyle name="Standard 6 3 3 7 4 3" xfId="8371" xr:uid="{00000000-0005-0000-0000-0000BA200000}"/>
    <cellStyle name="Standard 6 3 3 7 4 3 2" xfId="20332" xr:uid="{AAEED01B-EA6E-4AC3-B004-EA5DDBA2C355}"/>
    <cellStyle name="Standard 6 3 3 7 4 4" xfId="20329" xr:uid="{E161FC92-619A-45E5-B578-AEAC4607A3EC}"/>
    <cellStyle name="Standard 6 3 3 7 5" xfId="8372" xr:uid="{00000000-0005-0000-0000-0000BB200000}"/>
    <cellStyle name="Standard 6 3 3 7 5 2" xfId="8373" xr:uid="{00000000-0005-0000-0000-0000BC200000}"/>
    <cellStyle name="Standard 6 3 3 7 5 2 2" xfId="8374" xr:uid="{00000000-0005-0000-0000-0000BD200000}"/>
    <cellStyle name="Standard 6 3 3 7 5 2 2 2" xfId="20335" xr:uid="{BEC12941-2003-4A6F-8832-F04D699BF99D}"/>
    <cellStyle name="Standard 6 3 3 7 5 2 3" xfId="20334" xr:uid="{1A7FA9AE-A2B4-4C5B-B09B-999C2BC0AE70}"/>
    <cellStyle name="Standard 6 3 3 7 5 3" xfId="8375" xr:uid="{00000000-0005-0000-0000-0000BE200000}"/>
    <cellStyle name="Standard 6 3 3 7 5 3 2" xfId="20336" xr:uid="{88034B42-87AA-4BC0-AC89-8ABBD8083302}"/>
    <cellStyle name="Standard 6 3 3 7 5 4" xfId="20333" xr:uid="{A466D47A-15C0-4B51-9046-772154839740}"/>
    <cellStyle name="Standard 6 3 3 7 6" xfId="8376" xr:uid="{00000000-0005-0000-0000-0000BF200000}"/>
    <cellStyle name="Standard 6 3 3 7 6 2" xfId="8377" xr:uid="{00000000-0005-0000-0000-0000C0200000}"/>
    <cellStyle name="Standard 6 3 3 7 6 2 2" xfId="8378" xr:uid="{00000000-0005-0000-0000-0000C1200000}"/>
    <cellStyle name="Standard 6 3 3 7 6 2 2 2" xfId="20339" xr:uid="{5EC946F6-31E6-483C-A9DF-AF4DEB0C8B6C}"/>
    <cellStyle name="Standard 6 3 3 7 6 2 3" xfId="20338" xr:uid="{F4E15ED8-4C6E-4C79-8631-9123A31F89B0}"/>
    <cellStyle name="Standard 6 3 3 7 6 3" xfId="8379" xr:uid="{00000000-0005-0000-0000-0000C2200000}"/>
    <cellStyle name="Standard 6 3 3 7 6 3 2" xfId="20340" xr:uid="{FC9086EC-99EA-49EE-B5A7-6CCDE3E50E07}"/>
    <cellStyle name="Standard 6 3 3 7 6 4" xfId="20337" xr:uid="{EC620C09-E23E-4391-8201-C7FB2BD0A9F8}"/>
    <cellStyle name="Standard 6 3 3 7 7" xfId="8380" xr:uid="{00000000-0005-0000-0000-0000C3200000}"/>
    <cellStyle name="Standard 6 3 3 7 7 2" xfId="8381" xr:uid="{00000000-0005-0000-0000-0000C4200000}"/>
    <cellStyle name="Standard 6 3 3 7 7 2 2" xfId="8382" xr:uid="{00000000-0005-0000-0000-0000C5200000}"/>
    <cellStyle name="Standard 6 3 3 7 7 2 2 2" xfId="20343" xr:uid="{BCEB0274-0935-4693-93B8-C54A0487F95B}"/>
    <cellStyle name="Standard 6 3 3 7 7 2 3" xfId="20342" xr:uid="{98F8E166-537D-4AEA-AD83-B6994C2A28AC}"/>
    <cellStyle name="Standard 6 3 3 7 7 3" xfId="8383" xr:uid="{00000000-0005-0000-0000-0000C6200000}"/>
    <cellStyle name="Standard 6 3 3 7 7 3 2" xfId="20344" xr:uid="{EC36F6F4-1D73-465F-854B-A85BE302000E}"/>
    <cellStyle name="Standard 6 3 3 7 7 4" xfId="20341" xr:uid="{D01D87BA-AE74-483C-AC5B-D496261B0E65}"/>
    <cellStyle name="Standard 6 3 3 7 8" xfId="8384" xr:uid="{00000000-0005-0000-0000-0000C7200000}"/>
    <cellStyle name="Standard 6 3 3 7 8 2" xfId="8385" xr:uid="{00000000-0005-0000-0000-0000C8200000}"/>
    <cellStyle name="Standard 6 3 3 7 8 2 2" xfId="8386" xr:uid="{00000000-0005-0000-0000-0000C9200000}"/>
    <cellStyle name="Standard 6 3 3 7 8 2 2 2" xfId="20347" xr:uid="{7C754A19-794D-4751-ACD5-C1B028FD5B50}"/>
    <cellStyle name="Standard 6 3 3 7 8 2 3" xfId="20346" xr:uid="{5A4906CF-FB80-4D7A-BB71-DDC7E0C1EB93}"/>
    <cellStyle name="Standard 6 3 3 7 8 3" xfId="8387" xr:uid="{00000000-0005-0000-0000-0000CA200000}"/>
    <cellStyle name="Standard 6 3 3 7 8 3 2" xfId="20348" xr:uid="{D79B6869-02EB-487B-84FF-51559F80F828}"/>
    <cellStyle name="Standard 6 3 3 7 8 4" xfId="20345" xr:uid="{1B6A5330-67C4-42FF-B424-F5A410804243}"/>
    <cellStyle name="Standard 6 3 3 7 9" xfId="8388" xr:uid="{00000000-0005-0000-0000-0000CB200000}"/>
    <cellStyle name="Standard 6 3 3 7 9 2" xfId="8389" xr:uid="{00000000-0005-0000-0000-0000CC200000}"/>
    <cellStyle name="Standard 6 3 3 7 9 2 2" xfId="20350" xr:uid="{8B99B506-028B-4597-8CC1-404A158EDF97}"/>
    <cellStyle name="Standard 6 3 3 7 9 3" xfId="20349" xr:uid="{C4EB187D-E3A2-4125-A10C-FDDA3B609382}"/>
    <cellStyle name="Standard 6 3 3 8" xfId="8390" xr:uid="{00000000-0005-0000-0000-0000CD200000}"/>
    <cellStyle name="Standard 6 3 3 8 10" xfId="20351" xr:uid="{F7FC5020-D71E-4B4A-A2DC-E3037DBC1724}"/>
    <cellStyle name="Standard 6 3 3 8 2" xfId="8391" xr:uid="{00000000-0005-0000-0000-0000CE200000}"/>
    <cellStyle name="Standard 6 3 3 8 2 2" xfId="8392" xr:uid="{00000000-0005-0000-0000-0000CF200000}"/>
    <cellStyle name="Standard 6 3 3 8 2 2 2" xfId="8393" xr:uid="{00000000-0005-0000-0000-0000D0200000}"/>
    <cellStyle name="Standard 6 3 3 8 2 2 2 2" xfId="20354" xr:uid="{17486BCA-38E7-413F-900B-F8BD799F704B}"/>
    <cellStyle name="Standard 6 3 3 8 2 2 3" xfId="20353" xr:uid="{09431DC3-5090-4460-9227-EEA707EB94EC}"/>
    <cellStyle name="Standard 6 3 3 8 2 3" xfId="8394" xr:uid="{00000000-0005-0000-0000-0000D1200000}"/>
    <cellStyle name="Standard 6 3 3 8 2 3 2" xfId="20355" xr:uid="{2FE1BBB9-0FDF-4924-960B-58A65A6EED1C}"/>
    <cellStyle name="Standard 6 3 3 8 2 4" xfId="20352" xr:uid="{C4CA64FE-0BD0-4271-A488-5114A172E65B}"/>
    <cellStyle name="Standard 6 3 3 8 3" xfId="8395" xr:uid="{00000000-0005-0000-0000-0000D2200000}"/>
    <cellStyle name="Standard 6 3 3 8 3 2" xfId="8396" xr:uid="{00000000-0005-0000-0000-0000D3200000}"/>
    <cellStyle name="Standard 6 3 3 8 3 2 2" xfId="8397" xr:uid="{00000000-0005-0000-0000-0000D4200000}"/>
    <cellStyle name="Standard 6 3 3 8 3 2 2 2" xfId="20358" xr:uid="{8946716D-C73A-4325-BB77-1604B8C5954C}"/>
    <cellStyle name="Standard 6 3 3 8 3 2 3" xfId="20357" xr:uid="{861B8D08-E281-47C3-BB6A-E71C02CFD394}"/>
    <cellStyle name="Standard 6 3 3 8 3 3" xfId="8398" xr:uid="{00000000-0005-0000-0000-0000D5200000}"/>
    <cellStyle name="Standard 6 3 3 8 3 3 2" xfId="20359" xr:uid="{E1212F63-8A3B-4A96-BCAE-F55BD77FB842}"/>
    <cellStyle name="Standard 6 3 3 8 3 4" xfId="20356" xr:uid="{45D78904-ADB1-46E0-BCDA-01BC5404CCAF}"/>
    <cellStyle name="Standard 6 3 3 8 4" xfId="8399" xr:uid="{00000000-0005-0000-0000-0000D6200000}"/>
    <cellStyle name="Standard 6 3 3 8 4 2" xfId="8400" xr:uid="{00000000-0005-0000-0000-0000D7200000}"/>
    <cellStyle name="Standard 6 3 3 8 4 2 2" xfId="8401" xr:uid="{00000000-0005-0000-0000-0000D8200000}"/>
    <cellStyle name="Standard 6 3 3 8 4 2 2 2" xfId="20362" xr:uid="{15B23DC8-6432-4A32-AEDF-1CF848D97723}"/>
    <cellStyle name="Standard 6 3 3 8 4 2 3" xfId="20361" xr:uid="{293DA080-9CE4-423B-B44F-82845B75992F}"/>
    <cellStyle name="Standard 6 3 3 8 4 3" xfId="8402" xr:uid="{00000000-0005-0000-0000-0000D9200000}"/>
    <cellStyle name="Standard 6 3 3 8 4 3 2" xfId="20363" xr:uid="{FACD3E84-8FE6-4B76-9CDD-14B5614C9E58}"/>
    <cellStyle name="Standard 6 3 3 8 4 4" xfId="20360" xr:uid="{6E948DDF-20A5-4FDA-B397-B909EEC5AF50}"/>
    <cellStyle name="Standard 6 3 3 8 5" xfId="8403" xr:uid="{00000000-0005-0000-0000-0000DA200000}"/>
    <cellStyle name="Standard 6 3 3 8 5 2" xfId="8404" xr:uid="{00000000-0005-0000-0000-0000DB200000}"/>
    <cellStyle name="Standard 6 3 3 8 5 2 2" xfId="8405" xr:uid="{00000000-0005-0000-0000-0000DC200000}"/>
    <cellStyle name="Standard 6 3 3 8 5 2 2 2" xfId="20366" xr:uid="{1B4052F8-D3D2-444B-86E5-585FB3FB95CF}"/>
    <cellStyle name="Standard 6 3 3 8 5 2 3" xfId="20365" xr:uid="{48877A34-19B0-4E12-9DD2-F44A8A15AF57}"/>
    <cellStyle name="Standard 6 3 3 8 5 3" xfId="8406" xr:uid="{00000000-0005-0000-0000-0000DD200000}"/>
    <cellStyle name="Standard 6 3 3 8 5 3 2" xfId="20367" xr:uid="{F3B8BA96-947A-4C3E-83A8-68DCAE2B9775}"/>
    <cellStyle name="Standard 6 3 3 8 5 4" xfId="20364" xr:uid="{8B2C9F74-080E-494B-89EA-A3FC408F9656}"/>
    <cellStyle name="Standard 6 3 3 8 6" xfId="8407" xr:uid="{00000000-0005-0000-0000-0000DE200000}"/>
    <cellStyle name="Standard 6 3 3 8 6 2" xfId="8408" xr:uid="{00000000-0005-0000-0000-0000DF200000}"/>
    <cellStyle name="Standard 6 3 3 8 6 2 2" xfId="8409" xr:uid="{00000000-0005-0000-0000-0000E0200000}"/>
    <cellStyle name="Standard 6 3 3 8 6 2 2 2" xfId="20370" xr:uid="{20B9008D-7D1E-49E6-B28F-61B33F348A5C}"/>
    <cellStyle name="Standard 6 3 3 8 6 2 3" xfId="20369" xr:uid="{F6BABA46-EBF7-4A02-992E-0CEC69E61D74}"/>
    <cellStyle name="Standard 6 3 3 8 6 3" xfId="8410" xr:uid="{00000000-0005-0000-0000-0000E1200000}"/>
    <cellStyle name="Standard 6 3 3 8 6 3 2" xfId="20371" xr:uid="{3FE46525-CE4B-4CE3-934B-5235CC3E7031}"/>
    <cellStyle name="Standard 6 3 3 8 6 4" xfId="20368" xr:uid="{3D545D17-9851-4852-90C5-70485F20FBE0}"/>
    <cellStyle name="Standard 6 3 3 8 7" xfId="8411" xr:uid="{00000000-0005-0000-0000-0000E2200000}"/>
    <cellStyle name="Standard 6 3 3 8 7 2" xfId="8412" xr:uid="{00000000-0005-0000-0000-0000E3200000}"/>
    <cellStyle name="Standard 6 3 3 8 7 2 2" xfId="8413" xr:uid="{00000000-0005-0000-0000-0000E4200000}"/>
    <cellStyle name="Standard 6 3 3 8 7 2 2 2" xfId="20374" xr:uid="{E6BDABE2-3F03-4ABB-AD4F-03E50A1FDF76}"/>
    <cellStyle name="Standard 6 3 3 8 7 2 3" xfId="20373" xr:uid="{0A09EDF5-E8B3-4F8E-962A-963E2C9A196A}"/>
    <cellStyle name="Standard 6 3 3 8 7 3" xfId="8414" xr:uid="{00000000-0005-0000-0000-0000E5200000}"/>
    <cellStyle name="Standard 6 3 3 8 7 3 2" xfId="20375" xr:uid="{FCE181E8-312D-4583-BEED-EB04EB07AB73}"/>
    <cellStyle name="Standard 6 3 3 8 7 4" xfId="20372" xr:uid="{4B566971-C332-4A02-9E38-C5CF81C04C33}"/>
    <cellStyle name="Standard 6 3 3 8 8" xfId="8415" xr:uid="{00000000-0005-0000-0000-0000E6200000}"/>
    <cellStyle name="Standard 6 3 3 8 8 2" xfId="8416" xr:uid="{00000000-0005-0000-0000-0000E7200000}"/>
    <cellStyle name="Standard 6 3 3 8 8 2 2" xfId="20377" xr:uid="{3AC84BDF-A973-43DF-8C9A-38B327DF5075}"/>
    <cellStyle name="Standard 6 3 3 8 8 3" xfId="20376" xr:uid="{A67097B9-2C5D-47C8-83F1-FD98017E4A09}"/>
    <cellStyle name="Standard 6 3 3 8 9" xfId="8417" xr:uid="{00000000-0005-0000-0000-0000E8200000}"/>
    <cellStyle name="Standard 6 3 3 8 9 2" xfId="20378" xr:uid="{06DF16BF-7FD9-4FB3-B830-9D1B560D7928}"/>
    <cellStyle name="Standard 6 3 3 9" xfId="8418" xr:uid="{00000000-0005-0000-0000-0000E9200000}"/>
    <cellStyle name="Standard 6 3 3 9 2" xfId="8419" xr:uid="{00000000-0005-0000-0000-0000EA200000}"/>
    <cellStyle name="Standard 6 3 3 9 2 2" xfId="8420" xr:uid="{00000000-0005-0000-0000-0000EB200000}"/>
    <cellStyle name="Standard 6 3 3 9 2 2 2" xfId="8421" xr:uid="{00000000-0005-0000-0000-0000EC200000}"/>
    <cellStyle name="Standard 6 3 3 9 2 2 2 2" xfId="20382" xr:uid="{E2BDA980-AB39-45B2-8BDA-E26276086B39}"/>
    <cellStyle name="Standard 6 3 3 9 2 2 3" xfId="20381" xr:uid="{58EA63CF-1D97-4861-BBBF-E6E2079E25F3}"/>
    <cellStyle name="Standard 6 3 3 9 2 3" xfId="8422" xr:uid="{00000000-0005-0000-0000-0000ED200000}"/>
    <cellStyle name="Standard 6 3 3 9 2 3 2" xfId="20383" xr:uid="{5545DE8B-7ADB-45AB-A0DC-2FBE672242B1}"/>
    <cellStyle name="Standard 6 3 3 9 2 4" xfId="20380" xr:uid="{F9638C04-6175-4F93-85AD-B78A81E7929F}"/>
    <cellStyle name="Standard 6 3 3 9 3" xfId="8423" xr:uid="{00000000-0005-0000-0000-0000EE200000}"/>
    <cellStyle name="Standard 6 3 3 9 3 2" xfId="8424" xr:uid="{00000000-0005-0000-0000-0000EF200000}"/>
    <cellStyle name="Standard 6 3 3 9 3 2 2" xfId="8425" xr:uid="{00000000-0005-0000-0000-0000F0200000}"/>
    <cellStyle name="Standard 6 3 3 9 3 2 2 2" xfId="20386" xr:uid="{C6D7E042-DD58-458F-8886-498800999BB6}"/>
    <cellStyle name="Standard 6 3 3 9 3 2 3" xfId="20385" xr:uid="{0D4A06E3-4456-42DF-A6F8-07B264918E31}"/>
    <cellStyle name="Standard 6 3 3 9 3 3" xfId="8426" xr:uid="{00000000-0005-0000-0000-0000F1200000}"/>
    <cellStyle name="Standard 6 3 3 9 3 3 2" xfId="20387" xr:uid="{BBDF3EC8-6F68-47AA-8815-691247A01517}"/>
    <cellStyle name="Standard 6 3 3 9 3 4" xfId="20384" xr:uid="{A6305CE2-EB23-4146-8E08-0A8F6D94C223}"/>
    <cellStyle name="Standard 6 3 3 9 4" xfId="8427" xr:uid="{00000000-0005-0000-0000-0000F2200000}"/>
    <cellStyle name="Standard 6 3 3 9 4 2" xfId="8428" xr:uid="{00000000-0005-0000-0000-0000F3200000}"/>
    <cellStyle name="Standard 6 3 3 9 4 2 2" xfId="8429" xr:uid="{00000000-0005-0000-0000-0000F4200000}"/>
    <cellStyle name="Standard 6 3 3 9 4 2 2 2" xfId="20390" xr:uid="{86F97706-0C5A-4151-A45B-70902C122ADE}"/>
    <cellStyle name="Standard 6 3 3 9 4 2 3" xfId="20389" xr:uid="{AC501CA8-2B01-489B-BFE1-C9CEA41000DE}"/>
    <cellStyle name="Standard 6 3 3 9 4 3" xfId="8430" xr:uid="{00000000-0005-0000-0000-0000F5200000}"/>
    <cellStyle name="Standard 6 3 3 9 4 3 2" xfId="20391" xr:uid="{E8D4213B-C5F9-46A7-B2C0-1345E2251B53}"/>
    <cellStyle name="Standard 6 3 3 9 4 4" xfId="20388" xr:uid="{AE22D63D-80A9-42A4-8BC5-FFC66E818B26}"/>
    <cellStyle name="Standard 6 3 3 9 5" xfId="8431" xr:uid="{00000000-0005-0000-0000-0000F6200000}"/>
    <cellStyle name="Standard 6 3 3 9 5 2" xfId="8432" xr:uid="{00000000-0005-0000-0000-0000F7200000}"/>
    <cellStyle name="Standard 6 3 3 9 5 2 2" xfId="8433" xr:uid="{00000000-0005-0000-0000-0000F8200000}"/>
    <cellStyle name="Standard 6 3 3 9 5 2 2 2" xfId="20394" xr:uid="{2DAC4F4C-BA60-4FE0-9F0D-07BE7D5970F6}"/>
    <cellStyle name="Standard 6 3 3 9 5 2 3" xfId="20393" xr:uid="{75176850-2A6F-4148-830D-00E6FAC68786}"/>
    <cellStyle name="Standard 6 3 3 9 5 3" xfId="8434" xr:uid="{00000000-0005-0000-0000-0000F9200000}"/>
    <cellStyle name="Standard 6 3 3 9 5 3 2" xfId="20395" xr:uid="{29AAE462-AF1C-4AE0-909E-11C0D0D5CFED}"/>
    <cellStyle name="Standard 6 3 3 9 5 4" xfId="20392" xr:uid="{0783AD82-9DB4-4B7D-994B-AC13315CCB6D}"/>
    <cellStyle name="Standard 6 3 3 9 6" xfId="8435" xr:uid="{00000000-0005-0000-0000-0000FA200000}"/>
    <cellStyle name="Standard 6 3 3 9 6 2" xfId="8436" xr:uid="{00000000-0005-0000-0000-0000FB200000}"/>
    <cellStyle name="Standard 6 3 3 9 6 2 2" xfId="8437" xr:uid="{00000000-0005-0000-0000-0000FC200000}"/>
    <cellStyle name="Standard 6 3 3 9 6 2 2 2" xfId="20398" xr:uid="{568CD0B8-46D8-4C28-AAD7-D4F32341A4E1}"/>
    <cellStyle name="Standard 6 3 3 9 6 2 3" xfId="20397" xr:uid="{C16D7779-66C2-408D-AF4B-2D6A4C88E8AD}"/>
    <cellStyle name="Standard 6 3 3 9 6 3" xfId="8438" xr:uid="{00000000-0005-0000-0000-0000FD200000}"/>
    <cellStyle name="Standard 6 3 3 9 6 3 2" xfId="20399" xr:uid="{2581CB03-65D1-4AA4-A477-4B765F579DA6}"/>
    <cellStyle name="Standard 6 3 3 9 6 4" xfId="20396" xr:uid="{FE9479EC-C843-40A1-B63B-C83569CC3B4C}"/>
    <cellStyle name="Standard 6 3 3 9 7" xfId="8439" xr:uid="{00000000-0005-0000-0000-0000FE200000}"/>
    <cellStyle name="Standard 6 3 3 9 7 2" xfId="8440" xr:uid="{00000000-0005-0000-0000-0000FF200000}"/>
    <cellStyle name="Standard 6 3 3 9 7 2 2" xfId="20401" xr:uid="{8E02961A-649F-4ED8-9707-A2074B82B56D}"/>
    <cellStyle name="Standard 6 3 3 9 7 3" xfId="20400" xr:uid="{F8B0DD6C-D715-4D6B-B1A3-7180EB50D65B}"/>
    <cellStyle name="Standard 6 3 3 9 8" xfId="8441" xr:uid="{00000000-0005-0000-0000-000000210000}"/>
    <cellStyle name="Standard 6 3 3 9 8 2" xfId="20402" xr:uid="{49279A22-FD0C-4793-BACB-859A47B95A4F}"/>
    <cellStyle name="Standard 6 3 3 9 9" xfId="20379" xr:uid="{CB8341D3-0C31-4220-87A0-418FCC509922}"/>
    <cellStyle name="Standard 6 3 4" xfId="8442" xr:uid="{00000000-0005-0000-0000-000001210000}"/>
    <cellStyle name="Standard 6 3 4 10" xfId="8443" xr:uid="{00000000-0005-0000-0000-000002210000}"/>
    <cellStyle name="Standard 6 3 4 10 2" xfId="8444" xr:uid="{00000000-0005-0000-0000-000003210000}"/>
    <cellStyle name="Standard 6 3 4 10 2 2" xfId="8445" xr:uid="{00000000-0005-0000-0000-000004210000}"/>
    <cellStyle name="Standard 6 3 4 10 2 2 2" xfId="20406" xr:uid="{CC29121D-6CB9-4CDA-B706-CBA306900BA7}"/>
    <cellStyle name="Standard 6 3 4 10 2 3" xfId="20405" xr:uid="{D5B91DF3-FE94-4C50-B609-2FF5C039BDC4}"/>
    <cellStyle name="Standard 6 3 4 10 3" xfId="8446" xr:uid="{00000000-0005-0000-0000-000005210000}"/>
    <cellStyle name="Standard 6 3 4 10 3 2" xfId="20407" xr:uid="{D34E0EFB-2DFD-4F2A-8FAC-5E6F88EDD772}"/>
    <cellStyle name="Standard 6 3 4 10 4" xfId="20404" xr:uid="{6E447D03-C079-4C9F-8C2A-EEA6A1EA49AD}"/>
    <cellStyle name="Standard 6 3 4 11" xfId="8447" xr:uid="{00000000-0005-0000-0000-000006210000}"/>
    <cellStyle name="Standard 6 3 4 11 2" xfId="8448" xr:uid="{00000000-0005-0000-0000-000007210000}"/>
    <cellStyle name="Standard 6 3 4 11 2 2" xfId="8449" xr:uid="{00000000-0005-0000-0000-000008210000}"/>
    <cellStyle name="Standard 6 3 4 11 2 2 2" xfId="20410" xr:uid="{6FEE473E-AE88-4A6B-851C-BC31CBC580F4}"/>
    <cellStyle name="Standard 6 3 4 11 2 3" xfId="20409" xr:uid="{9BD58B34-B97C-4763-831E-6ABAC4CDC042}"/>
    <cellStyle name="Standard 6 3 4 11 3" xfId="8450" xr:uid="{00000000-0005-0000-0000-000009210000}"/>
    <cellStyle name="Standard 6 3 4 11 3 2" xfId="20411" xr:uid="{A449EE28-62B0-4C29-9CD8-EA20E8DBB229}"/>
    <cellStyle name="Standard 6 3 4 11 4" xfId="20408" xr:uid="{2BF666B9-F863-4FDE-996B-8DED6D822CFF}"/>
    <cellStyle name="Standard 6 3 4 12" xfId="8451" xr:uid="{00000000-0005-0000-0000-00000A210000}"/>
    <cellStyle name="Standard 6 3 4 12 2" xfId="8452" xr:uid="{00000000-0005-0000-0000-00000B210000}"/>
    <cellStyle name="Standard 6 3 4 12 2 2" xfId="8453" xr:uid="{00000000-0005-0000-0000-00000C210000}"/>
    <cellStyle name="Standard 6 3 4 12 2 2 2" xfId="20414" xr:uid="{44DAF777-619C-4F7C-A644-AC4BBBFC38CF}"/>
    <cellStyle name="Standard 6 3 4 12 2 3" xfId="20413" xr:uid="{05F291B2-0D4C-4241-BD62-0DC2365ACABF}"/>
    <cellStyle name="Standard 6 3 4 12 3" xfId="8454" xr:uid="{00000000-0005-0000-0000-00000D210000}"/>
    <cellStyle name="Standard 6 3 4 12 3 2" xfId="20415" xr:uid="{1F5A6C22-0AC9-4D31-920F-FBD442B972B7}"/>
    <cellStyle name="Standard 6 3 4 12 4" xfId="20412" xr:uid="{D816E4E3-1968-4C82-9392-CEEF8F8773CC}"/>
    <cellStyle name="Standard 6 3 4 13" xfId="8455" xr:uid="{00000000-0005-0000-0000-00000E210000}"/>
    <cellStyle name="Standard 6 3 4 13 2" xfId="8456" xr:uid="{00000000-0005-0000-0000-00000F210000}"/>
    <cellStyle name="Standard 6 3 4 13 2 2" xfId="8457" xr:uid="{00000000-0005-0000-0000-000010210000}"/>
    <cellStyle name="Standard 6 3 4 13 2 2 2" xfId="20418" xr:uid="{28A10B77-6FC4-41AE-9C88-144CC577F466}"/>
    <cellStyle name="Standard 6 3 4 13 2 3" xfId="20417" xr:uid="{FC7A49DA-AD3D-4D9D-9D0A-7FE0ACC957BF}"/>
    <cellStyle name="Standard 6 3 4 13 3" xfId="8458" xr:uid="{00000000-0005-0000-0000-000011210000}"/>
    <cellStyle name="Standard 6 3 4 13 3 2" xfId="20419" xr:uid="{2923575B-7345-48AC-A21E-E6F082FB2531}"/>
    <cellStyle name="Standard 6 3 4 13 4" xfId="20416" xr:uid="{FEB9DC30-14D1-4708-BA07-278FBCA54E0F}"/>
    <cellStyle name="Standard 6 3 4 14" xfId="8459" xr:uid="{00000000-0005-0000-0000-000012210000}"/>
    <cellStyle name="Standard 6 3 4 14 2" xfId="8460" xr:uid="{00000000-0005-0000-0000-000013210000}"/>
    <cellStyle name="Standard 6 3 4 14 2 2" xfId="8461" xr:uid="{00000000-0005-0000-0000-000014210000}"/>
    <cellStyle name="Standard 6 3 4 14 2 2 2" xfId="20422" xr:uid="{6525CED7-9DC3-4892-949B-7C9A0EF7116B}"/>
    <cellStyle name="Standard 6 3 4 14 2 3" xfId="20421" xr:uid="{701E1477-3619-4291-9E29-1D6618E47CE4}"/>
    <cellStyle name="Standard 6 3 4 14 3" xfId="8462" xr:uid="{00000000-0005-0000-0000-000015210000}"/>
    <cellStyle name="Standard 6 3 4 14 3 2" xfId="20423" xr:uid="{10C365D1-21AE-468C-9E51-5CFA757F9F1C}"/>
    <cellStyle name="Standard 6 3 4 14 4" xfId="20420" xr:uid="{202AB716-CA05-4CCA-B28F-EFF0383C3526}"/>
    <cellStyle name="Standard 6 3 4 15" xfId="8463" xr:uid="{00000000-0005-0000-0000-000016210000}"/>
    <cellStyle name="Standard 6 3 4 15 2" xfId="8464" xr:uid="{00000000-0005-0000-0000-000017210000}"/>
    <cellStyle name="Standard 6 3 4 15 2 2" xfId="8465" xr:uid="{00000000-0005-0000-0000-000018210000}"/>
    <cellStyle name="Standard 6 3 4 15 2 2 2" xfId="20426" xr:uid="{2EC19CAE-AE0A-4548-88DF-03B51D29969A}"/>
    <cellStyle name="Standard 6 3 4 15 2 3" xfId="20425" xr:uid="{B321437A-5128-40BB-9BE5-E60199249B59}"/>
    <cellStyle name="Standard 6 3 4 15 3" xfId="8466" xr:uid="{00000000-0005-0000-0000-000019210000}"/>
    <cellStyle name="Standard 6 3 4 15 3 2" xfId="20427" xr:uid="{4417461B-A506-43F2-92A8-53C981622B77}"/>
    <cellStyle name="Standard 6 3 4 15 4" xfId="20424" xr:uid="{1AF7CA25-678A-4601-A2B4-E4E43A90A373}"/>
    <cellStyle name="Standard 6 3 4 16" xfId="8467" xr:uid="{00000000-0005-0000-0000-00001A210000}"/>
    <cellStyle name="Standard 6 3 4 16 2" xfId="8468" xr:uid="{00000000-0005-0000-0000-00001B210000}"/>
    <cellStyle name="Standard 6 3 4 16 2 2" xfId="8469" xr:uid="{00000000-0005-0000-0000-00001C210000}"/>
    <cellStyle name="Standard 6 3 4 16 2 2 2" xfId="20430" xr:uid="{52C0C5C0-8530-47B6-A239-11559853A583}"/>
    <cellStyle name="Standard 6 3 4 16 2 3" xfId="20429" xr:uid="{A76DF7CD-E674-4C78-8E2A-A807D6DAB592}"/>
    <cellStyle name="Standard 6 3 4 16 3" xfId="8470" xr:uid="{00000000-0005-0000-0000-00001D210000}"/>
    <cellStyle name="Standard 6 3 4 16 3 2" xfId="20431" xr:uid="{10304AF2-FC44-4E56-923E-779698EEAC82}"/>
    <cellStyle name="Standard 6 3 4 16 4" xfId="20428" xr:uid="{9921CF72-8736-434F-AE3B-2C9C4C549229}"/>
    <cellStyle name="Standard 6 3 4 17" xfId="8471" xr:uid="{00000000-0005-0000-0000-00001E210000}"/>
    <cellStyle name="Standard 6 3 4 17 2" xfId="8472" xr:uid="{00000000-0005-0000-0000-00001F210000}"/>
    <cellStyle name="Standard 6 3 4 17 2 2" xfId="8473" xr:uid="{00000000-0005-0000-0000-000020210000}"/>
    <cellStyle name="Standard 6 3 4 17 2 2 2" xfId="20434" xr:uid="{1EE56F9D-609E-4AF2-BABC-13D66DF8CF42}"/>
    <cellStyle name="Standard 6 3 4 17 2 3" xfId="20433" xr:uid="{8F668E99-3774-4B37-91BA-73E131CA94BF}"/>
    <cellStyle name="Standard 6 3 4 17 3" xfId="8474" xr:uid="{00000000-0005-0000-0000-000021210000}"/>
    <cellStyle name="Standard 6 3 4 17 3 2" xfId="20435" xr:uid="{8EBD5846-390D-445B-9EC0-294E8BD42CC8}"/>
    <cellStyle name="Standard 6 3 4 17 4" xfId="20432" xr:uid="{3F5AEA8F-501F-44F4-9497-0DAB5937E90F}"/>
    <cellStyle name="Standard 6 3 4 18" xfId="8475" xr:uid="{00000000-0005-0000-0000-000022210000}"/>
    <cellStyle name="Standard 6 3 4 18 2" xfId="8476" xr:uid="{00000000-0005-0000-0000-000023210000}"/>
    <cellStyle name="Standard 6 3 4 18 2 2" xfId="8477" xr:uid="{00000000-0005-0000-0000-000024210000}"/>
    <cellStyle name="Standard 6 3 4 18 2 2 2" xfId="20438" xr:uid="{3636BAF3-05D4-45AF-9BA1-3654598010DC}"/>
    <cellStyle name="Standard 6 3 4 18 2 3" xfId="20437" xr:uid="{A476843E-E712-43E4-BC1A-5037BB52289F}"/>
    <cellStyle name="Standard 6 3 4 18 3" xfId="8478" xr:uid="{00000000-0005-0000-0000-000025210000}"/>
    <cellStyle name="Standard 6 3 4 18 3 2" xfId="20439" xr:uid="{649855C8-1BD6-460B-9FC9-8D4137B1302B}"/>
    <cellStyle name="Standard 6 3 4 18 4" xfId="20436" xr:uid="{CCB68710-FC24-4CA5-A11E-DF2F452348F1}"/>
    <cellStyle name="Standard 6 3 4 19" xfId="8479" xr:uid="{00000000-0005-0000-0000-000026210000}"/>
    <cellStyle name="Standard 6 3 4 19 2" xfId="8480" xr:uid="{00000000-0005-0000-0000-000027210000}"/>
    <cellStyle name="Standard 6 3 4 19 2 2" xfId="8481" xr:uid="{00000000-0005-0000-0000-000028210000}"/>
    <cellStyle name="Standard 6 3 4 19 2 2 2" xfId="20442" xr:uid="{F4AC8278-C342-459E-AB1A-D6CBCA939380}"/>
    <cellStyle name="Standard 6 3 4 19 2 3" xfId="20441" xr:uid="{C317039E-2D3A-4FE0-A60B-EADA170A6A92}"/>
    <cellStyle name="Standard 6 3 4 19 3" xfId="8482" xr:uid="{00000000-0005-0000-0000-000029210000}"/>
    <cellStyle name="Standard 6 3 4 19 3 2" xfId="20443" xr:uid="{BEB45FE9-5274-4607-931C-ABAB007D5D81}"/>
    <cellStyle name="Standard 6 3 4 19 4" xfId="20440" xr:uid="{398C30E6-F7B9-4CC7-9431-3A5EDFFB6B0B}"/>
    <cellStyle name="Standard 6 3 4 2" xfId="8483" xr:uid="{00000000-0005-0000-0000-00002A210000}"/>
    <cellStyle name="Standard 6 3 4 2 10" xfId="8484" xr:uid="{00000000-0005-0000-0000-00002B210000}"/>
    <cellStyle name="Standard 6 3 4 2 10 2" xfId="8485" xr:uid="{00000000-0005-0000-0000-00002C210000}"/>
    <cellStyle name="Standard 6 3 4 2 10 2 2" xfId="20446" xr:uid="{37385F27-AEE5-4EA3-82AB-1A7E4C07CC9E}"/>
    <cellStyle name="Standard 6 3 4 2 10 3" xfId="20445" xr:uid="{EC0EB5F8-453E-4FE1-A74C-47CB949369D5}"/>
    <cellStyle name="Standard 6 3 4 2 11" xfId="8486" xr:uid="{00000000-0005-0000-0000-00002D210000}"/>
    <cellStyle name="Standard 6 3 4 2 11 2" xfId="20447" xr:uid="{FB322C0D-908D-48B5-B12F-27A08C9D1877}"/>
    <cellStyle name="Standard 6 3 4 2 12" xfId="20444" xr:uid="{BF6A5526-93BA-447F-ABD4-881588422F63}"/>
    <cellStyle name="Standard 6 3 4 2 2" xfId="8487" xr:uid="{00000000-0005-0000-0000-00002E210000}"/>
    <cellStyle name="Standard 6 3 4 2 2 10" xfId="8488" xr:uid="{00000000-0005-0000-0000-00002F210000}"/>
    <cellStyle name="Standard 6 3 4 2 2 10 2" xfId="20449" xr:uid="{48639EFC-DA9B-4B6B-B92A-9663AA610E58}"/>
    <cellStyle name="Standard 6 3 4 2 2 11" xfId="20448" xr:uid="{E6691DDD-9E2F-46C8-B1E1-9CE2A1062397}"/>
    <cellStyle name="Standard 6 3 4 2 2 2" xfId="8489" xr:uid="{00000000-0005-0000-0000-000030210000}"/>
    <cellStyle name="Standard 6 3 4 2 2 2 10" xfId="20450" xr:uid="{96AE86B8-306C-4DEE-9833-6BCC90D572F7}"/>
    <cellStyle name="Standard 6 3 4 2 2 2 2" xfId="8490" xr:uid="{00000000-0005-0000-0000-000031210000}"/>
    <cellStyle name="Standard 6 3 4 2 2 2 2 2" xfId="8491" xr:uid="{00000000-0005-0000-0000-000032210000}"/>
    <cellStyle name="Standard 6 3 4 2 2 2 2 2 2" xfId="8492" xr:uid="{00000000-0005-0000-0000-000033210000}"/>
    <cellStyle name="Standard 6 3 4 2 2 2 2 2 2 2" xfId="20453" xr:uid="{6AE74AE1-742C-40A8-A2BE-D153D963F6C8}"/>
    <cellStyle name="Standard 6 3 4 2 2 2 2 2 3" xfId="20452" xr:uid="{F92FCC00-043B-47F1-83D3-4A4442E8B86B}"/>
    <cellStyle name="Standard 6 3 4 2 2 2 2 3" xfId="8493" xr:uid="{00000000-0005-0000-0000-000034210000}"/>
    <cellStyle name="Standard 6 3 4 2 2 2 2 3 2" xfId="20454" xr:uid="{89028703-BA61-4419-B72B-1864B2769F10}"/>
    <cellStyle name="Standard 6 3 4 2 2 2 2 4" xfId="20451" xr:uid="{8C612FE8-97F8-4CE5-8A31-FC7FB6BFF599}"/>
    <cellStyle name="Standard 6 3 4 2 2 2 3" xfId="8494" xr:uid="{00000000-0005-0000-0000-000035210000}"/>
    <cellStyle name="Standard 6 3 4 2 2 2 3 2" xfId="8495" xr:uid="{00000000-0005-0000-0000-000036210000}"/>
    <cellStyle name="Standard 6 3 4 2 2 2 3 2 2" xfId="8496" xr:uid="{00000000-0005-0000-0000-000037210000}"/>
    <cellStyle name="Standard 6 3 4 2 2 2 3 2 2 2" xfId="20457" xr:uid="{E5B0DFDE-1AFB-4B4B-B059-70315160C6A5}"/>
    <cellStyle name="Standard 6 3 4 2 2 2 3 2 3" xfId="20456" xr:uid="{1958F0EB-28C6-4938-9126-B9E4E3C0CAE7}"/>
    <cellStyle name="Standard 6 3 4 2 2 2 3 3" xfId="8497" xr:uid="{00000000-0005-0000-0000-000038210000}"/>
    <cellStyle name="Standard 6 3 4 2 2 2 3 3 2" xfId="20458" xr:uid="{81071ABC-BD8F-4E63-AB9D-91A46BDB1546}"/>
    <cellStyle name="Standard 6 3 4 2 2 2 3 4" xfId="20455" xr:uid="{CE0CE3A1-0964-42CB-9B0C-AA4671CC99A7}"/>
    <cellStyle name="Standard 6 3 4 2 2 2 4" xfId="8498" xr:uid="{00000000-0005-0000-0000-000039210000}"/>
    <cellStyle name="Standard 6 3 4 2 2 2 4 2" xfId="8499" xr:uid="{00000000-0005-0000-0000-00003A210000}"/>
    <cellStyle name="Standard 6 3 4 2 2 2 4 2 2" xfId="8500" xr:uid="{00000000-0005-0000-0000-00003B210000}"/>
    <cellStyle name="Standard 6 3 4 2 2 2 4 2 2 2" xfId="20461" xr:uid="{7DEFBD93-E639-426D-80DE-D784B6169D35}"/>
    <cellStyle name="Standard 6 3 4 2 2 2 4 2 3" xfId="20460" xr:uid="{859EF3E1-4566-44F5-AA16-E0C5EFF41A3F}"/>
    <cellStyle name="Standard 6 3 4 2 2 2 4 3" xfId="8501" xr:uid="{00000000-0005-0000-0000-00003C210000}"/>
    <cellStyle name="Standard 6 3 4 2 2 2 4 3 2" xfId="20462" xr:uid="{AEE3E777-4F48-46B8-80F1-DDC4EFE19D75}"/>
    <cellStyle name="Standard 6 3 4 2 2 2 4 4" xfId="20459" xr:uid="{9CEA8777-CBBC-4AA7-ADD2-D5014A2565F2}"/>
    <cellStyle name="Standard 6 3 4 2 2 2 5" xfId="8502" xr:uid="{00000000-0005-0000-0000-00003D210000}"/>
    <cellStyle name="Standard 6 3 4 2 2 2 5 2" xfId="8503" xr:uid="{00000000-0005-0000-0000-00003E210000}"/>
    <cellStyle name="Standard 6 3 4 2 2 2 5 2 2" xfId="8504" xr:uid="{00000000-0005-0000-0000-00003F210000}"/>
    <cellStyle name="Standard 6 3 4 2 2 2 5 2 2 2" xfId="20465" xr:uid="{CE8CB192-F909-475A-8F1F-022B53CAA2F1}"/>
    <cellStyle name="Standard 6 3 4 2 2 2 5 2 3" xfId="20464" xr:uid="{B4796276-6E66-48B4-B614-E78EA7E5893C}"/>
    <cellStyle name="Standard 6 3 4 2 2 2 5 3" xfId="8505" xr:uid="{00000000-0005-0000-0000-000040210000}"/>
    <cellStyle name="Standard 6 3 4 2 2 2 5 3 2" xfId="20466" xr:uid="{B9901D13-F9BA-494C-B9CD-A6527E219ED5}"/>
    <cellStyle name="Standard 6 3 4 2 2 2 5 4" xfId="20463" xr:uid="{C4AE9289-45A6-4E1E-9674-1DA3B63410C4}"/>
    <cellStyle name="Standard 6 3 4 2 2 2 6" xfId="8506" xr:uid="{00000000-0005-0000-0000-000041210000}"/>
    <cellStyle name="Standard 6 3 4 2 2 2 6 2" xfId="8507" xr:uid="{00000000-0005-0000-0000-000042210000}"/>
    <cellStyle name="Standard 6 3 4 2 2 2 6 2 2" xfId="8508" xr:uid="{00000000-0005-0000-0000-000043210000}"/>
    <cellStyle name="Standard 6 3 4 2 2 2 6 2 2 2" xfId="20469" xr:uid="{1E8CD8BC-0F4E-489D-BA93-6263F42ED676}"/>
    <cellStyle name="Standard 6 3 4 2 2 2 6 2 3" xfId="20468" xr:uid="{5F90A787-D8EB-47A4-A9E1-94498C352A76}"/>
    <cellStyle name="Standard 6 3 4 2 2 2 6 3" xfId="8509" xr:uid="{00000000-0005-0000-0000-000044210000}"/>
    <cellStyle name="Standard 6 3 4 2 2 2 6 3 2" xfId="20470" xr:uid="{1733C872-3DC9-4E41-8568-9D1092DF66D8}"/>
    <cellStyle name="Standard 6 3 4 2 2 2 6 4" xfId="20467" xr:uid="{72F8E27C-DAE3-4C55-8A16-90363E72EF6E}"/>
    <cellStyle name="Standard 6 3 4 2 2 2 7" xfId="8510" xr:uid="{00000000-0005-0000-0000-000045210000}"/>
    <cellStyle name="Standard 6 3 4 2 2 2 7 2" xfId="8511" xr:uid="{00000000-0005-0000-0000-000046210000}"/>
    <cellStyle name="Standard 6 3 4 2 2 2 7 2 2" xfId="8512" xr:uid="{00000000-0005-0000-0000-000047210000}"/>
    <cellStyle name="Standard 6 3 4 2 2 2 7 2 2 2" xfId="20473" xr:uid="{5CFB4BA0-B1C2-4F99-B827-92C6C72D80DA}"/>
    <cellStyle name="Standard 6 3 4 2 2 2 7 2 3" xfId="20472" xr:uid="{14EAE685-26D6-4BA6-9A86-FDFF131582E6}"/>
    <cellStyle name="Standard 6 3 4 2 2 2 7 3" xfId="8513" xr:uid="{00000000-0005-0000-0000-000048210000}"/>
    <cellStyle name="Standard 6 3 4 2 2 2 7 3 2" xfId="20474" xr:uid="{F7C116BD-45C6-4CBC-8287-28ECE0071BE0}"/>
    <cellStyle name="Standard 6 3 4 2 2 2 7 4" xfId="20471" xr:uid="{79A5A2A7-1DA6-4285-B287-4ECB71B6F0DE}"/>
    <cellStyle name="Standard 6 3 4 2 2 2 8" xfId="8514" xr:uid="{00000000-0005-0000-0000-000049210000}"/>
    <cellStyle name="Standard 6 3 4 2 2 2 8 2" xfId="8515" xr:uid="{00000000-0005-0000-0000-00004A210000}"/>
    <cellStyle name="Standard 6 3 4 2 2 2 8 2 2" xfId="20476" xr:uid="{7393FE2C-5ADF-4D14-BC0C-3366F9357E93}"/>
    <cellStyle name="Standard 6 3 4 2 2 2 8 3" xfId="20475" xr:uid="{53AB1CD7-00BB-4AAC-9DB4-9CD57C9462DF}"/>
    <cellStyle name="Standard 6 3 4 2 2 2 9" xfId="8516" xr:uid="{00000000-0005-0000-0000-00004B210000}"/>
    <cellStyle name="Standard 6 3 4 2 2 2 9 2" xfId="20477" xr:uid="{E70ECB96-486E-48C6-9573-46275A33ECEC}"/>
    <cellStyle name="Standard 6 3 4 2 2 3" xfId="8517" xr:uid="{00000000-0005-0000-0000-00004C210000}"/>
    <cellStyle name="Standard 6 3 4 2 2 3 2" xfId="8518" xr:uid="{00000000-0005-0000-0000-00004D210000}"/>
    <cellStyle name="Standard 6 3 4 2 2 3 2 2" xfId="8519" xr:uid="{00000000-0005-0000-0000-00004E210000}"/>
    <cellStyle name="Standard 6 3 4 2 2 3 2 2 2" xfId="20480" xr:uid="{32ABE0C9-4C9C-4428-852C-F665EC7194C9}"/>
    <cellStyle name="Standard 6 3 4 2 2 3 2 3" xfId="20479" xr:uid="{D8AB7C98-96A3-416A-A6B6-84E9CA1F7BE3}"/>
    <cellStyle name="Standard 6 3 4 2 2 3 3" xfId="8520" xr:uid="{00000000-0005-0000-0000-00004F210000}"/>
    <cellStyle name="Standard 6 3 4 2 2 3 3 2" xfId="20481" xr:uid="{0A0E4738-7E7A-43D8-B7CD-303C2D8E67E5}"/>
    <cellStyle name="Standard 6 3 4 2 2 3 4" xfId="20478" xr:uid="{DE317260-C740-43DD-B161-60951DA9DF56}"/>
    <cellStyle name="Standard 6 3 4 2 2 4" xfId="8521" xr:uid="{00000000-0005-0000-0000-000050210000}"/>
    <cellStyle name="Standard 6 3 4 2 2 4 2" xfId="8522" xr:uid="{00000000-0005-0000-0000-000051210000}"/>
    <cellStyle name="Standard 6 3 4 2 2 4 2 2" xfId="8523" xr:uid="{00000000-0005-0000-0000-000052210000}"/>
    <cellStyle name="Standard 6 3 4 2 2 4 2 2 2" xfId="20484" xr:uid="{445357A9-5729-440C-90ED-BE49CC562D4A}"/>
    <cellStyle name="Standard 6 3 4 2 2 4 2 3" xfId="20483" xr:uid="{1B85B959-CB54-468C-9130-03AEDE899CE6}"/>
    <cellStyle name="Standard 6 3 4 2 2 4 3" xfId="8524" xr:uid="{00000000-0005-0000-0000-000053210000}"/>
    <cellStyle name="Standard 6 3 4 2 2 4 3 2" xfId="20485" xr:uid="{13508555-BB36-47F3-92F9-84C923EC4E04}"/>
    <cellStyle name="Standard 6 3 4 2 2 4 4" xfId="20482" xr:uid="{1B9A4A13-9951-49A6-9B13-108C28D569E8}"/>
    <cellStyle name="Standard 6 3 4 2 2 5" xfId="8525" xr:uid="{00000000-0005-0000-0000-000054210000}"/>
    <cellStyle name="Standard 6 3 4 2 2 5 2" xfId="8526" xr:uid="{00000000-0005-0000-0000-000055210000}"/>
    <cellStyle name="Standard 6 3 4 2 2 5 2 2" xfId="8527" xr:uid="{00000000-0005-0000-0000-000056210000}"/>
    <cellStyle name="Standard 6 3 4 2 2 5 2 2 2" xfId="20488" xr:uid="{C4A013E1-2EFB-4D4C-B252-50FA929348F1}"/>
    <cellStyle name="Standard 6 3 4 2 2 5 2 3" xfId="20487" xr:uid="{5652CA4F-C4A9-4A12-9897-6FEA96961506}"/>
    <cellStyle name="Standard 6 3 4 2 2 5 3" xfId="8528" xr:uid="{00000000-0005-0000-0000-000057210000}"/>
    <cellStyle name="Standard 6 3 4 2 2 5 3 2" xfId="20489" xr:uid="{A462688F-FC83-43A1-9ABB-011760A5AAB7}"/>
    <cellStyle name="Standard 6 3 4 2 2 5 4" xfId="20486" xr:uid="{E115DBC3-8344-4622-A36F-1F677D86399D}"/>
    <cellStyle name="Standard 6 3 4 2 2 6" xfId="8529" xr:uid="{00000000-0005-0000-0000-000058210000}"/>
    <cellStyle name="Standard 6 3 4 2 2 6 2" xfId="8530" xr:uid="{00000000-0005-0000-0000-000059210000}"/>
    <cellStyle name="Standard 6 3 4 2 2 6 2 2" xfId="8531" xr:uid="{00000000-0005-0000-0000-00005A210000}"/>
    <cellStyle name="Standard 6 3 4 2 2 6 2 2 2" xfId="20492" xr:uid="{FFD61369-A542-4593-BD24-09A18C35F05F}"/>
    <cellStyle name="Standard 6 3 4 2 2 6 2 3" xfId="20491" xr:uid="{F28F9B0C-8603-4DC4-9860-0DB4E91D440E}"/>
    <cellStyle name="Standard 6 3 4 2 2 6 3" xfId="8532" xr:uid="{00000000-0005-0000-0000-00005B210000}"/>
    <cellStyle name="Standard 6 3 4 2 2 6 3 2" xfId="20493" xr:uid="{76016779-A890-438B-91F1-566CDBB91809}"/>
    <cellStyle name="Standard 6 3 4 2 2 6 4" xfId="20490" xr:uid="{DCA80532-3C81-4D46-BAF1-CE492252D624}"/>
    <cellStyle name="Standard 6 3 4 2 2 7" xfId="8533" xr:uid="{00000000-0005-0000-0000-00005C210000}"/>
    <cellStyle name="Standard 6 3 4 2 2 7 2" xfId="8534" xr:uid="{00000000-0005-0000-0000-00005D210000}"/>
    <cellStyle name="Standard 6 3 4 2 2 7 2 2" xfId="8535" xr:uid="{00000000-0005-0000-0000-00005E210000}"/>
    <cellStyle name="Standard 6 3 4 2 2 7 2 2 2" xfId="20496" xr:uid="{060CB291-319A-4416-A78D-194EA5CC5FDA}"/>
    <cellStyle name="Standard 6 3 4 2 2 7 2 3" xfId="20495" xr:uid="{D2336F57-D1B4-4F02-AE53-C72CED436C13}"/>
    <cellStyle name="Standard 6 3 4 2 2 7 3" xfId="8536" xr:uid="{00000000-0005-0000-0000-00005F210000}"/>
    <cellStyle name="Standard 6 3 4 2 2 7 3 2" xfId="20497" xr:uid="{669CFA38-0661-483B-9686-E295D9708568}"/>
    <cellStyle name="Standard 6 3 4 2 2 7 4" xfId="20494" xr:uid="{D7369782-9A5A-46E4-9C31-B7EF7DC83927}"/>
    <cellStyle name="Standard 6 3 4 2 2 8" xfId="8537" xr:uid="{00000000-0005-0000-0000-000060210000}"/>
    <cellStyle name="Standard 6 3 4 2 2 8 2" xfId="8538" xr:uid="{00000000-0005-0000-0000-000061210000}"/>
    <cellStyle name="Standard 6 3 4 2 2 8 2 2" xfId="8539" xr:uid="{00000000-0005-0000-0000-000062210000}"/>
    <cellStyle name="Standard 6 3 4 2 2 8 2 2 2" xfId="20500" xr:uid="{FE6F6F93-7F79-4B83-808E-53CDFD0B995F}"/>
    <cellStyle name="Standard 6 3 4 2 2 8 2 3" xfId="20499" xr:uid="{9DD789E6-3E16-4A73-9027-8610AB4E420F}"/>
    <cellStyle name="Standard 6 3 4 2 2 8 3" xfId="8540" xr:uid="{00000000-0005-0000-0000-000063210000}"/>
    <cellStyle name="Standard 6 3 4 2 2 8 3 2" xfId="20501" xr:uid="{BD336950-125D-44EB-8266-D5E7A2A5C1B0}"/>
    <cellStyle name="Standard 6 3 4 2 2 8 4" xfId="20498" xr:uid="{B5253CD5-D6DB-4009-98ED-3E19C67C3976}"/>
    <cellStyle name="Standard 6 3 4 2 2 9" xfId="8541" xr:uid="{00000000-0005-0000-0000-000064210000}"/>
    <cellStyle name="Standard 6 3 4 2 2 9 2" xfId="8542" xr:uid="{00000000-0005-0000-0000-000065210000}"/>
    <cellStyle name="Standard 6 3 4 2 2 9 2 2" xfId="20503" xr:uid="{1978A0B3-BCE2-4DAB-94A4-2AEECA47590E}"/>
    <cellStyle name="Standard 6 3 4 2 2 9 3" xfId="20502" xr:uid="{6C0B68FD-5CBA-4BDE-89CF-EAABC6789DE8}"/>
    <cellStyle name="Standard 6 3 4 2 3" xfId="8543" xr:uid="{00000000-0005-0000-0000-000066210000}"/>
    <cellStyle name="Standard 6 3 4 2 3 10" xfId="20504" xr:uid="{483FD87B-330C-4986-8644-3A970E19CD2E}"/>
    <cellStyle name="Standard 6 3 4 2 3 2" xfId="8544" xr:uid="{00000000-0005-0000-0000-000067210000}"/>
    <cellStyle name="Standard 6 3 4 2 3 2 2" xfId="8545" xr:uid="{00000000-0005-0000-0000-000068210000}"/>
    <cellStyle name="Standard 6 3 4 2 3 2 2 2" xfId="8546" xr:uid="{00000000-0005-0000-0000-000069210000}"/>
    <cellStyle name="Standard 6 3 4 2 3 2 2 2 2" xfId="20507" xr:uid="{5343A6EE-E389-4D97-BE60-F1DC55AF78E5}"/>
    <cellStyle name="Standard 6 3 4 2 3 2 2 3" xfId="20506" xr:uid="{524C7C06-6C0D-4F3B-9075-B0E87298080D}"/>
    <cellStyle name="Standard 6 3 4 2 3 2 3" xfId="8547" xr:uid="{00000000-0005-0000-0000-00006A210000}"/>
    <cellStyle name="Standard 6 3 4 2 3 2 3 2" xfId="20508" xr:uid="{65A95F5E-7D13-4DE9-AF33-AB839DE5F786}"/>
    <cellStyle name="Standard 6 3 4 2 3 2 4" xfId="20505" xr:uid="{CC42C9DB-F2E5-441C-B2FC-E66C93434B01}"/>
    <cellStyle name="Standard 6 3 4 2 3 3" xfId="8548" xr:uid="{00000000-0005-0000-0000-00006B210000}"/>
    <cellStyle name="Standard 6 3 4 2 3 3 2" xfId="8549" xr:uid="{00000000-0005-0000-0000-00006C210000}"/>
    <cellStyle name="Standard 6 3 4 2 3 3 2 2" xfId="8550" xr:uid="{00000000-0005-0000-0000-00006D210000}"/>
    <cellStyle name="Standard 6 3 4 2 3 3 2 2 2" xfId="20511" xr:uid="{D7748665-DF60-4652-84AF-3C1AC773C119}"/>
    <cellStyle name="Standard 6 3 4 2 3 3 2 3" xfId="20510" xr:uid="{0AF99236-55C4-43F8-9162-9829246B43BE}"/>
    <cellStyle name="Standard 6 3 4 2 3 3 3" xfId="8551" xr:uid="{00000000-0005-0000-0000-00006E210000}"/>
    <cellStyle name="Standard 6 3 4 2 3 3 3 2" xfId="20512" xr:uid="{8FF0E226-6CA0-4193-AD8C-5F20D5D1F07B}"/>
    <cellStyle name="Standard 6 3 4 2 3 3 4" xfId="20509" xr:uid="{925AF560-5F41-47D7-A8BB-98F654E8328C}"/>
    <cellStyle name="Standard 6 3 4 2 3 4" xfId="8552" xr:uid="{00000000-0005-0000-0000-00006F210000}"/>
    <cellStyle name="Standard 6 3 4 2 3 4 2" xfId="8553" xr:uid="{00000000-0005-0000-0000-000070210000}"/>
    <cellStyle name="Standard 6 3 4 2 3 4 2 2" xfId="8554" xr:uid="{00000000-0005-0000-0000-000071210000}"/>
    <cellStyle name="Standard 6 3 4 2 3 4 2 2 2" xfId="20515" xr:uid="{7AC0B0A4-67CE-4D01-B3A0-B8E2DFF37526}"/>
    <cellStyle name="Standard 6 3 4 2 3 4 2 3" xfId="20514" xr:uid="{58B0986A-C7D7-4439-82B4-812D1B6D48D8}"/>
    <cellStyle name="Standard 6 3 4 2 3 4 3" xfId="8555" xr:uid="{00000000-0005-0000-0000-000072210000}"/>
    <cellStyle name="Standard 6 3 4 2 3 4 3 2" xfId="20516" xr:uid="{9BECEC2C-FD3A-4EC8-8C51-60E70E29D916}"/>
    <cellStyle name="Standard 6 3 4 2 3 4 4" xfId="20513" xr:uid="{D13160F3-38DF-490D-A1BC-C24E32328893}"/>
    <cellStyle name="Standard 6 3 4 2 3 5" xfId="8556" xr:uid="{00000000-0005-0000-0000-000073210000}"/>
    <cellStyle name="Standard 6 3 4 2 3 5 2" xfId="8557" xr:uid="{00000000-0005-0000-0000-000074210000}"/>
    <cellStyle name="Standard 6 3 4 2 3 5 2 2" xfId="8558" xr:uid="{00000000-0005-0000-0000-000075210000}"/>
    <cellStyle name="Standard 6 3 4 2 3 5 2 2 2" xfId="20519" xr:uid="{23B97739-579C-4E0D-B1DB-9526604A83C9}"/>
    <cellStyle name="Standard 6 3 4 2 3 5 2 3" xfId="20518" xr:uid="{D11FBB0A-F772-4BB2-8C10-E418F310E979}"/>
    <cellStyle name="Standard 6 3 4 2 3 5 3" xfId="8559" xr:uid="{00000000-0005-0000-0000-000076210000}"/>
    <cellStyle name="Standard 6 3 4 2 3 5 3 2" xfId="20520" xr:uid="{1049C570-0C90-43F5-878A-BC6BDEEA67F7}"/>
    <cellStyle name="Standard 6 3 4 2 3 5 4" xfId="20517" xr:uid="{4386722D-0491-46CA-B6B1-ED53AB10F803}"/>
    <cellStyle name="Standard 6 3 4 2 3 6" xfId="8560" xr:uid="{00000000-0005-0000-0000-000077210000}"/>
    <cellStyle name="Standard 6 3 4 2 3 6 2" xfId="8561" xr:uid="{00000000-0005-0000-0000-000078210000}"/>
    <cellStyle name="Standard 6 3 4 2 3 6 2 2" xfId="8562" xr:uid="{00000000-0005-0000-0000-000079210000}"/>
    <cellStyle name="Standard 6 3 4 2 3 6 2 2 2" xfId="20523" xr:uid="{C1560C8A-7F60-4E1E-BF7B-FF66A3606488}"/>
    <cellStyle name="Standard 6 3 4 2 3 6 2 3" xfId="20522" xr:uid="{32049025-B344-475E-BDA4-A6EBFA75F780}"/>
    <cellStyle name="Standard 6 3 4 2 3 6 3" xfId="8563" xr:uid="{00000000-0005-0000-0000-00007A210000}"/>
    <cellStyle name="Standard 6 3 4 2 3 6 3 2" xfId="20524" xr:uid="{DA2A4583-2D8E-45C0-B7CB-72C723596964}"/>
    <cellStyle name="Standard 6 3 4 2 3 6 4" xfId="20521" xr:uid="{587D174C-C0C5-4298-BEC6-DE4265BBC48C}"/>
    <cellStyle name="Standard 6 3 4 2 3 7" xfId="8564" xr:uid="{00000000-0005-0000-0000-00007B210000}"/>
    <cellStyle name="Standard 6 3 4 2 3 7 2" xfId="8565" xr:uid="{00000000-0005-0000-0000-00007C210000}"/>
    <cellStyle name="Standard 6 3 4 2 3 7 2 2" xfId="8566" xr:uid="{00000000-0005-0000-0000-00007D210000}"/>
    <cellStyle name="Standard 6 3 4 2 3 7 2 2 2" xfId="20527" xr:uid="{9E088910-713B-4D51-B03C-2AB95559A99D}"/>
    <cellStyle name="Standard 6 3 4 2 3 7 2 3" xfId="20526" xr:uid="{CACD9E97-F595-4453-A136-92660C40425D}"/>
    <cellStyle name="Standard 6 3 4 2 3 7 3" xfId="8567" xr:uid="{00000000-0005-0000-0000-00007E210000}"/>
    <cellStyle name="Standard 6 3 4 2 3 7 3 2" xfId="20528" xr:uid="{D5B1BA06-3830-4254-B63E-C5CAC3A4FAB9}"/>
    <cellStyle name="Standard 6 3 4 2 3 7 4" xfId="20525" xr:uid="{397F627F-F790-4F8A-A70C-53BCBCDD6F96}"/>
    <cellStyle name="Standard 6 3 4 2 3 8" xfId="8568" xr:uid="{00000000-0005-0000-0000-00007F210000}"/>
    <cellStyle name="Standard 6 3 4 2 3 8 2" xfId="8569" xr:uid="{00000000-0005-0000-0000-000080210000}"/>
    <cellStyle name="Standard 6 3 4 2 3 8 2 2" xfId="20530" xr:uid="{48A0596D-9149-4460-9541-375B4BA2C651}"/>
    <cellStyle name="Standard 6 3 4 2 3 8 3" xfId="20529" xr:uid="{D3BBDA3D-8B80-4890-9E23-E839AE312C18}"/>
    <cellStyle name="Standard 6 3 4 2 3 9" xfId="8570" xr:uid="{00000000-0005-0000-0000-000081210000}"/>
    <cellStyle name="Standard 6 3 4 2 3 9 2" xfId="20531" xr:uid="{9AC8B8C0-D7E1-4BEB-913C-9A865A4D4CAC}"/>
    <cellStyle name="Standard 6 3 4 2 4" xfId="8571" xr:uid="{00000000-0005-0000-0000-000082210000}"/>
    <cellStyle name="Standard 6 3 4 2 4 2" xfId="8572" xr:uid="{00000000-0005-0000-0000-000083210000}"/>
    <cellStyle name="Standard 6 3 4 2 4 2 2" xfId="8573" xr:uid="{00000000-0005-0000-0000-000084210000}"/>
    <cellStyle name="Standard 6 3 4 2 4 2 2 2" xfId="20534" xr:uid="{9AECBEA1-2F9A-4F27-A587-166A20DDFD7F}"/>
    <cellStyle name="Standard 6 3 4 2 4 2 3" xfId="20533" xr:uid="{C2457A0F-F63A-4118-BC7F-D94A599AA3E2}"/>
    <cellStyle name="Standard 6 3 4 2 4 3" xfId="8574" xr:uid="{00000000-0005-0000-0000-000085210000}"/>
    <cellStyle name="Standard 6 3 4 2 4 3 2" xfId="20535" xr:uid="{FEBB13C2-AEA8-4DFA-A604-10E7023B7A0A}"/>
    <cellStyle name="Standard 6 3 4 2 4 4" xfId="20532" xr:uid="{621EB9F5-7B34-4C37-86F8-887427721AAE}"/>
    <cellStyle name="Standard 6 3 4 2 5" xfId="8575" xr:uid="{00000000-0005-0000-0000-000086210000}"/>
    <cellStyle name="Standard 6 3 4 2 5 2" xfId="8576" xr:uid="{00000000-0005-0000-0000-000087210000}"/>
    <cellStyle name="Standard 6 3 4 2 5 2 2" xfId="8577" xr:uid="{00000000-0005-0000-0000-000088210000}"/>
    <cellStyle name="Standard 6 3 4 2 5 2 2 2" xfId="20538" xr:uid="{195A87B8-974A-4F4F-B706-AEA37E69C786}"/>
    <cellStyle name="Standard 6 3 4 2 5 2 3" xfId="20537" xr:uid="{1DA847AB-1D45-4FAC-B2A0-938133A93303}"/>
    <cellStyle name="Standard 6 3 4 2 5 3" xfId="8578" xr:uid="{00000000-0005-0000-0000-000089210000}"/>
    <cellStyle name="Standard 6 3 4 2 5 3 2" xfId="20539" xr:uid="{13CBF6A0-089D-4553-8673-E55FBE37641E}"/>
    <cellStyle name="Standard 6 3 4 2 5 4" xfId="20536" xr:uid="{0CDD32CD-FE5B-4546-BABA-AF745C331B8E}"/>
    <cellStyle name="Standard 6 3 4 2 6" xfId="8579" xr:uid="{00000000-0005-0000-0000-00008A210000}"/>
    <cellStyle name="Standard 6 3 4 2 6 2" xfId="8580" xr:uid="{00000000-0005-0000-0000-00008B210000}"/>
    <cellStyle name="Standard 6 3 4 2 6 2 2" xfId="8581" xr:uid="{00000000-0005-0000-0000-00008C210000}"/>
    <cellStyle name="Standard 6 3 4 2 6 2 2 2" xfId="20542" xr:uid="{D6EB028F-9686-4FF6-A264-5F6F5B46288C}"/>
    <cellStyle name="Standard 6 3 4 2 6 2 3" xfId="20541" xr:uid="{2FC22231-70B5-4E83-813E-C67349F2A7FB}"/>
    <cellStyle name="Standard 6 3 4 2 6 3" xfId="8582" xr:uid="{00000000-0005-0000-0000-00008D210000}"/>
    <cellStyle name="Standard 6 3 4 2 6 3 2" xfId="20543" xr:uid="{7A417C4A-8BF7-4F64-8197-37FEA626C67C}"/>
    <cellStyle name="Standard 6 3 4 2 6 4" xfId="20540" xr:uid="{52505F00-B725-4ACB-B31E-C155B86E7808}"/>
    <cellStyle name="Standard 6 3 4 2 7" xfId="8583" xr:uid="{00000000-0005-0000-0000-00008E210000}"/>
    <cellStyle name="Standard 6 3 4 2 7 2" xfId="8584" xr:uid="{00000000-0005-0000-0000-00008F210000}"/>
    <cellStyle name="Standard 6 3 4 2 7 2 2" xfId="8585" xr:uid="{00000000-0005-0000-0000-000090210000}"/>
    <cellStyle name="Standard 6 3 4 2 7 2 2 2" xfId="20546" xr:uid="{F3AED1E0-7766-4CB1-ACED-72B0C02A5FDA}"/>
    <cellStyle name="Standard 6 3 4 2 7 2 3" xfId="20545" xr:uid="{E57EA862-FA9E-4C8C-B7EA-FB979B1AD795}"/>
    <cellStyle name="Standard 6 3 4 2 7 3" xfId="8586" xr:uid="{00000000-0005-0000-0000-000091210000}"/>
    <cellStyle name="Standard 6 3 4 2 7 3 2" xfId="20547" xr:uid="{D003FFAA-1B8F-494B-BAB4-5234E3157728}"/>
    <cellStyle name="Standard 6 3 4 2 7 4" xfId="20544" xr:uid="{23D27B98-E307-476D-945C-BC23E8C0B563}"/>
    <cellStyle name="Standard 6 3 4 2 8" xfId="8587" xr:uid="{00000000-0005-0000-0000-000092210000}"/>
    <cellStyle name="Standard 6 3 4 2 8 2" xfId="8588" xr:uid="{00000000-0005-0000-0000-000093210000}"/>
    <cellStyle name="Standard 6 3 4 2 8 2 2" xfId="8589" xr:uid="{00000000-0005-0000-0000-000094210000}"/>
    <cellStyle name="Standard 6 3 4 2 8 2 2 2" xfId="20550" xr:uid="{D05512DE-4539-443F-9E6B-80CE3FC9AF00}"/>
    <cellStyle name="Standard 6 3 4 2 8 2 3" xfId="20549" xr:uid="{CC0678AB-416B-4538-B597-37C01E9D89BF}"/>
    <cellStyle name="Standard 6 3 4 2 8 3" xfId="8590" xr:uid="{00000000-0005-0000-0000-000095210000}"/>
    <cellStyle name="Standard 6 3 4 2 8 3 2" xfId="20551" xr:uid="{E6E7A918-6C3A-46F8-B5EA-BFCCD8D955EE}"/>
    <cellStyle name="Standard 6 3 4 2 8 4" xfId="20548" xr:uid="{05A35E35-63EA-424D-817B-DBEDF66E7D75}"/>
    <cellStyle name="Standard 6 3 4 2 9" xfId="8591" xr:uid="{00000000-0005-0000-0000-000096210000}"/>
    <cellStyle name="Standard 6 3 4 2 9 2" xfId="8592" xr:uid="{00000000-0005-0000-0000-000097210000}"/>
    <cellStyle name="Standard 6 3 4 2 9 2 2" xfId="8593" xr:uid="{00000000-0005-0000-0000-000098210000}"/>
    <cellStyle name="Standard 6 3 4 2 9 2 2 2" xfId="20554" xr:uid="{CB8B43E0-DFF3-4989-BA20-88B35A9E6090}"/>
    <cellStyle name="Standard 6 3 4 2 9 2 3" xfId="20553" xr:uid="{88612B57-FEDB-467E-BBFC-23F84D66A82D}"/>
    <cellStyle name="Standard 6 3 4 2 9 3" xfId="8594" xr:uid="{00000000-0005-0000-0000-000099210000}"/>
    <cellStyle name="Standard 6 3 4 2 9 3 2" xfId="20555" xr:uid="{D2CEA3C4-FDCC-4781-ABF6-474218F6B82A}"/>
    <cellStyle name="Standard 6 3 4 2 9 4" xfId="20552" xr:uid="{28BE6327-B534-4CDB-AC75-128CBD8ACA13}"/>
    <cellStyle name="Standard 6 3 4 20" xfId="8595" xr:uid="{00000000-0005-0000-0000-00009A210000}"/>
    <cellStyle name="Standard 6 3 4 20 2" xfId="8596" xr:uid="{00000000-0005-0000-0000-00009B210000}"/>
    <cellStyle name="Standard 6 3 4 20 2 2" xfId="20557" xr:uid="{A91E4A10-E1E9-4EBE-8028-D5101ED79DB3}"/>
    <cellStyle name="Standard 6 3 4 20 3" xfId="20556" xr:uid="{142647C6-71AC-42DE-92CB-BE078711E222}"/>
    <cellStyle name="Standard 6 3 4 21" xfId="8597" xr:uid="{00000000-0005-0000-0000-00009C210000}"/>
    <cellStyle name="Standard 6 3 4 21 2" xfId="20558" xr:uid="{01B17A48-218C-4214-A1DA-0C372249A4A1}"/>
    <cellStyle name="Standard 6 3 4 22" xfId="8598" xr:uid="{00000000-0005-0000-0000-00009D210000}"/>
    <cellStyle name="Standard 6 3 4 22 2" xfId="20559" xr:uid="{14B2B5B9-B81A-4FCD-9F9A-1CD17D080F55}"/>
    <cellStyle name="Standard 6 3 4 23" xfId="20403" xr:uid="{DB6DDC6B-35C2-4FD7-B46D-DD13753D743B}"/>
    <cellStyle name="Standard 6 3 4 3" xfId="8599" xr:uid="{00000000-0005-0000-0000-00009E210000}"/>
    <cellStyle name="Standard 6 3 4 3 10" xfId="8600" xr:uid="{00000000-0005-0000-0000-00009F210000}"/>
    <cellStyle name="Standard 6 3 4 3 10 2" xfId="20561" xr:uid="{FC116E49-18BD-4438-9E66-B3E6F624946C}"/>
    <cellStyle name="Standard 6 3 4 3 11" xfId="20560" xr:uid="{1F23A3D2-E3C6-4BD5-A640-FFFE39404122}"/>
    <cellStyle name="Standard 6 3 4 3 2" xfId="8601" xr:uid="{00000000-0005-0000-0000-0000A0210000}"/>
    <cellStyle name="Standard 6 3 4 3 2 10" xfId="20562" xr:uid="{F7058C80-6EA6-4C29-BA16-F7FEC73261EC}"/>
    <cellStyle name="Standard 6 3 4 3 2 2" xfId="8602" xr:uid="{00000000-0005-0000-0000-0000A1210000}"/>
    <cellStyle name="Standard 6 3 4 3 2 2 2" xfId="8603" xr:uid="{00000000-0005-0000-0000-0000A2210000}"/>
    <cellStyle name="Standard 6 3 4 3 2 2 2 2" xfId="8604" xr:uid="{00000000-0005-0000-0000-0000A3210000}"/>
    <cellStyle name="Standard 6 3 4 3 2 2 2 2 2" xfId="20565" xr:uid="{8C1F7E5F-785D-49D6-9A46-DF2D6783243C}"/>
    <cellStyle name="Standard 6 3 4 3 2 2 2 3" xfId="20564" xr:uid="{A9FB5D8A-739A-49A8-9642-013D976D5A9C}"/>
    <cellStyle name="Standard 6 3 4 3 2 2 3" xfId="8605" xr:uid="{00000000-0005-0000-0000-0000A4210000}"/>
    <cellStyle name="Standard 6 3 4 3 2 2 3 2" xfId="20566" xr:uid="{0798F561-A3CE-4A5D-8EC1-5C108B5F5A8F}"/>
    <cellStyle name="Standard 6 3 4 3 2 2 4" xfId="20563" xr:uid="{8B0B71E3-952A-45FE-B198-8AEE158AB9BC}"/>
    <cellStyle name="Standard 6 3 4 3 2 3" xfId="8606" xr:uid="{00000000-0005-0000-0000-0000A5210000}"/>
    <cellStyle name="Standard 6 3 4 3 2 3 2" xfId="8607" xr:uid="{00000000-0005-0000-0000-0000A6210000}"/>
    <cellStyle name="Standard 6 3 4 3 2 3 2 2" xfId="8608" xr:uid="{00000000-0005-0000-0000-0000A7210000}"/>
    <cellStyle name="Standard 6 3 4 3 2 3 2 2 2" xfId="20569" xr:uid="{2E72B0DC-92BE-4508-889D-1A62D067E06F}"/>
    <cellStyle name="Standard 6 3 4 3 2 3 2 3" xfId="20568" xr:uid="{35ABFC02-3AB0-4B93-9D97-E734DFFA2AE3}"/>
    <cellStyle name="Standard 6 3 4 3 2 3 3" xfId="8609" xr:uid="{00000000-0005-0000-0000-0000A8210000}"/>
    <cellStyle name="Standard 6 3 4 3 2 3 3 2" xfId="20570" xr:uid="{4EC53D64-9BB3-4561-95DD-EE4825444B12}"/>
    <cellStyle name="Standard 6 3 4 3 2 3 4" xfId="20567" xr:uid="{DBB1A3AD-A3CE-4BEB-B798-8729C25FEACD}"/>
    <cellStyle name="Standard 6 3 4 3 2 4" xfId="8610" xr:uid="{00000000-0005-0000-0000-0000A9210000}"/>
    <cellStyle name="Standard 6 3 4 3 2 4 2" xfId="8611" xr:uid="{00000000-0005-0000-0000-0000AA210000}"/>
    <cellStyle name="Standard 6 3 4 3 2 4 2 2" xfId="8612" xr:uid="{00000000-0005-0000-0000-0000AB210000}"/>
    <cellStyle name="Standard 6 3 4 3 2 4 2 2 2" xfId="20573" xr:uid="{928B2D97-89EE-4FCD-803D-4AA151EEA592}"/>
    <cellStyle name="Standard 6 3 4 3 2 4 2 3" xfId="20572" xr:uid="{D9B973FA-A2D3-42AA-B82B-DA3E3DFB493B}"/>
    <cellStyle name="Standard 6 3 4 3 2 4 3" xfId="8613" xr:uid="{00000000-0005-0000-0000-0000AC210000}"/>
    <cellStyle name="Standard 6 3 4 3 2 4 3 2" xfId="20574" xr:uid="{7982C0B4-15CC-4808-83EC-9A6CAFD77A6F}"/>
    <cellStyle name="Standard 6 3 4 3 2 4 4" xfId="20571" xr:uid="{F209FECD-4295-4FDB-9836-D62594693428}"/>
    <cellStyle name="Standard 6 3 4 3 2 5" xfId="8614" xr:uid="{00000000-0005-0000-0000-0000AD210000}"/>
    <cellStyle name="Standard 6 3 4 3 2 5 2" xfId="8615" xr:uid="{00000000-0005-0000-0000-0000AE210000}"/>
    <cellStyle name="Standard 6 3 4 3 2 5 2 2" xfId="8616" xr:uid="{00000000-0005-0000-0000-0000AF210000}"/>
    <cellStyle name="Standard 6 3 4 3 2 5 2 2 2" xfId="20577" xr:uid="{9F75A360-0A9B-4042-A16B-6A047D507A83}"/>
    <cellStyle name="Standard 6 3 4 3 2 5 2 3" xfId="20576" xr:uid="{225E4324-AA21-4E06-97E9-FB1D6E965465}"/>
    <cellStyle name="Standard 6 3 4 3 2 5 3" xfId="8617" xr:uid="{00000000-0005-0000-0000-0000B0210000}"/>
    <cellStyle name="Standard 6 3 4 3 2 5 3 2" xfId="20578" xr:uid="{4736AB2D-5568-439D-B3CE-C9F3B4E4FBDD}"/>
    <cellStyle name="Standard 6 3 4 3 2 5 4" xfId="20575" xr:uid="{55610F17-F361-4A86-9FEB-0A4B46C30439}"/>
    <cellStyle name="Standard 6 3 4 3 2 6" xfId="8618" xr:uid="{00000000-0005-0000-0000-0000B1210000}"/>
    <cellStyle name="Standard 6 3 4 3 2 6 2" xfId="8619" xr:uid="{00000000-0005-0000-0000-0000B2210000}"/>
    <cellStyle name="Standard 6 3 4 3 2 6 2 2" xfId="8620" xr:uid="{00000000-0005-0000-0000-0000B3210000}"/>
    <cellStyle name="Standard 6 3 4 3 2 6 2 2 2" xfId="20581" xr:uid="{5304A97C-92D5-403B-8E25-6750311EDA9F}"/>
    <cellStyle name="Standard 6 3 4 3 2 6 2 3" xfId="20580" xr:uid="{25B06B38-3A65-4FC3-8375-31F476DDFD82}"/>
    <cellStyle name="Standard 6 3 4 3 2 6 3" xfId="8621" xr:uid="{00000000-0005-0000-0000-0000B4210000}"/>
    <cellStyle name="Standard 6 3 4 3 2 6 3 2" xfId="20582" xr:uid="{C6D56CF1-64B6-4407-BB0C-AF9A02A93173}"/>
    <cellStyle name="Standard 6 3 4 3 2 6 4" xfId="20579" xr:uid="{09DFF842-B2A7-47AD-BE5F-BFA94AF63D49}"/>
    <cellStyle name="Standard 6 3 4 3 2 7" xfId="8622" xr:uid="{00000000-0005-0000-0000-0000B5210000}"/>
    <cellStyle name="Standard 6 3 4 3 2 7 2" xfId="8623" xr:uid="{00000000-0005-0000-0000-0000B6210000}"/>
    <cellStyle name="Standard 6 3 4 3 2 7 2 2" xfId="8624" xr:uid="{00000000-0005-0000-0000-0000B7210000}"/>
    <cellStyle name="Standard 6 3 4 3 2 7 2 2 2" xfId="20585" xr:uid="{65307C42-4FDF-458F-8D60-06840BAB614A}"/>
    <cellStyle name="Standard 6 3 4 3 2 7 2 3" xfId="20584" xr:uid="{1B230FD0-4E85-458E-9B47-04BB2571A4FF}"/>
    <cellStyle name="Standard 6 3 4 3 2 7 3" xfId="8625" xr:uid="{00000000-0005-0000-0000-0000B8210000}"/>
    <cellStyle name="Standard 6 3 4 3 2 7 3 2" xfId="20586" xr:uid="{ECFD022E-30EF-4ED2-9EBC-C7E6756EA9CA}"/>
    <cellStyle name="Standard 6 3 4 3 2 7 4" xfId="20583" xr:uid="{975A9CFB-2595-4682-BF9F-772DD03D44C8}"/>
    <cellStyle name="Standard 6 3 4 3 2 8" xfId="8626" xr:uid="{00000000-0005-0000-0000-0000B9210000}"/>
    <cellStyle name="Standard 6 3 4 3 2 8 2" xfId="8627" xr:uid="{00000000-0005-0000-0000-0000BA210000}"/>
    <cellStyle name="Standard 6 3 4 3 2 8 2 2" xfId="20588" xr:uid="{17D4549F-524B-446A-BFA4-7823156D3DB9}"/>
    <cellStyle name="Standard 6 3 4 3 2 8 3" xfId="20587" xr:uid="{892FCB3D-A994-42DB-9130-58A6DF128A07}"/>
    <cellStyle name="Standard 6 3 4 3 2 9" xfId="8628" xr:uid="{00000000-0005-0000-0000-0000BB210000}"/>
    <cellStyle name="Standard 6 3 4 3 2 9 2" xfId="20589" xr:uid="{DE4197A0-9744-42AE-9679-F10CB7875222}"/>
    <cellStyle name="Standard 6 3 4 3 3" xfId="8629" xr:uid="{00000000-0005-0000-0000-0000BC210000}"/>
    <cellStyle name="Standard 6 3 4 3 3 2" xfId="8630" xr:uid="{00000000-0005-0000-0000-0000BD210000}"/>
    <cellStyle name="Standard 6 3 4 3 3 2 2" xfId="8631" xr:uid="{00000000-0005-0000-0000-0000BE210000}"/>
    <cellStyle name="Standard 6 3 4 3 3 2 2 2" xfId="20592" xr:uid="{E769E360-AC3F-494E-ACFA-1FA37839638E}"/>
    <cellStyle name="Standard 6 3 4 3 3 2 3" xfId="20591" xr:uid="{4DF7CA7A-D64E-45A2-8672-5AF1EABDB9C1}"/>
    <cellStyle name="Standard 6 3 4 3 3 3" xfId="8632" xr:uid="{00000000-0005-0000-0000-0000BF210000}"/>
    <cellStyle name="Standard 6 3 4 3 3 3 2" xfId="20593" xr:uid="{22D7891A-5393-455F-86D7-3BE5B956A468}"/>
    <cellStyle name="Standard 6 3 4 3 3 4" xfId="20590" xr:uid="{3FE30E3E-69CA-4502-A2DA-FB2D66CBB5B8}"/>
    <cellStyle name="Standard 6 3 4 3 4" xfId="8633" xr:uid="{00000000-0005-0000-0000-0000C0210000}"/>
    <cellStyle name="Standard 6 3 4 3 4 2" xfId="8634" xr:uid="{00000000-0005-0000-0000-0000C1210000}"/>
    <cellStyle name="Standard 6 3 4 3 4 2 2" xfId="8635" xr:uid="{00000000-0005-0000-0000-0000C2210000}"/>
    <cellStyle name="Standard 6 3 4 3 4 2 2 2" xfId="20596" xr:uid="{9C01FA8F-0B62-47BB-B99A-3DBF98C0FAD1}"/>
    <cellStyle name="Standard 6 3 4 3 4 2 3" xfId="20595" xr:uid="{191DBC98-699A-40E0-A449-6C3B6A591BD3}"/>
    <cellStyle name="Standard 6 3 4 3 4 3" xfId="8636" xr:uid="{00000000-0005-0000-0000-0000C3210000}"/>
    <cellStyle name="Standard 6 3 4 3 4 3 2" xfId="20597" xr:uid="{E3F4B3E8-1248-484B-9B19-37CEF682BF75}"/>
    <cellStyle name="Standard 6 3 4 3 4 4" xfId="20594" xr:uid="{1D8BA0C3-1206-4467-B9BF-AB29D7F05D21}"/>
    <cellStyle name="Standard 6 3 4 3 5" xfId="8637" xr:uid="{00000000-0005-0000-0000-0000C4210000}"/>
    <cellStyle name="Standard 6 3 4 3 5 2" xfId="8638" xr:uid="{00000000-0005-0000-0000-0000C5210000}"/>
    <cellStyle name="Standard 6 3 4 3 5 2 2" xfId="8639" xr:uid="{00000000-0005-0000-0000-0000C6210000}"/>
    <cellStyle name="Standard 6 3 4 3 5 2 2 2" xfId="20600" xr:uid="{0BE75576-7FD5-4DD3-8CC5-77F9EDA7A837}"/>
    <cellStyle name="Standard 6 3 4 3 5 2 3" xfId="20599" xr:uid="{48F4DCB5-3296-4DD8-A371-6C2767699EF1}"/>
    <cellStyle name="Standard 6 3 4 3 5 3" xfId="8640" xr:uid="{00000000-0005-0000-0000-0000C7210000}"/>
    <cellStyle name="Standard 6 3 4 3 5 3 2" xfId="20601" xr:uid="{4CD47748-7567-4696-9BA0-FD865E024477}"/>
    <cellStyle name="Standard 6 3 4 3 5 4" xfId="20598" xr:uid="{1B8A18AB-17C7-46B3-A025-E4D7CDB202AD}"/>
    <cellStyle name="Standard 6 3 4 3 6" xfId="8641" xr:uid="{00000000-0005-0000-0000-0000C8210000}"/>
    <cellStyle name="Standard 6 3 4 3 6 2" xfId="8642" xr:uid="{00000000-0005-0000-0000-0000C9210000}"/>
    <cellStyle name="Standard 6 3 4 3 6 2 2" xfId="8643" xr:uid="{00000000-0005-0000-0000-0000CA210000}"/>
    <cellStyle name="Standard 6 3 4 3 6 2 2 2" xfId="20604" xr:uid="{CDCF7B0D-1AF4-4CCB-B993-B3EEFD4C2C50}"/>
    <cellStyle name="Standard 6 3 4 3 6 2 3" xfId="20603" xr:uid="{D034FA97-4C3C-4544-8C21-0C7898AAA162}"/>
    <cellStyle name="Standard 6 3 4 3 6 3" xfId="8644" xr:uid="{00000000-0005-0000-0000-0000CB210000}"/>
    <cellStyle name="Standard 6 3 4 3 6 3 2" xfId="20605" xr:uid="{FCE63DF6-BB23-4728-92E8-6E8AEE0F5D3C}"/>
    <cellStyle name="Standard 6 3 4 3 6 4" xfId="20602" xr:uid="{293222E8-12D9-4634-8A98-0B687DE80875}"/>
    <cellStyle name="Standard 6 3 4 3 7" xfId="8645" xr:uid="{00000000-0005-0000-0000-0000CC210000}"/>
    <cellStyle name="Standard 6 3 4 3 7 2" xfId="8646" xr:uid="{00000000-0005-0000-0000-0000CD210000}"/>
    <cellStyle name="Standard 6 3 4 3 7 2 2" xfId="8647" xr:uid="{00000000-0005-0000-0000-0000CE210000}"/>
    <cellStyle name="Standard 6 3 4 3 7 2 2 2" xfId="20608" xr:uid="{26C4F418-1BBB-40E3-8B2A-15928672292E}"/>
    <cellStyle name="Standard 6 3 4 3 7 2 3" xfId="20607" xr:uid="{164AD03C-745B-4FD4-9EF7-C1D7D009D6B0}"/>
    <cellStyle name="Standard 6 3 4 3 7 3" xfId="8648" xr:uid="{00000000-0005-0000-0000-0000CF210000}"/>
    <cellStyle name="Standard 6 3 4 3 7 3 2" xfId="20609" xr:uid="{92FA5A3D-C292-4DBD-B810-E5A7216F4782}"/>
    <cellStyle name="Standard 6 3 4 3 7 4" xfId="20606" xr:uid="{E13296A7-EDEF-4398-B332-12D4474FD893}"/>
    <cellStyle name="Standard 6 3 4 3 8" xfId="8649" xr:uid="{00000000-0005-0000-0000-0000D0210000}"/>
    <cellStyle name="Standard 6 3 4 3 8 2" xfId="8650" xr:uid="{00000000-0005-0000-0000-0000D1210000}"/>
    <cellStyle name="Standard 6 3 4 3 8 2 2" xfId="8651" xr:uid="{00000000-0005-0000-0000-0000D2210000}"/>
    <cellStyle name="Standard 6 3 4 3 8 2 2 2" xfId="20612" xr:uid="{0F04A231-32B7-4156-9053-3795C262ADED}"/>
    <cellStyle name="Standard 6 3 4 3 8 2 3" xfId="20611" xr:uid="{7CC5D64E-F137-4F41-8BDE-007191B9977A}"/>
    <cellStyle name="Standard 6 3 4 3 8 3" xfId="8652" xr:uid="{00000000-0005-0000-0000-0000D3210000}"/>
    <cellStyle name="Standard 6 3 4 3 8 3 2" xfId="20613" xr:uid="{7BC40B24-2B5A-4323-A56A-4A01A72E538B}"/>
    <cellStyle name="Standard 6 3 4 3 8 4" xfId="20610" xr:uid="{F2143C25-96B5-49DA-AE22-344C2332ABE8}"/>
    <cellStyle name="Standard 6 3 4 3 9" xfId="8653" xr:uid="{00000000-0005-0000-0000-0000D4210000}"/>
    <cellStyle name="Standard 6 3 4 3 9 2" xfId="8654" xr:uid="{00000000-0005-0000-0000-0000D5210000}"/>
    <cellStyle name="Standard 6 3 4 3 9 2 2" xfId="20615" xr:uid="{35E3B1EF-700E-4E8D-A7C8-E572F6B611D9}"/>
    <cellStyle name="Standard 6 3 4 3 9 3" xfId="20614" xr:uid="{6350BBDE-5DFC-4E4E-886C-91A61C288D08}"/>
    <cellStyle name="Standard 6 3 4 4" xfId="8655" xr:uid="{00000000-0005-0000-0000-0000D6210000}"/>
    <cellStyle name="Standard 6 3 4 4 10" xfId="8656" xr:uid="{00000000-0005-0000-0000-0000D7210000}"/>
    <cellStyle name="Standard 6 3 4 4 10 2" xfId="20617" xr:uid="{B5F3317B-6D4F-4654-ADA0-25F1FCD5F0BB}"/>
    <cellStyle name="Standard 6 3 4 4 11" xfId="20616" xr:uid="{8DF98891-ECD4-4DE1-B91C-ABFCDDFC57C5}"/>
    <cellStyle name="Standard 6 3 4 4 2" xfId="8657" xr:uid="{00000000-0005-0000-0000-0000D8210000}"/>
    <cellStyle name="Standard 6 3 4 4 2 10" xfId="20618" xr:uid="{EB243B76-CBA3-4352-8FF8-2225BBE7C21F}"/>
    <cellStyle name="Standard 6 3 4 4 2 2" xfId="8658" xr:uid="{00000000-0005-0000-0000-0000D9210000}"/>
    <cellStyle name="Standard 6 3 4 4 2 2 2" xfId="8659" xr:uid="{00000000-0005-0000-0000-0000DA210000}"/>
    <cellStyle name="Standard 6 3 4 4 2 2 2 2" xfId="8660" xr:uid="{00000000-0005-0000-0000-0000DB210000}"/>
    <cellStyle name="Standard 6 3 4 4 2 2 2 2 2" xfId="20621" xr:uid="{6D4FDF9E-B985-4E59-BDCF-2D658EC64C0B}"/>
    <cellStyle name="Standard 6 3 4 4 2 2 2 3" xfId="20620" xr:uid="{A17B9B71-BB67-4C9A-AD22-77C1FFEB8968}"/>
    <cellStyle name="Standard 6 3 4 4 2 2 3" xfId="8661" xr:uid="{00000000-0005-0000-0000-0000DC210000}"/>
    <cellStyle name="Standard 6 3 4 4 2 2 3 2" xfId="20622" xr:uid="{FCFB3EBD-92C1-4940-9F51-6578956DB330}"/>
    <cellStyle name="Standard 6 3 4 4 2 2 4" xfId="20619" xr:uid="{FCD80AF7-6713-4AA4-A6AB-A06DC0DB5204}"/>
    <cellStyle name="Standard 6 3 4 4 2 3" xfId="8662" xr:uid="{00000000-0005-0000-0000-0000DD210000}"/>
    <cellStyle name="Standard 6 3 4 4 2 3 2" xfId="8663" xr:uid="{00000000-0005-0000-0000-0000DE210000}"/>
    <cellStyle name="Standard 6 3 4 4 2 3 2 2" xfId="8664" xr:uid="{00000000-0005-0000-0000-0000DF210000}"/>
    <cellStyle name="Standard 6 3 4 4 2 3 2 2 2" xfId="20625" xr:uid="{C19D3A7C-7B76-45C6-948B-A2801B70F2D7}"/>
    <cellStyle name="Standard 6 3 4 4 2 3 2 3" xfId="20624" xr:uid="{CEB5ACD5-48B0-4900-899A-6CE9B1D47574}"/>
    <cellStyle name="Standard 6 3 4 4 2 3 3" xfId="8665" xr:uid="{00000000-0005-0000-0000-0000E0210000}"/>
    <cellStyle name="Standard 6 3 4 4 2 3 3 2" xfId="20626" xr:uid="{DB81AEB2-F8B1-4B53-98E2-BB97086B8475}"/>
    <cellStyle name="Standard 6 3 4 4 2 3 4" xfId="20623" xr:uid="{0A12F396-7F41-4970-8020-86959F616D57}"/>
    <cellStyle name="Standard 6 3 4 4 2 4" xfId="8666" xr:uid="{00000000-0005-0000-0000-0000E1210000}"/>
    <cellStyle name="Standard 6 3 4 4 2 4 2" xfId="8667" xr:uid="{00000000-0005-0000-0000-0000E2210000}"/>
    <cellStyle name="Standard 6 3 4 4 2 4 2 2" xfId="8668" xr:uid="{00000000-0005-0000-0000-0000E3210000}"/>
    <cellStyle name="Standard 6 3 4 4 2 4 2 2 2" xfId="20629" xr:uid="{CA517F62-3711-4955-9415-E30FE0934543}"/>
    <cellStyle name="Standard 6 3 4 4 2 4 2 3" xfId="20628" xr:uid="{95186548-8D6D-4FF8-996D-CF84357811BB}"/>
    <cellStyle name="Standard 6 3 4 4 2 4 3" xfId="8669" xr:uid="{00000000-0005-0000-0000-0000E4210000}"/>
    <cellStyle name="Standard 6 3 4 4 2 4 3 2" xfId="20630" xr:uid="{8F39128E-4226-4497-8BDE-15237620F091}"/>
    <cellStyle name="Standard 6 3 4 4 2 4 4" xfId="20627" xr:uid="{C06F676F-60CB-486B-8653-5733CEB81E39}"/>
    <cellStyle name="Standard 6 3 4 4 2 5" xfId="8670" xr:uid="{00000000-0005-0000-0000-0000E5210000}"/>
    <cellStyle name="Standard 6 3 4 4 2 5 2" xfId="8671" xr:uid="{00000000-0005-0000-0000-0000E6210000}"/>
    <cellStyle name="Standard 6 3 4 4 2 5 2 2" xfId="8672" xr:uid="{00000000-0005-0000-0000-0000E7210000}"/>
    <cellStyle name="Standard 6 3 4 4 2 5 2 2 2" xfId="20633" xr:uid="{B8DB993B-E42D-49AF-A7D9-8BEF58B97A9C}"/>
    <cellStyle name="Standard 6 3 4 4 2 5 2 3" xfId="20632" xr:uid="{032F13DB-A41A-4C33-A9E8-8A8B045E708B}"/>
    <cellStyle name="Standard 6 3 4 4 2 5 3" xfId="8673" xr:uid="{00000000-0005-0000-0000-0000E8210000}"/>
    <cellStyle name="Standard 6 3 4 4 2 5 3 2" xfId="20634" xr:uid="{A9D1D3B2-462E-4BDE-9D1E-87427381D610}"/>
    <cellStyle name="Standard 6 3 4 4 2 5 4" xfId="20631" xr:uid="{3D6E96CF-4312-43DF-A945-E8237886DE34}"/>
    <cellStyle name="Standard 6 3 4 4 2 6" xfId="8674" xr:uid="{00000000-0005-0000-0000-0000E9210000}"/>
    <cellStyle name="Standard 6 3 4 4 2 6 2" xfId="8675" xr:uid="{00000000-0005-0000-0000-0000EA210000}"/>
    <cellStyle name="Standard 6 3 4 4 2 6 2 2" xfId="8676" xr:uid="{00000000-0005-0000-0000-0000EB210000}"/>
    <cellStyle name="Standard 6 3 4 4 2 6 2 2 2" xfId="20637" xr:uid="{0A8623BA-7E14-40F2-B1E1-5807D7D98C4B}"/>
    <cellStyle name="Standard 6 3 4 4 2 6 2 3" xfId="20636" xr:uid="{5D906055-A97B-4237-8994-D615B8350E9A}"/>
    <cellStyle name="Standard 6 3 4 4 2 6 3" xfId="8677" xr:uid="{00000000-0005-0000-0000-0000EC210000}"/>
    <cellStyle name="Standard 6 3 4 4 2 6 3 2" xfId="20638" xr:uid="{031E57B0-76EB-43FC-8A57-0D052C5A8C0A}"/>
    <cellStyle name="Standard 6 3 4 4 2 6 4" xfId="20635" xr:uid="{77D44262-CA27-4A6A-A398-FE98B4D3B74F}"/>
    <cellStyle name="Standard 6 3 4 4 2 7" xfId="8678" xr:uid="{00000000-0005-0000-0000-0000ED210000}"/>
    <cellStyle name="Standard 6 3 4 4 2 7 2" xfId="8679" xr:uid="{00000000-0005-0000-0000-0000EE210000}"/>
    <cellStyle name="Standard 6 3 4 4 2 7 2 2" xfId="8680" xr:uid="{00000000-0005-0000-0000-0000EF210000}"/>
    <cellStyle name="Standard 6 3 4 4 2 7 2 2 2" xfId="20641" xr:uid="{E5179D47-F7CF-461E-B8CF-53E8FBD54C7E}"/>
    <cellStyle name="Standard 6 3 4 4 2 7 2 3" xfId="20640" xr:uid="{37193513-BC21-4EA4-B105-95903131A9B8}"/>
    <cellStyle name="Standard 6 3 4 4 2 7 3" xfId="8681" xr:uid="{00000000-0005-0000-0000-0000F0210000}"/>
    <cellStyle name="Standard 6 3 4 4 2 7 3 2" xfId="20642" xr:uid="{A17D48FE-4109-4AA2-85B8-17AA642DDD1E}"/>
    <cellStyle name="Standard 6 3 4 4 2 7 4" xfId="20639" xr:uid="{D167A0B3-A846-49A9-A6B2-B83AB1DB3123}"/>
    <cellStyle name="Standard 6 3 4 4 2 8" xfId="8682" xr:uid="{00000000-0005-0000-0000-0000F1210000}"/>
    <cellStyle name="Standard 6 3 4 4 2 8 2" xfId="8683" xr:uid="{00000000-0005-0000-0000-0000F2210000}"/>
    <cellStyle name="Standard 6 3 4 4 2 8 2 2" xfId="20644" xr:uid="{629A9D37-C5CC-41BB-A6DD-2642013DA0A6}"/>
    <cellStyle name="Standard 6 3 4 4 2 8 3" xfId="20643" xr:uid="{92F8FE17-C755-4A7E-BF5D-3CFCF882387A}"/>
    <cellStyle name="Standard 6 3 4 4 2 9" xfId="8684" xr:uid="{00000000-0005-0000-0000-0000F3210000}"/>
    <cellStyle name="Standard 6 3 4 4 2 9 2" xfId="20645" xr:uid="{E74A0752-ACAA-4F96-8E7A-0C7A1B628B92}"/>
    <cellStyle name="Standard 6 3 4 4 3" xfId="8685" xr:uid="{00000000-0005-0000-0000-0000F4210000}"/>
    <cellStyle name="Standard 6 3 4 4 3 2" xfId="8686" xr:uid="{00000000-0005-0000-0000-0000F5210000}"/>
    <cellStyle name="Standard 6 3 4 4 3 2 2" xfId="8687" xr:uid="{00000000-0005-0000-0000-0000F6210000}"/>
    <cellStyle name="Standard 6 3 4 4 3 2 2 2" xfId="20648" xr:uid="{E73F9B33-B4AA-4C3F-A5F7-ECD0AA5F98D4}"/>
    <cellStyle name="Standard 6 3 4 4 3 2 3" xfId="20647" xr:uid="{741289A0-C7C3-4C03-8286-5D650D7ADBD6}"/>
    <cellStyle name="Standard 6 3 4 4 3 3" xfId="8688" xr:uid="{00000000-0005-0000-0000-0000F7210000}"/>
    <cellStyle name="Standard 6 3 4 4 3 3 2" xfId="20649" xr:uid="{B586B7E4-F566-4620-8865-C06651BB93E4}"/>
    <cellStyle name="Standard 6 3 4 4 3 4" xfId="20646" xr:uid="{6C6D0B3A-0E4C-4B7A-9070-5FF7594C6D3E}"/>
    <cellStyle name="Standard 6 3 4 4 4" xfId="8689" xr:uid="{00000000-0005-0000-0000-0000F8210000}"/>
    <cellStyle name="Standard 6 3 4 4 4 2" xfId="8690" xr:uid="{00000000-0005-0000-0000-0000F9210000}"/>
    <cellStyle name="Standard 6 3 4 4 4 2 2" xfId="8691" xr:uid="{00000000-0005-0000-0000-0000FA210000}"/>
    <cellStyle name="Standard 6 3 4 4 4 2 2 2" xfId="20652" xr:uid="{B841CECF-6543-4765-8E2C-3DB6922B7C5F}"/>
    <cellStyle name="Standard 6 3 4 4 4 2 3" xfId="20651" xr:uid="{CA11F26C-DD87-494E-BECB-0F626BF790F9}"/>
    <cellStyle name="Standard 6 3 4 4 4 3" xfId="8692" xr:uid="{00000000-0005-0000-0000-0000FB210000}"/>
    <cellStyle name="Standard 6 3 4 4 4 3 2" xfId="20653" xr:uid="{8F65CDF5-FE55-463D-BE96-FF5262110783}"/>
    <cellStyle name="Standard 6 3 4 4 4 4" xfId="20650" xr:uid="{46C746A9-1261-4660-A992-AE3851556FA5}"/>
    <cellStyle name="Standard 6 3 4 4 5" xfId="8693" xr:uid="{00000000-0005-0000-0000-0000FC210000}"/>
    <cellStyle name="Standard 6 3 4 4 5 2" xfId="8694" xr:uid="{00000000-0005-0000-0000-0000FD210000}"/>
    <cellStyle name="Standard 6 3 4 4 5 2 2" xfId="8695" xr:uid="{00000000-0005-0000-0000-0000FE210000}"/>
    <cellStyle name="Standard 6 3 4 4 5 2 2 2" xfId="20656" xr:uid="{FCFF0618-31AC-4704-B129-FC4AD0337964}"/>
    <cellStyle name="Standard 6 3 4 4 5 2 3" xfId="20655" xr:uid="{393796EC-228A-4868-850D-964A558D487C}"/>
    <cellStyle name="Standard 6 3 4 4 5 3" xfId="8696" xr:uid="{00000000-0005-0000-0000-0000FF210000}"/>
    <cellStyle name="Standard 6 3 4 4 5 3 2" xfId="20657" xr:uid="{393B2F03-61FB-451B-9012-E3984799155E}"/>
    <cellStyle name="Standard 6 3 4 4 5 4" xfId="20654" xr:uid="{A0CA41F2-1715-45EE-A2C9-37494AAE9E43}"/>
    <cellStyle name="Standard 6 3 4 4 6" xfId="8697" xr:uid="{00000000-0005-0000-0000-000000220000}"/>
    <cellStyle name="Standard 6 3 4 4 6 2" xfId="8698" xr:uid="{00000000-0005-0000-0000-000001220000}"/>
    <cellStyle name="Standard 6 3 4 4 6 2 2" xfId="8699" xr:uid="{00000000-0005-0000-0000-000002220000}"/>
    <cellStyle name="Standard 6 3 4 4 6 2 2 2" xfId="20660" xr:uid="{2CD04C30-2E25-4EEE-8CB5-CC4B5DFA2793}"/>
    <cellStyle name="Standard 6 3 4 4 6 2 3" xfId="20659" xr:uid="{46F260BA-0F71-4290-A815-13A71880861E}"/>
    <cellStyle name="Standard 6 3 4 4 6 3" xfId="8700" xr:uid="{00000000-0005-0000-0000-000003220000}"/>
    <cellStyle name="Standard 6 3 4 4 6 3 2" xfId="20661" xr:uid="{DACF4999-02CB-490D-B7C6-77D4CB5CCEF0}"/>
    <cellStyle name="Standard 6 3 4 4 6 4" xfId="20658" xr:uid="{474F888B-DEB7-4E15-B7F6-17C3258B5FCD}"/>
    <cellStyle name="Standard 6 3 4 4 7" xfId="8701" xr:uid="{00000000-0005-0000-0000-000004220000}"/>
    <cellStyle name="Standard 6 3 4 4 7 2" xfId="8702" xr:uid="{00000000-0005-0000-0000-000005220000}"/>
    <cellStyle name="Standard 6 3 4 4 7 2 2" xfId="8703" xr:uid="{00000000-0005-0000-0000-000006220000}"/>
    <cellStyle name="Standard 6 3 4 4 7 2 2 2" xfId="20664" xr:uid="{12E275D6-A068-4E19-8CCD-B32B7E36E606}"/>
    <cellStyle name="Standard 6 3 4 4 7 2 3" xfId="20663" xr:uid="{937E3460-59AE-487E-8A3F-2C3B84ED12FC}"/>
    <cellStyle name="Standard 6 3 4 4 7 3" xfId="8704" xr:uid="{00000000-0005-0000-0000-000007220000}"/>
    <cellStyle name="Standard 6 3 4 4 7 3 2" xfId="20665" xr:uid="{A85D8757-490E-4DE0-831C-6DF1C3606351}"/>
    <cellStyle name="Standard 6 3 4 4 7 4" xfId="20662" xr:uid="{1B18F7BE-880E-428D-B2BA-DB6B7CB6DB66}"/>
    <cellStyle name="Standard 6 3 4 4 8" xfId="8705" xr:uid="{00000000-0005-0000-0000-000008220000}"/>
    <cellStyle name="Standard 6 3 4 4 8 2" xfId="8706" xr:uid="{00000000-0005-0000-0000-000009220000}"/>
    <cellStyle name="Standard 6 3 4 4 8 2 2" xfId="8707" xr:uid="{00000000-0005-0000-0000-00000A220000}"/>
    <cellStyle name="Standard 6 3 4 4 8 2 2 2" xfId="20668" xr:uid="{D0445DD4-4776-419A-AEC8-22D2D1132C74}"/>
    <cellStyle name="Standard 6 3 4 4 8 2 3" xfId="20667" xr:uid="{AF1BB03F-2562-4B1D-8848-977FC3E86359}"/>
    <cellStyle name="Standard 6 3 4 4 8 3" xfId="8708" xr:uid="{00000000-0005-0000-0000-00000B220000}"/>
    <cellStyle name="Standard 6 3 4 4 8 3 2" xfId="20669" xr:uid="{2566E21D-B101-4DF7-8181-0DEB98BEB442}"/>
    <cellStyle name="Standard 6 3 4 4 8 4" xfId="20666" xr:uid="{E944AFC7-E030-4155-B8C6-6AA49C46EA38}"/>
    <cellStyle name="Standard 6 3 4 4 9" xfId="8709" xr:uid="{00000000-0005-0000-0000-00000C220000}"/>
    <cellStyle name="Standard 6 3 4 4 9 2" xfId="8710" xr:uid="{00000000-0005-0000-0000-00000D220000}"/>
    <cellStyle name="Standard 6 3 4 4 9 2 2" xfId="20671" xr:uid="{401962E5-2C0C-421E-B4F6-C6B36AB43819}"/>
    <cellStyle name="Standard 6 3 4 4 9 3" xfId="20670" xr:uid="{8419EC98-5997-4F4E-A1BC-F4F55411D225}"/>
    <cellStyle name="Standard 6 3 4 5" xfId="8711" xr:uid="{00000000-0005-0000-0000-00000E220000}"/>
    <cellStyle name="Standard 6 3 4 5 10" xfId="8712" xr:uid="{00000000-0005-0000-0000-00000F220000}"/>
    <cellStyle name="Standard 6 3 4 5 10 2" xfId="20673" xr:uid="{410832C9-E633-478E-8B0F-AAB54E96CB8F}"/>
    <cellStyle name="Standard 6 3 4 5 11" xfId="20672" xr:uid="{0093A9E7-B533-4360-81B6-126B00F8264A}"/>
    <cellStyle name="Standard 6 3 4 5 2" xfId="8713" xr:uid="{00000000-0005-0000-0000-000010220000}"/>
    <cellStyle name="Standard 6 3 4 5 2 10" xfId="20674" xr:uid="{4BFD473C-EC6B-49D6-A137-727726CC5559}"/>
    <cellStyle name="Standard 6 3 4 5 2 2" xfId="8714" xr:uid="{00000000-0005-0000-0000-000011220000}"/>
    <cellStyle name="Standard 6 3 4 5 2 2 2" xfId="8715" xr:uid="{00000000-0005-0000-0000-000012220000}"/>
    <cellStyle name="Standard 6 3 4 5 2 2 2 2" xfId="8716" xr:uid="{00000000-0005-0000-0000-000013220000}"/>
    <cellStyle name="Standard 6 3 4 5 2 2 2 2 2" xfId="20677" xr:uid="{F44BBCFF-EF8C-4C85-82F8-218DE8306991}"/>
    <cellStyle name="Standard 6 3 4 5 2 2 2 3" xfId="20676" xr:uid="{8DA86DDC-6C03-4AB2-AD8D-035EFA60658F}"/>
    <cellStyle name="Standard 6 3 4 5 2 2 3" xfId="8717" xr:uid="{00000000-0005-0000-0000-000014220000}"/>
    <cellStyle name="Standard 6 3 4 5 2 2 3 2" xfId="20678" xr:uid="{1E446C79-3B8F-4C58-93B2-36C3DA000C76}"/>
    <cellStyle name="Standard 6 3 4 5 2 2 4" xfId="20675" xr:uid="{696FCB60-DEA8-43FB-A3B9-073AF0DD7563}"/>
    <cellStyle name="Standard 6 3 4 5 2 3" xfId="8718" xr:uid="{00000000-0005-0000-0000-000015220000}"/>
    <cellStyle name="Standard 6 3 4 5 2 3 2" xfId="8719" xr:uid="{00000000-0005-0000-0000-000016220000}"/>
    <cellStyle name="Standard 6 3 4 5 2 3 2 2" xfId="8720" xr:uid="{00000000-0005-0000-0000-000017220000}"/>
    <cellStyle name="Standard 6 3 4 5 2 3 2 2 2" xfId="20681" xr:uid="{9A1F0796-DC13-44E1-9262-1253BD76DD0B}"/>
    <cellStyle name="Standard 6 3 4 5 2 3 2 3" xfId="20680" xr:uid="{5C1CB5AD-5EFE-4BF9-89BB-D31B777F053F}"/>
    <cellStyle name="Standard 6 3 4 5 2 3 3" xfId="8721" xr:uid="{00000000-0005-0000-0000-000018220000}"/>
    <cellStyle name="Standard 6 3 4 5 2 3 3 2" xfId="20682" xr:uid="{4F48A24D-8753-405F-AF82-110977613C23}"/>
    <cellStyle name="Standard 6 3 4 5 2 3 4" xfId="20679" xr:uid="{7EE01204-169B-4F21-8EDB-048E319B8038}"/>
    <cellStyle name="Standard 6 3 4 5 2 4" xfId="8722" xr:uid="{00000000-0005-0000-0000-000019220000}"/>
    <cellStyle name="Standard 6 3 4 5 2 4 2" xfId="8723" xr:uid="{00000000-0005-0000-0000-00001A220000}"/>
    <cellStyle name="Standard 6 3 4 5 2 4 2 2" xfId="8724" xr:uid="{00000000-0005-0000-0000-00001B220000}"/>
    <cellStyle name="Standard 6 3 4 5 2 4 2 2 2" xfId="20685" xr:uid="{C8FA1D4E-A759-4E37-9806-424BEC11FB25}"/>
    <cellStyle name="Standard 6 3 4 5 2 4 2 3" xfId="20684" xr:uid="{4FB8EA3B-AEE1-4A8F-A5CD-B18FCF6B5E94}"/>
    <cellStyle name="Standard 6 3 4 5 2 4 3" xfId="8725" xr:uid="{00000000-0005-0000-0000-00001C220000}"/>
    <cellStyle name="Standard 6 3 4 5 2 4 3 2" xfId="20686" xr:uid="{11BF6916-3079-4AE8-AD23-DFD7DC2A131B}"/>
    <cellStyle name="Standard 6 3 4 5 2 4 4" xfId="20683" xr:uid="{38C30201-2E48-48EE-A874-1EB0101FD765}"/>
    <cellStyle name="Standard 6 3 4 5 2 5" xfId="8726" xr:uid="{00000000-0005-0000-0000-00001D220000}"/>
    <cellStyle name="Standard 6 3 4 5 2 5 2" xfId="8727" xr:uid="{00000000-0005-0000-0000-00001E220000}"/>
    <cellStyle name="Standard 6 3 4 5 2 5 2 2" xfId="8728" xr:uid="{00000000-0005-0000-0000-00001F220000}"/>
    <cellStyle name="Standard 6 3 4 5 2 5 2 2 2" xfId="20689" xr:uid="{98DD56E1-0B45-4B9E-9FB6-BCC9897AAAE6}"/>
    <cellStyle name="Standard 6 3 4 5 2 5 2 3" xfId="20688" xr:uid="{A79A9B9D-6468-433D-A6B0-A0559E920740}"/>
    <cellStyle name="Standard 6 3 4 5 2 5 3" xfId="8729" xr:uid="{00000000-0005-0000-0000-000020220000}"/>
    <cellStyle name="Standard 6 3 4 5 2 5 3 2" xfId="20690" xr:uid="{71BFF526-6F04-434B-BF16-26C5AA081FB0}"/>
    <cellStyle name="Standard 6 3 4 5 2 5 4" xfId="20687" xr:uid="{D09E8397-7696-4097-AA4C-0D87B61C3374}"/>
    <cellStyle name="Standard 6 3 4 5 2 6" xfId="8730" xr:uid="{00000000-0005-0000-0000-000021220000}"/>
    <cellStyle name="Standard 6 3 4 5 2 6 2" xfId="8731" xr:uid="{00000000-0005-0000-0000-000022220000}"/>
    <cellStyle name="Standard 6 3 4 5 2 6 2 2" xfId="8732" xr:uid="{00000000-0005-0000-0000-000023220000}"/>
    <cellStyle name="Standard 6 3 4 5 2 6 2 2 2" xfId="20693" xr:uid="{2FF0735D-23DE-4688-A02A-22A2ABEEAAC8}"/>
    <cellStyle name="Standard 6 3 4 5 2 6 2 3" xfId="20692" xr:uid="{ED774E19-D1F1-4EB4-A353-FE65B036B388}"/>
    <cellStyle name="Standard 6 3 4 5 2 6 3" xfId="8733" xr:uid="{00000000-0005-0000-0000-000024220000}"/>
    <cellStyle name="Standard 6 3 4 5 2 6 3 2" xfId="20694" xr:uid="{BE50C957-859C-4884-BD84-CE0161788B41}"/>
    <cellStyle name="Standard 6 3 4 5 2 6 4" xfId="20691" xr:uid="{5BFB49AA-1E95-4AFF-BDBB-0BCB07362786}"/>
    <cellStyle name="Standard 6 3 4 5 2 7" xfId="8734" xr:uid="{00000000-0005-0000-0000-000025220000}"/>
    <cellStyle name="Standard 6 3 4 5 2 7 2" xfId="8735" xr:uid="{00000000-0005-0000-0000-000026220000}"/>
    <cellStyle name="Standard 6 3 4 5 2 7 2 2" xfId="8736" xr:uid="{00000000-0005-0000-0000-000027220000}"/>
    <cellStyle name="Standard 6 3 4 5 2 7 2 2 2" xfId="20697" xr:uid="{373127E6-53EA-4B44-9544-91D8EF04D7AE}"/>
    <cellStyle name="Standard 6 3 4 5 2 7 2 3" xfId="20696" xr:uid="{1CBDB3DF-5E34-49B9-9275-A2636DB1597D}"/>
    <cellStyle name="Standard 6 3 4 5 2 7 3" xfId="8737" xr:uid="{00000000-0005-0000-0000-000028220000}"/>
    <cellStyle name="Standard 6 3 4 5 2 7 3 2" xfId="20698" xr:uid="{FCB0ADE1-4E17-47FF-803D-D4EC745A4E5E}"/>
    <cellStyle name="Standard 6 3 4 5 2 7 4" xfId="20695" xr:uid="{F331780A-6BF1-410C-8D97-9E34423F461D}"/>
    <cellStyle name="Standard 6 3 4 5 2 8" xfId="8738" xr:uid="{00000000-0005-0000-0000-000029220000}"/>
    <cellStyle name="Standard 6 3 4 5 2 8 2" xfId="8739" xr:uid="{00000000-0005-0000-0000-00002A220000}"/>
    <cellStyle name="Standard 6 3 4 5 2 8 2 2" xfId="20700" xr:uid="{D8EE67AF-0C1D-4597-B95E-35B3807229C0}"/>
    <cellStyle name="Standard 6 3 4 5 2 8 3" xfId="20699" xr:uid="{D648A5F9-451D-48FD-91F6-D6B4D585B92C}"/>
    <cellStyle name="Standard 6 3 4 5 2 9" xfId="8740" xr:uid="{00000000-0005-0000-0000-00002B220000}"/>
    <cellStyle name="Standard 6 3 4 5 2 9 2" xfId="20701" xr:uid="{9052F845-CE2D-4917-9274-2AAD6D099780}"/>
    <cellStyle name="Standard 6 3 4 5 3" xfId="8741" xr:uid="{00000000-0005-0000-0000-00002C220000}"/>
    <cellStyle name="Standard 6 3 4 5 3 2" xfId="8742" xr:uid="{00000000-0005-0000-0000-00002D220000}"/>
    <cellStyle name="Standard 6 3 4 5 3 2 2" xfId="8743" xr:uid="{00000000-0005-0000-0000-00002E220000}"/>
    <cellStyle name="Standard 6 3 4 5 3 2 2 2" xfId="20704" xr:uid="{61F5379C-7C07-4517-95A7-EC4930AE7B7C}"/>
    <cellStyle name="Standard 6 3 4 5 3 2 3" xfId="20703" xr:uid="{67DFFC61-9ED1-4D33-BEB0-D83DA1D4B29D}"/>
    <cellStyle name="Standard 6 3 4 5 3 3" xfId="8744" xr:uid="{00000000-0005-0000-0000-00002F220000}"/>
    <cellStyle name="Standard 6 3 4 5 3 3 2" xfId="20705" xr:uid="{3F14D0EA-7A8E-4578-9DCF-685ED637E3FB}"/>
    <cellStyle name="Standard 6 3 4 5 3 4" xfId="20702" xr:uid="{8158313B-4DE6-4C65-8EC0-DE2E7C1B3BB8}"/>
    <cellStyle name="Standard 6 3 4 5 4" xfId="8745" xr:uid="{00000000-0005-0000-0000-000030220000}"/>
    <cellStyle name="Standard 6 3 4 5 4 2" xfId="8746" xr:uid="{00000000-0005-0000-0000-000031220000}"/>
    <cellStyle name="Standard 6 3 4 5 4 2 2" xfId="8747" xr:uid="{00000000-0005-0000-0000-000032220000}"/>
    <cellStyle name="Standard 6 3 4 5 4 2 2 2" xfId="20708" xr:uid="{A118E8F0-7087-453E-A689-B63F0BC49441}"/>
    <cellStyle name="Standard 6 3 4 5 4 2 3" xfId="20707" xr:uid="{09EFAC7B-AD2C-4AEB-89DE-5791B3FCFB51}"/>
    <cellStyle name="Standard 6 3 4 5 4 3" xfId="8748" xr:uid="{00000000-0005-0000-0000-000033220000}"/>
    <cellStyle name="Standard 6 3 4 5 4 3 2" xfId="20709" xr:uid="{353A44C5-BF18-4B10-886D-BB347CB6B09D}"/>
    <cellStyle name="Standard 6 3 4 5 4 4" xfId="20706" xr:uid="{2DD0E23C-9FC2-42BF-AE63-059D1674EBC9}"/>
    <cellStyle name="Standard 6 3 4 5 5" xfId="8749" xr:uid="{00000000-0005-0000-0000-000034220000}"/>
    <cellStyle name="Standard 6 3 4 5 5 2" xfId="8750" xr:uid="{00000000-0005-0000-0000-000035220000}"/>
    <cellStyle name="Standard 6 3 4 5 5 2 2" xfId="8751" xr:uid="{00000000-0005-0000-0000-000036220000}"/>
    <cellStyle name="Standard 6 3 4 5 5 2 2 2" xfId="20712" xr:uid="{C5D2C4A2-F221-4264-980D-CFB37330DCDA}"/>
    <cellStyle name="Standard 6 3 4 5 5 2 3" xfId="20711" xr:uid="{68F0759C-12E7-4E89-A874-F1A9E00D6BEC}"/>
    <cellStyle name="Standard 6 3 4 5 5 3" xfId="8752" xr:uid="{00000000-0005-0000-0000-000037220000}"/>
    <cellStyle name="Standard 6 3 4 5 5 3 2" xfId="20713" xr:uid="{6618562B-A208-40E5-808E-BE7ED1E18291}"/>
    <cellStyle name="Standard 6 3 4 5 5 4" xfId="20710" xr:uid="{1452D3E2-93AD-4BAA-887B-4B515BDA1B45}"/>
    <cellStyle name="Standard 6 3 4 5 6" xfId="8753" xr:uid="{00000000-0005-0000-0000-000038220000}"/>
    <cellStyle name="Standard 6 3 4 5 6 2" xfId="8754" xr:uid="{00000000-0005-0000-0000-000039220000}"/>
    <cellStyle name="Standard 6 3 4 5 6 2 2" xfId="8755" xr:uid="{00000000-0005-0000-0000-00003A220000}"/>
    <cellStyle name="Standard 6 3 4 5 6 2 2 2" xfId="20716" xr:uid="{8988BAFD-E1C6-41EC-9821-13EA8777A9BE}"/>
    <cellStyle name="Standard 6 3 4 5 6 2 3" xfId="20715" xr:uid="{6835C388-41BC-4C6F-8BBE-3AAD4CB238D2}"/>
    <cellStyle name="Standard 6 3 4 5 6 3" xfId="8756" xr:uid="{00000000-0005-0000-0000-00003B220000}"/>
    <cellStyle name="Standard 6 3 4 5 6 3 2" xfId="20717" xr:uid="{06100E05-3296-4BA6-BB9C-DD6775EDDB68}"/>
    <cellStyle name="Standard 6 3 4 5 6 4" xfId="20714" xr:uid="{068AE2E2-601F-44C5-9E50-B1C576B3DF40}"/>
    <cellStyle name="Standard 6 3 4 5 7" xfId="8757" xr:uid="{00000000-0005-0000-0000-00003C220000}"/>
    <cellStyle name="Standard 6 3 4 5 7 2" xfId="8758" xr:uid="{00000000-0005-0000-0000-00003D220000}"/>
    <cellStyle name="Standard 6 3 4 5 7 2 2" xfId="8759" xr:uid="{00000000-0005-0000-0000-00003E220000}"/>
    <cellStyle name="Standard 6 3 4 5 7 2 2 2" xfId="20720" xr:uid="{90BA5044-2002-45AC-B339-652424C5617E}"/>
    <cellStyle name="Standard 6 3 4 5 7 2 3" xfId="20719" xr:uid="{99425A8B-91E8-458A-B447-8A143991790D}"/>
    <cellStyle name="Standard 6 3 4 5 7 3" xfId="8760" xr:uid="{00000000-0005-0000-0000-00003F220000}"/>
    <cellStyle name="Standard 6 3 4 5 7 3 2" xfId="20721" xr:uid="{869235CF-0777-4EF7-B83E-8D1096EDDB81}"/>
    <cellStyle name="Standard 6 3 4 5 7 4" xfId="20718" xr:uid="{70D411F5-6104-4516-8D14-0D72E5E9D33C}"/>
    <cellStyle name="Standard 6 3 4 5 8" xfId="8761" xr:uid="{00000000-0005-0000-0000-000040220000}"/>
    <cellStyle name="Standard 6 3 4 5 8 2" xfId="8762" xr:uid="{00000000-0005-0000-0000-000041220000}"/>
    <cellStyle name="Standard 6 3 4 5 8 2 2" xfId="8763" xr:uid="{00000000-0005-0000-0000-000042220000}"/>
    <cellStyle name="Standard 6 3 4 5 8 2 2 2" xfId="20724" xr:uid="{9932566B-814B-4147-ADC6-618CDA4C30DE}"/>
    <cellStyle name="Standard 6 3 4 5 8 2 3" xfId="20723" xr:uid="{98C18D46-39E8-4A5A-B985-9CADFD576424}"/>
    <cellStyle name="Standard 6 3 4 5 8 3" xfId="8764" xr:uid="{00000000-0005-0000-0000-000043220000}"/>
    <cellStyle name="Standard 6 3 4 5 8 3 2" xfId="20725" xr:uid="{FD8A5E67-8DFA-44F2-AD9A-9F6D5D9C5131}"/>
    <cellStyle name="Standard 6 3 4 5 8 4" xfId="20722" xr:uid="{6B35921D-459C-4C68-9AE8-088C6EDC28D7}"/>
    <cellStyle name="Standard 6 3 4 5 9" xfId="8765" xr:uid="{00000000-0005-0000-0000-000044220000}"/>
    <cellStyle name="Standard 6 3 4 5 9 2" xfId="8766" xr:uid="{00000000-0005-0000-0000-000045220000}"/>
    <cellStyle name="Standard 6 3 4 5 9 2 2" xfId="20727" xr:uid="{A97495C0-D718-48DC-AE13-76F2053E3D71}"/>
    <cellStyle name="Standard 6 3 4 5 9 3" xfId="20726" xr:uid="{C0814EC9-9F90-4F0F-B899-8CDA6EAD15AA}"/>
    <cellStyle name="Standard 6 3 4 6" xfId="8767" xr:uid="{00000000-0005-0000-0000-000046220000}"/>
    <cellStyle name="Standard 6 3 4 6 10" xfId="8768" xr:uid="{00000000-0005-0000-0000-000047220000}"/>
    <cellStyle name="Standard 6 3 4 6 10 2" xfId="20729" xr:uid="{74FDD683-C612-41B1-8CCB-C9C77DC70A8F}"/>
    <cellStyle name="Standard 6 3 4 6 11" xfId="20728" xr:uid="{1F8D4AA8-FB9F-4D63-817D-F848C78AC14E}"/>
    <cellStyle name="Standard 6 3 4 6 2" xfId="8769" xr:uid="{00000000-0005-0000-0000-000048220000}"/>
    <cellStyle name="Standard 6 3 4 6 2 10" xfId="20730" xr:uid="{458E52B3-98C3-4019-9E4C-0383057A6D5B}"/>
    <cellStyle name="Standard 6 3 4 6 2 2" xfId="8770" xr:uid="{00000000-0005-0000-0000-000049220000}"/>
    <cellStyle name="Standard 6 3 4 6 2 2 2" xfId="8771" xr:uid="{00000000-0005-0000-0000-00004A220000}"/>
    <cellStyle name="Standard 6 3 4 6 2 2 2 2" xfId="8772" xr:uid="{00000000-0005-0000-0000-00004B220000}"/>
    <cellStyle name="Standard 6 3 4 6 2 2 2 2 2" xfId="20733" xr:uid="{70054F69-E3AD-4D36-BB6F-2A9495DD6591}"/>
    <cellStyle name="Standard 6 3 4 6 2 2 2 3" xfId="20732" xr:uid="{8C34C133-18B0-476D-9F54-E4317A205D0C}"/>
    <cellStyle name="Standard 6 3 4 6 2 2 3" xfId="8773" xr:uid="{00000000-0005-0000-0000-00004C220000}"/>
    <cellStyle name="Standard 6 3 4 6 2 2 3 2" xfId="20734" xr:uid="{E80926E3-82BE-4639-AD94-1FBB6EA287B2}"/>
    <cellStyle name="Standard 6 3 4 6 2 2 4" xfId="20731" xr:uid="{86C47C2C-217F-4BEB-A11B-81F595FCB718}"/>
    <cellStyle name="Standard 6 3 4 6 2 3" xfId="8774" xr:uid="{00000000-0005-0000-0000-00004D220000}"/>
    <cellStyle name="Standard 6 3 4 6 2 3 2" xfId="8775" xr:uid="{00000000-0005-0000-0000-00004E220000}"/>
    <cellStyle name="Standard 6 3 4 6 2 3 2 2" xfId="8776" xr:uid="{00000000-0005-0000-0000-00004F220000}"/>
    <cellStyle name="Standard 6 3 4 6 2 3 2 2 2" xfId="20737" xr:uid="{3E2047A5-1FB2-4069-9F32-6DBE12F4A3D4}"/>
    <cellStyle name="Standard 6 3 4 6 2 3 2 3" xfId="20736" xr:uid="{8C9B833A-91C0-47CE-AABE-6726F500F5A3}"/>
    <cellStyle name="Standard 6 3 4 6 2 3 3" xfId="8777" xr:uid="{00000000-0005-0000-0000-000050220000}"/>
    <cellStyle name="Standard 6 3 4 6 2 3 3 2" xfId="20738" xr:uid="{01DE0BF0-7221-42F0-8242-E8CB5CE9310E}"/>
    <cellStyle name="Standard 6 3 4 6 2 3 4" xfId="20735" xr:uid="{A2BA4A96-EBC8-4E5A-B8BA-0CA207D3A899}"/>
    <cellStyle name="Standard 6 3 4 6 2 4" xfId="8778" xr:uid="{00000000-0005-0000-0000-000051220000}"/>
    <cellStyle name="Standard 6 3 4 6 2 4 2" xfId="8779" xr:uid="{00000000-0005-0000-0000-000052220000}"/>
    <cellStyle name="Standard 6 3 4 6 2 4 2 2" xfId="8780" xr:uid="{00000000-0005-0000-0000-000053220000}"/>
    <cellStyle name="Standard 6 3 4 6 2 4 2 2 2" xfId="20741" xr:uid="{25A20578-9019-451D-86A0-47CCC2B0A82E}"/>
    <cellStyle name="Standard 6 3 4 6 2 4 2 3" xfId="20740" xr:uid="{9001A631-DF6B-40C2-A1AB-B1DD63995323}"/>
    <cellStyle name="Standard 6 3 4 6 2 4 3" xfId="8781" xr:uid="{00000000-0005-0000-0000-000054220000}"/>
    <cellStyle name="Standard 6 3 4 6 2 4 3 2" xfId="20742" xr:uid="{9E4E62B2-567E-4F53-8425-73A73BE186F1}"/>
    <cellStyle name="Standard 6 3 4 6 2 4 4" xfId="20739" xr:uid="{7FC2F813-E132-42A3-803F-757F5CA16EF7}"/>
    <cellStyle name="Standard 6 3 4 6 2 5" xfId="8782" xr:uid="{00000000-0005-0000-0000-000055220000}"/>
    <cellStyle name="Standard 6 3 4 6 2 5 2" xfId="8783" xr:uid="{00000000-0005-0000-0000-000056220000}"/>
    <cellStyle name="Standard 6 3 4 6 2 5 2 2" xfId="8784" xr:uid="{00000000-0005-0000-0000-000057220000}"/>
    <cellStyle name="Standard 6 3 4 6 2 5 2 2 2" xfId="20745" xr:uid="{F8878A3F-C245-4BFD-8541-B623D42C4F9A}"/>
    <cellStyle name="Standard 6 3 4 6 2 5 2 3" xfId="20744" xr:uid="{91CA49A9-F11D-4AC4-B103-C7B3AB60E696}"/>
    <cellStyle name="Standard 6 3 4 6 2 5 3" xfId="8785" xr:uid="{00000000-0005-0000-0000-000058220000}"/>
    <cellStyle name="Standard 6 3 4 6 2 5 3 2" xfId="20746" xr:uid="{28AA59E4-8D53-4230-82B1-C5F41C12151F}"/>
    <cellStyle name="Standard 6 3 4 6 2 5 4" xfId="20743" xr:uid="{4B0BC188-5809-43CE-9C5E-472B68EFCD54}"/>
    <cellStyle name="Standard 6 3 4 6 2 6" xfId="8786" xr:uid="{00000000-0005-0000-0000-000059220000}"/>
    <cellStyle name="Standard 6 3 4 6 2 6 2" xfId="8787" xr:uid="{00000000-0005-0000-0000-00005A220000}"/>
    <cellStyle name="Standard 6 3 4 6 2 6 2 2" xfId="8788" xr:uid="{00000000-0005-0000-0000-00005B220000}"/>
    <cellStyle name="Standard 6 3 4 6 2 6 2 2 2" xfId="20749" xr:uid="{A9851924-9BE9-4B7A-8BF4-E3A675F1D369}"/>
    <cellStyle name="Standard 6 3 4 6 2 6 2 3" xfId="20748" xr:uid="{561756F8-0B23-4831-9784-EDA1FDCE1E26}"/>
    <cellStyle name="Standard 6 3 4 6 2 6 3" xfId="8789" xr:uid="{00000000-0005-0000-0000-00005C220000}"/>
    <cellStyle name="Standard 6 3 4 6 2 6 3 2" xfId="20750" xr:uid="{58D0F574-7962-40EC-940D-5639E4842D2D}"/>
    <cellStyle name="Standard 6 3 4 6 2 6 4" xfId="20747" xr:uid="{325C0ACD-D092-4908-B9F1-46CE60E5F091}"/>
    <cellStyle name="Standard 6 3 4 6 2 7" xfId="8790" xr:uid="{00000000-0005-0000-0000-00005D220000}"/>
    <cellStyle name="Standard 6 3 4 6 2 7 2" xfId="8791" xr:uid="{00000000-0005-0000-0000-00005E220000}"/>
    <cellStyle name="Standard 6 3 4 6 2 7 2 2" xfId="8792" xr:uid="{00000000-0005-0000-0000-00005F220000}"/>
    <cellStyle name="Standard 6 3 4 6 2 7 2 2 2" xfId="20753" xr:uid="{04B7798F-2AB4-49F8-BB67-6591B6424A1A}"/>
    <cellStyle name="Standard 6 3 4 6 2 7 2 3" xfId="20752" xr:uid="{7E3B5870-36BA-4CC1-9825-199695AE9D79}"/>
    <cellStyle name="Standard 6 3 4 6 2 7 3" xfId="8793" xr:uid="{00000000-0005-0000-0000-000060220000}"/>
    <cellStyle name="Standard 6 3 4 6 2 7 3 2" xfId="20754" xr:uid="{33442FBD-CA8B-498B-90BA-530E1329F1F4}"/>
    <cellStyle name="Standard 6 3 4 6 2 7 4" xfId="20751" xr:uid="{7663777A-B084-4CA0-A04B-56C2383FA99A}"/>
    <cellStyle name="Standard 6 3 4 6 2 8" xfId="8794" xr:uid="{00000000-0005-0000-0000-000061220000}"/>
    <cellStyle name="Standard 6 3 4 6 2 8 2" xfId="8795" xr:uid="{00000000-0005-0000-0000-000062220000}"/>
    <cellStyle name="Standard 6 3 4 6 2 8 2 2" xfId="20756" xr:uid="{5E41156D-5D4F-4717-B22A-E5947474623C}"/>
    <cellStyle name="Standard 6 3 4 6 2 8 3" xfId="20755" xr:uid="{E9C54FB7-4291-48BA-8BD6-B75CDCEFC2F1}"/>
    <cellStyle name="Standard 6 3 4 6 2 9" xfId="8796" xr:uid="{00000000-0005-0000-0000-000063220000}"/>
    <cellStyle name="Standard 6 3 4 6 2 9 2" xfId="20757" xr:uid="{69F17B4C-3BF0-4724-9321-F33F6FE10419}"/>
    <cellStyle name="Standard 6 3 4 6 3" xfId="8797" xr:uid="{00000000-0005-0000-0000-000064220000}"/>
    <cellStyle name="Standard 6 3 4 6 3 2" xfId="8798" xr:uid="{00000000-0005-0000-0000-000065220000}"/>
    <cellStyle name="Standard 6 3 4 6 3 2 2" xfId="8799" xr:uid="{00000000-0005-0000-0000-000066220000}"/>
    <cellStyle name="Standard 6 3 4 6 3 2 2 2" xfId="20760" xr:uid="{889074F3-EAED-4279-8C39-AA33D7914008}"/>
    <cellStyle name="Standard 6 3 4 6 3 2 3" xfId="20759" xr:uid="{579DC4DD-013C-43C6-ADD3-176E0FEC82BB}"/>
    <cellStyle name="Standard 6 3 4 6 3 3" xfId="8800" xr:uid="{00000000-0005-0000-0000-000067220000}"/>
    <cellStyle name="Standard 6 3 4 6 3 3 2" xfId="20761" xr:uid="{A6620AFE-4A19-4C65-94E8-1D1A6D91D456}"/>
    <cellStyle name="Standard 6 3 4 6 3 4" xfId="20758" xr:uid="{C46C5F8B-0BAB-4F43-B291-81EA50BCE0AB}"/>
    <cellStyle name="Standard 6 3 4 6 4" xfId="8801" xr:uid="{00000000-0005-0000-0000-000068220000}"/>
    <cellStyle name="Standard 6 3 4 6 4 2" xfId="8802" xr:uid="{00000000-0005-0000-0000-000069220000}"/>
    <cellStyle name="Standard 6 3 4 6 4 2 2" xfId="8803" xr:uid="{00000000-0005-0000-0000-00006A220000}"/>
    <cellStyle name="Standard 6 3 4 6 4 2 2 2" xfId="20764" xr:uid="{9CCC56ED-ECB9-4D3F-B3B0-4AF662F2320B}"/>
    <cellStyle name="Standard 6 3 4 6 4 2 3" xfId="20763" xr:uid="{9B497D5C-B18F-4867-B83B-1C5031DB2857}"/>
    <cellStyle name="Standard 6 3 4 6 4 3" xfId="8804" xr:uid="{00000000-0005-0000-0000-00006B220000}"/>
    <cellStyle name="Standard 6 3 4 6 4 3 2" xfId="20765" xr:uid="{893E0F81-0CC3-4979-8309-D70E3A7C6E73}"/>
    <cellStyle name="Standard 6 3 4 6 4 4" xfId="20762" xr:uid="{F8B2DEC4-8E4A-41AC-BD86-B1A08AE79F8D}"/>
    <cellStyle name="Standard 6 3 4 6 5" xfId="8805" xr:uid="{00000000-0005-0000-0000-00006C220000}"/>
    <cellStyle name="Standard 6 3 4 6 5 2" xfId="8806" xr:uid="{00000000-0005-0000-0000-00006D220000}"/>
    <cellStyle name="Standard 6 3 4 6 5 2 2" xfId="8807" xr:uid="{00000000-0005-0000-0000-00006E220000}"/>
    <cellStyle name="Standard 6 3 4 6 5 2 2 2" xfId="20768" xr:uid="{6061525C-118F-4EA5-BC91-2F09E2E648B0}"/>
    <cellStyle name="Standard 6 3 4 6 5 2 3" xfId="20767" xr:uid="{37A8502F-1513-44FB-9FFD-FBFC13CF4B87}"/>
    <cellStyle name="Standard 6 3 4 6 5 3" xfId="8808" xr:uid="{00000000-0005-0000-0000-00006F220000}"/>
    <cellStyle name="Standard 6 3 4 6 5 3 2" xfId="20769" xr:uid="{B486DF2A-0B62-4957-965E-787585E28FD1}"/>
    <cellStyle name="Standard 6 3 4 6 5 4" xfId="20766" xr:uid="{FD8D85C2-74E5-43D5-8500-8D220D7C2E1D}"/>
    <cellStyle name="Standard 6 3 4 6 6" xfId="8809" xr:uid="{00000000-0005-0000-0000-000070220000}"/>
    <cellStyle name="Standard 6 3 4 6 6 2" xfId="8810" xr:uid="{00000000-0005-0000-0000-000071220000}"/>
    <cellStyle name="Standard 6 3 4 6 6 2 2" xfId="8811" xr:uid="{00000000-0005-0000-0000-000072220000}"/>
    <cellStyle name="Standard 6 3 4 6 6 2 2 2" xfId="20772" xr:uid="{F2C1C113-8771-4278-B982-AA3E2C42218E}"/>
    <cellStyle name="Standard 6 3 4 6 6 2 3" xfId="20771" xr:uid="{ADD37D48-9276-4F08-A6FD-9FD2F614408C}"/>
    <cellStyle name="Standard 6 3 4 6 6 3" xfId="8812" xr:uid="{00000000-0005-0000-0000-000073220000}"/>
    <cellStyle name="Standard 6 3 4 6 6 3 2" xfId="20773" xr:uid="{807608B6-AFDF-4E0A-9E49-5C2FADAC1775}"/>
    <cellStyle name="Standard 6 3 4 6 6 4" xfId="20770" xr:uid="{1F2D4760-1E64-43ED-8EBA-36C7FAAAC775}"/>
    <cellStyle name="Standard 6 3 4 6 7" xfId="8813" xr:uid="{00000000-0005-0000-0000-000074220000}"/>
    <cellStyle name="Standard 6 3 4 6 7 2" xfId="8814" xr:uid="{00000000-0005-0000-0000-000075220000}"/>
    <cellStyle name="Standard 6 3 4 6 7 2 2" xfId="8815" xr:uid="{00000000-0005-0000-0000-000076220000}"/>
    <cellStyle name="Standard 6 3 4 6 7 2 2 2" xfId="20776" xr:uid="{F64A3795-92E9-401E-916B-7E1D527A3B51}"/>
    <cellStyle name="Standard 6 3 4 6 7 2 3" xfId="20775" xr:uid="{666FA82A-9DF0-4B9E-8265-9AB1778ACF70}"/>
    <cellStyle name="Standard 6 3 4 6 7 3" xfId="8816" xr:uid="{00000000-0005-0000-0000-000077220000}"/>
    <cellStyle name="Standard 6 3 4 6 7 3 2" xfId="20777" xr:uid="{637BE4FA-6BD0-4C97-AADC-8F5DADA53E66}"/>
    <cellStyle name="Standard 6 3 4 6 7 4" xfId="20774" xr:uid="{3AAE2F74-7697-419C-91E6-07B96655A513}"/>
    <cellStyle name="Standard 6 3 4 6 8" xfId="8817" xr:uid="{00000000-0005-0000-0000-000078220000}"/>
    <cellStyle name="Standard 6 3 4 6 8 2" xfId="8818" xr:uid="{00000000-0005-0000-0000-000079220000}"/>
    <cellStyle name="Standard 6 3 4 6 8 2 2" xfId="8819" xr:uid="{00000000-0005-0000-0000-00007A220000}"/>
    <cellStyle name="Standard 6 3 4 6 8 2 2 2" xfId="20780" xr:uid="{63620FB6-6909-4168-A763-ED880F915A8C}"/>
    <cellStyle name="Standard 6 3 4 6 8 2 3" xfId="20779" xr:uid="{CC9A4B01-C962-466A-80BE-50682E6AF847}"/>
    <cellStyle name="Standard 6 3 4 6 8 3" xfId="8820" xr:uid="{00000000-0005-0000-0000-00007B220000}"/>
    <cellStyle name="Standard 6 3 4 6 8 3 2" xfId="20781" xr:uid="{E01F2BDB-8155-46F1-97BD-EA61850BACF6}"/>
    <cellStyle name="Standard 6 3 4 6 8 4" xfId="20778" xr:uid="{EC3FF366-1930-4AAA-B874-C84F8DC5264A}"/>
    <cellStyle name="Standard 6 3 4 6 9" xfId="8821" xr:uid="{00000000-0005-0000-0000-00007C220000}"/>
    <cellStyle name="Standard 6 3 4 6 9 2" xfId="8822" xr:uid="{00000000-0005-0000-0000-00007D220000}"/>
    <cellStyle name="Standard 6 3 4 6 9 2 2" xfId="20783" xr:uid="{EF3F5AD7-BB8C-443B-97EF-2810FC6A3321}"/>
    <cellStyle name="Standard 6 3 4 6 9 3" xfId="20782" xr:uid="{78401110-1D94-45A2-B95A-CB16B20D7207}"/>
    <cellStyle name="Standard 6 3 4 7" xfId="8823" xr:uid="{00000000-0005-0000-0000-00007E220000}"/>
    <cellStyle name="Standard 6 3 4 7 10" xfId="8824" xr:uid="{00000000-0005-0000-0000-00007F220000}"/>
    <cellStyle name="Standard 6 3 4 7 10 2" xfId="20785" xr:uid="{47742A86-BBC9-47F1-8A3D-0B3FC03EAFD9}"/>
    <cellStyle name="Standard 6 3 4 7 11" xfId="20784" xr:uid="{7AA3910E-9FC6-4C38-8986-284DC9EFA900}"/>
    <cellStyle name="Standard 6 3 4 7 2" xfId="8825" xr:uid="{00000000-0005-0000-0000-000080220000}"/>
    <cellStyle name="Standard 6 3 4 7 2 10" xfId="20786" xr:uid="{D1F5AA86-B82E-4A75-97BE-6C7811F0700F}"/>
    <cellStyle name="Standard 6 3 4 7 2 2" xfId="8826" xr:uid="{00000000-0005-0000-0000-000081220000}"/>
    <cellStyle name="Standard 6 3 4 7 2 2 2" xfId="8827" xr:uid="{00000000-0005-0000-0000-000082220000}"/>
    <cellStyle name="Standard 6 3 4 7 2 2 2 2" xfId="8828" xr:uid="{00000000-0005-0000-0000-000083220000}"/>
    <cellStyle name="Standard 6 3 4 7 2 2 2 2 2" xfId="20789" xr:uid="{A9DB6E6A-4CD6-4BDB-AB98-D037163BAC1A}"/>
    <cellStyle name="Standard 6 3 4 7 2 2 2 3" xfId="20788" xr:uid="{54863DAA-CC3E-4051-A49D-24BE93A9A6BE}"/>
    <cellStyle name="Standard 6 3 4 7 2 2 3" xfId="8829" xr:uid="{00000000-0005-0000-0000-000084220000}"/>
    <cellStyle name="Standard 6 3 4 7 2 2 3 2" xfId="20790" xr:uid="{6030E2D8-1A38-42B0-B281-0FEB58B38EAB}"/>
    <cellStyle name="Standard 6 3 4 7 2 2 4" xfId="20787" xr:uid="{092477B0-4CAB-4195-8EC5-6B188DC211F5}"/>
    <cellStyle name="Standard 6 3 4 7 2 3" xfId="8830" xr:uid="{00000000-0005-0000-0000-000085220000}"/>
    <cellStyle name="Standard 6 3 4 7 2 3 2" xfId="8831" xr:uid="{00000000-0005-0000-0000-000086220000}"/>
    <cellStyle name="Standard 6 3 4 7 2 3 2 2" xfId="8832" xr:uid="{00000000-0005-0000-0000-000087220000}"/>
    <cellStyle name="Standard 6 3 4 7 2 3 2 2 2" xfId="20793" xr:uid="{23DD9A4F-7EC6-4B77-B82B-376C6057BC42}"/>
    <cellStyle name="Standard 6 3 4 7 2 3 2 3" xfId="20792" xr:uid="{16E456F1-3388-4F85-9D35-4B37CF4F7BBB}"/>
    <cellStyle name="Standard 6 3 4 7 2 3 3" xfId="8833" xr:uid="{00000000-0005-0000-0000-000088220000}"/>
    <cellStyle name="Standard 6 3 4 7 2 3 3 2" xfId="20794" xr:uid="{880CD877-6F44-489C-B4A8-B46AA82359E4}"/>
    <cellStyle name="Standard 6 3 4 7 2 3 4" xfId="20791" xr:uid="{FE2213A0-C99A-4ED3-A7A8-4965DDED3DCE}"/>
    <cellStyle name="Standard 6 3 4 7 2 4" xfId="8834" xr:uid="{00000000-0005-0000-0000-000089220000}"/>
    <cellStyle name="Standard 6 3 4 7 2 4 2" xfId="8835" xr:uid="{00000000-0005-0000-0000-00008A220000}"/>
    <cellStyle name="Standard 6 3 4 7 2 4 2 2" xfId="8836" xr:uid="{00000000-0005-0000-0000-00008B220000}"/>
    <cellStyle name="Standard 6 3 4 7 2 4 2 2 2" xfId="20797" xr:uid="{2314D7AA-1FC5-491E-A508-D18D70048E96}"/>
    <cellStyle name="Standard 6 3 4 7 2 4 2 3" xfId="20796" xr:uid="{01A1D25A-29E7-4454-B19A-30801229A1D3}"/>
    <cellStyle name="Standard 6 3 4 7 2 4 3" xfId="8837" xr:uid="{00000000-0005-0000-0000-00008C220000}"/>
    <cellStyle name="Standard 6 3 4 7 2 4 3 2" xfId="20798" xr:uid="{7A20CC14-0399-42D4-9C38-4C36D721EA4F}"/>
    <cellStyle name="Standard 6 3 4 7 2 4 4" xfId="20795" xr:uid="{3C946A68-E0B3-466F-BC7C-41F535C8E94B}"/>
    <cellStyle name="Standard 6 3 4 7 2 5" xfId="8838" xr:uid="{00000000-0005-0000-0000-00008D220000}"/>
    <cellStyle name="Standard 6 3 4 7 2 5 2" xfId="8839" xr:uid="{00000000-0005-0000-0000-00008E220000}"/>
    <cellStyle name="Standard 6 3 4 7 2 5 2 2" xfId="8840" xr:uid="{00000000-0005-0000-0000-00008F220000}"/>
    <cellStyle name="Standard 6 3 4 7 2 5 2 2 2" xfId="20801" xr:uid="{05AA8304-F920-4861-962F-3C9F8F9913CF}"/>
    <cellStyle name="Standard 6 3 4 7 2 5 2 3" xfId="20800" xr:uid="{31962FB7-4248-4D82-8CB6-52D9BB32300B}"/>
    <cellStyle name="Standard 6 3 4 7 2 5 3" xfId="8841" xr:uid="{00000000-0005-0000-0000-000090220000}"/>
    <cellStyle name="Standard 6 3 4 7 2 5 3 2" xfId="20802" xr:uid="{92916C23-C0B3-470C-8AEC-A3CD9C823F80}"/>
    <cellStyle name="Standard 6 3 4 7 2 5 4" xfId="20799" xr:uid="{80C8D94C-34D2-408B-B161-BEDAE759B635}"/>
    <cellStyle name="Standard 6 3 4 7 2 6" xfId="8842" xr:uid="{00000000-0005-0000-0000-000091220000}"/>
    <cellStyle name="Standard 6 3 4 7 2 6 2" xfId="8843" xr:uid="{00000000-0005-0000-0000-000092220000}"/>
    <cellStyle name="Standard 6 3 4 7 2 6 2 2" xfId="8844" xr:uid="{00000000-0005-0000-0000-000093220000}"/>
    <cellStyle name="Standard 6 3 4 7 2 6 2 2 2" xfId="20805" xr:uid="{EE9F3215-2A58-4593-9CEC-417DD7C50AF6}"/>
    <cellStyle name="Standard 6 3 4 7 2 6 2 3" xfId="20804" xr:uid="{22A99D1F-5FE9-45AD-AD1D-76A6927A0037}"/>
    <cellStyle name="Standard 6 3 4 7 2 6 3" xfId="8845" xr:uid="{00000000-0005-0000-0000-000094220000}"/>
    <cellStyle name="Standard 6 3 4 7 2 6 3 2" xfId="20806" xr:uid="{7B7D61E7-E382-4BCC-81D7-5886EC6D5782}"/>
    <cellStyle name="Standard 6 3 4 7 2 6 4" xfId="20803" xr:uid="{A9EB2BB4-6A5E-419C-9908-8F05140CCB22}"/>
    <cellStyle name="Standard 6 3 4 7 2 7" xfId="8846" xr:uid="{00000000-0005-0000-0000-000095220000}"/>
    <cellStyle name="Standard 6 3 4 7 2 7 2" xfId="8847" xr:uid="{00000000-0005-0000-0000-000096220000}"/>
    <cellStyle name="Standard 6 3 4 7 2 7 2 2" xfId="8848" xr:uid="{00000000-0005-0000-0000-000097220000}"/>
    <cellStyle name="Standard 6 3 4 7 2 7 2 2 2" xfId="20809" xr:uid="{A2F20AA9-1A0B-412A-9033-65782BA26E68}"/>
    <cellStyle name="Standard 6 3 4 7 2 7 2 3" xfId="20808" xr:uid="{1E9C7BC3-B119-449C-9E1C-B2C8EA6699C5}"/>
    <cellStyle name="Standard 6 3 4 7 2 7 3" xfId="8849" xr:uid="{00000000-0005-0000-0000-000098220000}"/>
    <cellStyle name="Standard 6 3 4 7 2 7 3 2" xfId="20810" xr:uid="{F8CC9646-B2DB-4FA1-A886-41ABE19981C3}"/>
    <cellStyle name="Standard 6 3 4 7 2 7 4" xfId="20807" xr:uid="{C4E01DFC-143A-4C26-BEE8-388DE051C7CC}"/>
    <cellStyle name="Standard 6 3 4 7 2 8" xfId="8850" xr:uid="{00000000-0005-0000-0000-000099220000}"/>
    <cellStyle name="Standard 6 3 4 7 2 8 2" xfId="8851" xr:uid="{00000000-0005-0000-0000-00009A220000}"/>
    <cellStyle name="Standard 6 3 4 7 2 8 2 2" xfId="20812" xr:uid="{63463E28-42B9-47E2-9092-EE3CDEE3F20F}"/>
    <cellStyle name="Standard 6 3 4 7 2 8 3" xfId="20811" xr:uid="{25828E17-5033-46C9-8563-D8A2DAF8BC2D}"/>
    <cellStyle name="Standard 6 3 4 7 2 9" xfId="8852" xr:uid="{00000000-0005-0000-0000-00009B220000}"/>
    <cellStyle name="Standard 6 3 4 7 2 9 2" xfId="20813" xr:uid="{898B073B-A7E3-42C4-B9BA-8A66E3FAB108}"/>
    <cellStyle name="Standard 6 3 4 7 3" xfId="8853" xr:uid="{00000000-0005-0000-0000-00009C220000}"/>
    <cellStyle name="Standard 6 3 4 7 3 2" xfId="8854" xr:uid="{00000000-0005-0000-0000-00009D220000}"/>
    <cellStyle name="Standard 6 3 4 7 3 2 2" xfId="8855" xr:uid="{00000000-0005-0000-0000-00009E220000}"/>
    <cellStyle name="Standard 6 3 4 7 3 2 2 2" xfId="20816" xr:uid="{C91668D2-ADE7-41F8-8B1E-51E4FB1A50D8}"/>
    <cellStyle name="Standard 6 3 4 7 3 2 3" xfId="20815" xr:uid="{E634C1E8-042A-440B-81FB-677131D2E760}"/>
    <cellStyle name="Standard 6 3 4 7 3 3" xfId="8856" xr:uid="{00000000-0005-0000-0000-00009F220000}"/>
    <cellStyle name="Standard 6 3 4 7 3 3 2" xfId="20817" xr:uid="{A58A70D9-271D-4FE6-997D-7655240690AE}"/>
    <cellStyle name="Standard 6 3 4 7 3 4" xfId="20814" xr:uid="{C2128F6F-3BF5-4E7F-B708-ED42415D13E1}"/>
    <cellStyle name="Standard 6 3 4 7 4" xfId="8857" xr:uid="{00000000-0005-0000-0000-0000A0220000}"/>
    <cellStyle name="Standard 6 3 4 7 4 2" xfId="8858" xr:uid="{00000000-0005-0000-0000-0000A1220000}"/>
    <cellStyle name="Standard 6 3 4 7 4 2 2" xfId="8859" xr:uid="{00000000-0005-0000-0000-0000A2220000}"/>
    <cellStyle name="Standard 6 3 4 7 4 2 2 2" xfId="20820" xr:uid="{32770CEF-9707-407F-B3E5-65FC259F2023}"/>
    <cellStyle name="Standard 6 3 4 7 4 2 3" xfId="20819" xr:uid="{91DC95B5-6C2D-4BE3-BCFE-6B3B731EF0A7}"/>
    <cellStyle name="Standard 6 3 4 7 4 3" xfId="8860" xr:uid="{00000000-0005-0000-0000-0000A3220000}"/>
    <cellStyle name="Standard 6 3 4 7 4 3 2" xfId="20821" xr:uid="{BEA1C2CA-A948-475C-AC2C-3B9996688799}"/>
    <cellStyle name="Standard 6 3 4 7 4 4" xfId="20818" xr:uid="{477677E4-1DC3-429A-9986-CD90D01B7D16}"/>
    <cellStyle name="Standard 6 3 4 7 5" xfId="8861" xr:uid="{00000000-0005-0000-0000-0000A4220000}"/>
    <cellStyle name="Standard 6 3 4 7 5 2" xfId="8862" xr:uid="{00000000-0005-0000-0000-0000A5220000}"/>
    <cellStyle name="Standard 6 3 4 7 5 2 2" xfId="8863" xr:uid="{00000000-0005-0000-0000-0000A6220000}"/>
    <cellStyle name="Standard 6 3 4 7 5 2 2 2" xfId="20824" xr:uid="{EF372413-F6F4-4A20-92F0-F0F9028F9F0A}"/>
    <cellStyle name="Standard 6 3 4 7 5 2 3" xfId="20823" xr:uid="{384409CD-22F5-4C04-8802-54A97D95C07E}"/>
    <cellStyle name="Standard 6 3 4 7 5 3" xfId="8864" xr:uid="{00000000-0005-0000-0000-0000A7220000}"/>
    <cellStyle name="Standard 6 3 4 7 5 3 2" xfId="20825" xr:uid="{06C002FB-580A-4A42-8BBC-9778D3BFA45B}"/>
    <cellStyle name="Standard 6 3 4 7 5 4" xfId="20822" xr:uid="{7C5F8A42-4CE4-4E70-AB30-9F51762F9D3D}"/>
    <cellStyle name="Standard 6 3 4 7 6" xfId="8865" xr:uid="{00000000-0005-0000-0000-0000A8220000}"/>
    <cellStyle name="Standard 6 3 4 7 6 2" xfId="8866" xr:uid="{00000000-0005-0000-0000-0000A9220000}"/>
    <cellStyle name="Standard 6 3 4 7 6 2 2" xfId="8867" xr:uid="{00000000-0005-0000-0000-0000AA220000}"/>
    <cellStyle name="Standard 6 3 4 7 6 2 2 2" xfId="20828" xr:uid="{44E278DD-2342-4165-AE20-9E7B9B483A13}"/>
    <cellStyle name="Standard 6 3 4 7 6 2 3" xfId="20827" xr:uid="{4B400460-5F13-46C3-8507-DFC5D8818112}"/>
    <cellStyle name="Standard 6 3 4 7 6 3" xfId="8868" xr:uid="{00000000-0005-0000-0000-0000AB220000}"/>
    <cellStyle name="Standard 6 3 4 7 6 3 2" xfId="20829" xr:uid="{721354AF-B995-45E0-8460-DE9239B149C8}"/>
    <cellStyle name="Standard 6 3 4 7 6 4" xfId="20826" xr:uid="{0FF39246-D0FF-4F29-AB70-D12E7E47E5B7}"/>
    <cellStyle name="Standard 6 3 4 7 7" xfId="8869" xr:uid="{00000000-0005-0000-0000-0000AC220000}"/>
    <cellStyle name="Standard 6 3 4 7 7 2" xfId="8870" xr:uid="{00000000-0005-0000-0000-0000AD220000}"/>
    <cellStyle name="Standard 6 3 4 7 7 2 2" xfId="8871" xr:uid="{00000000-0005-0000-0000-0000AE220000}"/>
    <cellStyle name="Standard 6 3 4 7 7 2 2 2" xfId="20832" xr:uid="{1509E4AD-1DCA-4343-8B59-197F515B54BE}"/>
    <cellStyle name="Standard 6 3 4 7 7 2 3" xfId="20831" xr:uid="{F0A2D49A-5A25-4267-B63A-3FF44F7A9CEF}"/>
    <cellStyle name="Standard 6 3 4 7 7 3" xfId="8872" xr:uid="{00000000-0005-0000-0000-0000AF220000}"/>
    <cellStyle name="Standard 6 3 4 7 7 3 2" xfId="20833" xr:uid="{EE13CC0C-196D-4E7F-A967-1B63867FB4A9}"/>
    <cellStyle name="Standard 6 3 4 7 7 4" xfId="20830" xr:uid="{614BE115-D547-41CE-BE4A-D9C5F96FBF69}"/>
    <cellStyle name="Standard 6 3 4 7 8" xfId="8873" xr:uid="{00000000-0005-0000-0000-0000B0220000}"/>
    <cellStyle name="Standard 6 3 4 7 8 2" xfId="8874" xr:uid="{00000000-0005-0000-0000-0000B1220000}"/>
    <cellStyle name="Standard 6 3 4 7 8 2 2" xfId="8875" xr:uid="{00000000-0005-0000-0000-0000B2220000}"/>
    <cellStyle name="Standard 6 3 4 7 8 2 2 2" xfId="20836" xr:uid="{3414A5C3-1679-4689-9149-DB28055DAA46}"/>
    <cellStyle name="Standard 6 3 4 7 8 2 3" xfId="20835" xr:uid="{C2EE4F1E-4A2D-4233-807B-A1BB4B4AC7AB}"/>
    <cellStyle name="Standard 6 3 4 7 8 3" xfId="8876" xr:uid="{00000000-0005-0000-0000-0000B3220000}"/>
    <cellStyle name="Standard 6 3 4 7 8 3 2" xfId="20837" xr:uid="{B69151E1-4E32-4434-9498-D76C52470A13}"/>
    <cellStyle name="Standard 6 3 4 7 8 4" xfId="20834" xr:uid="{55E150E4-9DCE-4798-BEB5-CDF75F5DBE0C}"/>
    <cellStyle name="Standard 6 3 4 7 9" xfId="8877" xr:uid="{00000000-0005-0000-0000-0000B4220000}"/>
    <cellStyle name="Standard 6 3 4 7 9 2" xfId="8878" xr:uid="{00000000-0005-0000-0000-0000B5220000}"/>
    <cellStyle name="Standard 6 3 4 7 9 2 2" xfId="20839" xr:uid="{F8CAD77B-EF20-4985-A512-494E203EF4D7}"/>
    <cellStyle name="Standard 6 3 4 7 9 3" xfId="20838" xr:uid="{EF29697A-6CCD-4409-921F-75AFE65C68CC}"/>
    <cellStyle name="Standard 6 3 4 8" xfId="8879" xr:uid="{00000000-0005-0000-0000-0000B6220000}"/>
    <cellStyle name="Standard 6 3 4 8 10" xfId="20840" xr:uid="{BF15AC0F-C18F-4C9D-ACD3-C30A1BD3F69C}"/>
    <cellStyle name="Standard 6 3 4 8 2" xfId="8880" xr:uid="{00000000-0005-0000-0000-0000B7220000}"/>
    <cellStyle name="Standard 6 3 4 8 2 2" xfId="8881" xr:uid="{00000000-0005-0000-0000-0000B8220000}"/>
    <cellStyle name="Standard 6 3 4 8 2 2 2" xfId="8882" xr:uid="{00000000-0005-0000-0000-0000B9220000}"/>
    <cellStyle name="Standard 6 3 4 8 2 2 2 2" xfId="20843" xr:uid="{BC0F51E7-097D-4968-8211-373B6D7D31D7}"/>
    <cellStyle name="Standard 6 3 4 8 2 2 3" xfId="20842" xr:uid="{304C5940-2F82-4A8F-8D42-B8A059414BDC}"/>
    <cellStyle name="Standard 6 3 4 8 2 3" xfId="8883" xr:uid="{00000000-0005-0000-0000-0000BA220000}"/>
    <cellStyle name="Standard 6 3 4 8 2 3 2" xfId="20844" xr:uid="{E90C049E-BB5E-4D04-9EE6-DD0F682D66AD}"/>
    <cellStyle name="Standard 6 3 4 8 2 4" xfId="20841" xr:uid="{7EB1302D-1252-4B3A-BF5A-D0C192DD094B}"/>
    <cellStyle name="Standard 6 3 4 8 3" xfId="8884" xr:uid="{00000000-0005-0000-0000-0000BB220000}"/>
    <cellStyle name="Standard 6 3 4 8 3 2" xfId="8885" xr:uid="{00000000-0005-0000-0000-0000BC220000}"/>
    <cellStyle name="Standard 6 3 4 8 3 2 2" xfId="8886" xr:uid="{00000000-0005-0000-0000-0000BD220000}"/>
    <cellStyle name="Standard 6 3 4 8 3 2 2 2" xfId="20847" xr:uid="{727ED22A-5BC2-4EDB-960B-222088BB4642}"/>
    <cellStyle name="Standard 6 3 4 8 3 2 3" xfId="20846" xr:uid="{F71ED4DD-4EA9-4CB5-B8FC-1179031DE677}"/>
    <cellStyle name="Standard 6 3 4 8 3 3" xfId="8887" xr:uid="{00000000-0005-0000-0000-0000BE220000}"/>
    <cellStyle name="Standard 6 3 4 8 3 3 2" xfId="20848" xr:uid="{BB6EB7B8-E4F5-44C7-9B54-5E62550C334B}"/>
    <cellStyle name="Standard 6 3 4 8 3 4" xfId="20845" xr:uid="{38AF0013-E0C1-443C-94A5-24C17EF360B0}"/>
    <cellStyle name="Standard 6 3 4 8 4" xfId="8888" xr:uid="{00000000-0005-0000-0000-0000BF220000}"/>
    <cellStyle name="Standard 6 3 4 8 4 2" xfId="8889" xr:uid="{00000000-0005-0000-0000-0000C0220000}"/>
    <cellStyle name="Standard 6 3 4 8 4 2 2" xfId="8890" xr:uid="{00000000-0005-0000-0000-0000C1220000}"/>
    <cellStyle name="Standard 6 3 4 8 4 2 2 2" xfId="20851" xr:uid="{5B28F26B-C447-4483-8E3C-0475E6975E23}"/>
    <cellStyle name="Standard 6 3 4 8 4 2 3" xfId="20850" xr:uid="{FEA78BD8-8709-4CCD-A0EA-EB0AE604A138}"/>
    <cellStyle name="Standard 6 3 4 8 4 3" xfId="8891" xr:uid="{00000000-0005-0000-0000-0000C2220000}"/>
    <cellStyle name="Standard 6 3 4 8 4 3 2" xfId="20852" xr:uid="{477EA10E-D37D-40DB-BE43-754D745F3DAE}"/>
    <cellStyle name="Standard 6 3 4 8 4 4" xfId="20849" xr:uid="{72BE55C7-A014-4019-9A2B-6ECF922BD9F0}"/>
    <cellStyle name="Standard 6 3 4 8 5" xfId="8892" xr:uid="{00000000-0005-0000-0000-0000C3220000}"/>
    <cellStyle name="Standard 6 3 4 8 5 2" xfId="8893" xr:uid="{00000000-0005-0000-0000-0000C4220000}"/>
    <cellStyle name="Standard 6 3 4 8 5 2 2" xfId="8894" xr:uid="{00000000-0005-0000-0000-0000C5220000}"/>
    <cellStyle name="Standard 6 3 4 8 5 2 2 2" xfId="20855" xr:uid="{4167490B-4698-4EA4-9B08-71499C0B97D4}"/>
    <cellStyle name="Standard 6 3 4 8 5 2 3" xfId="20854" xr:uid="{9F7E4708-8A5E-4132-94BD-E22DC4DBB3B4}"/>
    <cellStyle name="Standard 6 3 4 8 5 3" xfId="8895" xr:uid="{00000000-0005-0000-0000-0000C6220000}"/>
    <cellStyle name="Standard 6 3 4 8 5 3 2" xfId="20856" xr:uid="{6C3A262A-61E3-45A8-B57E-827FFFCA8557}"/>
    <cellStyle name="Standard 6 3 4 8 5 4" xfId="20853" xr:uid="{780B9742-8180-4CB7-88FB-CCA6F1FF6F01}"/>
    <cellStyle name="Standard 6 3 4 8 6" xfId="8896" xr:uid="{00000000-0005-0000-0000-0000C7220000}"/>
    <cellStyle name="Standard 6 3 4 8 6 2" xfId="8897" xr:uid="{00000000-0005-0000-0000-0000C8220000}"/>
    <cellStyle name="Standard 6 3 4 8 6 2 2" xfId="8898" xr:uid="{00000000-0005-0000-0000-0000C9220000}"/>
    <cellStyle name="Standard 6 3 4 8 6 2 2 2" xfId="20859" xr:uid="{48F7B3A1-9153-4E12-A55A-9F674CBEF125}"/>
    <cellStyle name="Standard 6 3 4 8 6 2 3" xfId="20858" xr:uid="{3065B4CD-C6C0-4518-B0E4-2527C923A9DC}"/>
    <cellStyle name="Standard 6 3 4 8 6 3" xfId="8899" xr:uid="{00000000-0005-0000-0000-0000CA220000}"/>
    <cellStyle name="Standard 6 3 4 8 6 3 2" xfId="20860" xr:uid="{04C65E2D-570F-409B-8CF1-23EACC9B0347}"/>
    <cellStyle name="Standard 6 3 4 8 6 4" xfId="20857" xr:uid="{B1A5D2FB-13C9-4C28-99A2-B9814602A652}"/>
    <cellStyle name="Standard 6 3 4 8 7" xfId="8900" xr:uid="{00000000-0005-0000-0000-0000CB220000}"/>
    <cellStyle name="Standard 6 3 4 8 7 2" xfId="8901" xr:uid="{00000000-0005-0000-0000-0000CC220000}"/>
    <cellStyle name="Standard 6 3 4 8 7 2 2" xfId="8902" xr:uid="{00000000-0005-0000-0000-0000CD220000}"/>
    <cellStyle name="Standard 6 3 4 8 7 2 2 2" xfId="20863" xr:uid="{ABFFE835-2C76-42BF-95DB-B9C4052859A1}"/>
    <cellStyle name="Standard 6 3 4 8 7 2 3" xfId="20862" xr:uid="{1F68FB58-8B8C-4184-BE30-D3519DA1FF20}"/>
    <cellStyle name="Standard 6 3 4 8 7 3" xfId="8903" xr:uid="{00000000-0005-0000-0000-0000CE220000}"/>
    <cellStyle name="Standard 6 3 4 8 7 3 2" xfId="20864" xr:uid="{ECDBE1D0-B2D5-40EF-8ED1-EDAE2126CD4C}"/>
    <cellStyle name="Standard 6 3 4 8 7 4" xfId="20861" xr:uid="{314A7C43-A23C-48B4-991F-0BFC40DC0C81}"/>
    <cellStyle name="Standard 6 3 4 8 8" xfId="8904" xr:uid="{00000000-0005-0000-0000-0000CF220000}"/>
    <cellStyle name="Standard 6 3 4 8 8 2" xfId="8905" xr:uid="{00000000-0005-0000-0000-0000D0220000}"/>
    <cellStyle name="Standard 6 3 4 8 8 2 2" xfId="20866" xr:uid="{AC4A1C06-E46A-49FE-99FE-96827E799E31}"/>
    <cellStyle name="Standard 6 3 4 8 8 3" xfId="20865" xr:uid="{1C3A6110-1194-4F8B-B548-90A68DE071A0}"/>
    <cellStyle name="Standard 6 3 4 8 9" xfId="8906" xr:uid="{00000000-0005-0000-0000-0000D1220000}"/>
    <cellStyle name="Standard 6 3 4 8 9 2" xfId="20867" xr:uid="{C14316C4-443E-4824-AEF4-14F166548D77}"/>
    <cellStyle name="Standard 6 3 4 9" xfId="8907" xr:uid="{00000000-0005-0000-0000-0000D2220000}"/>
    <cellStyle name="Standard 6 3 4 9 2" xfId="8908" xr:uid="{00000000-0005-0000-0000-0000D3220000}"/>
    <cellStyle name="Standard 6 3 4 9 2 2" xfId="8909" xr:uid="{00000000-0005-0000-0000-0000D4220000}"/>
    <cellStyle name="Standard 6 3 4 9 2 2 2" xfId="8910" xr:uid="{00000000-0005-0000-0000-0000D5220000}"/>
    <cellStyle name="Standard 6 3 4 9 2 2 2 2" xfId="20871" xr:uid="{D4149CCD-23CE-49D5-9ABE-C933250F9E84}"/>
    <cellStyle name="Standard 6 3 4 9 2 2 3" xfId="20870" xr:uid="{AA32F35F-B4FD-496C-A4BF-DF7C5D3BDD03}"/>
    <cellStyle name="Standard 6 3 4 9 2 3" xfId="8911" xr:uid="{00000000-0005-0000-0000-0000D6220000}"/>
    <cellStyle name="Standard 6 3 4 9 2 3 2" xfId="20872" xr:uid="{7A9B81A2-7914-4898-870F-252151D387E1}"/>
    <cellStyle name="Standard 6 3 4 9 2 4" xfId="20869" xr:uid="{6DBD27F1-8D2B-47B2-A0A3-33172E841740}"/>
    <cellStyle name="Standard 6 3 4 9 3" xfId="8912" xr:uid="{00000000-0005-0000-0000-0000D7220000}"/>
    <cellStyle name="Standard 6 3 4 9 3 2" xfId="8913" xr:uid="{00000000-0005-0000-0000-0000D8220000}"/>
    <cellStyle name="Standard 6 3 4 9 3 2 2" xfId="8914" xr:uid="{00000000-0005-0000-0000-0000D9220000}"/>
    <cellStyle name="Standard 6 3 4 9 3 2 2 2" xfId="20875" xr:uid="{FE716604-40DC-4754-9B73-FF39501E2140}"/>
    <cellStyle name="Standard 6 3 4 9 3 2 3" xfId="20874" xr:uid="{B2D712E0-80C8-4E4B-8126-CD4C63686A60}"/>
    <cellStyle name="Standard 6 3 4 9 3 3" xfId="8915" xr:uid="{00000000-0005-0000-0000-0000DA220000}"/>
    <cellStyle name="Standard 6 3 4 9 3 3 2" xfId="20876" xr:uid="{8186F00D-A92C-434A-980E-EFD5D3E672DF}"/>
    <cellStyle name="Standard 6 3 4 9 3 4" xfId="20873" xr:uid="{74C4E324-48CA-4DA4-96E4-1A0CBDB754A5}"/>
    <cellStyle name="Standard 6 3 4 9 4" xfId="8916" xr:uid="{00000000-0005-0000-0000-0000DB220000}"/>
    <cellStyle name="Standard 6 3 4 9 4 2" xfId="8917" xr:uid="{00000000-0005-0000-0000-0000DC220000}"/>
    <cellStyle name="Standard 6 3 4 9 4 2 2" xfId="8918" xr:uid="{00000000-0005-0000-0000-0000DD220000}"/>
    <cellStyle name="Standard 6 3 4 9 4 2 2 2" xfId="20879" xr:uid="{672351C2-5A4C-4756-B6E5-1C7D623DEEB1}"/>
    <cellStyle name="Standard 6 3 4 9 4 2 3" xfId="20878" xr:uid="{11167FCD-5DCB-46EC-AEBB-2D946393E14A}"/>
    <cellStyle name="Standard 6 3 4 9 4 3" xfId="8919" xr:uid="{00000000-0005-0000-0000-0000DE220000}"/>
    <cellStyle name="Standard 6 3 4 9 4 3 2" xfId="20880" xr:uid="{C2375A62-0D0E-46F2-8CDA-EDB6A8E00D23}"/>
    <cellStyle name="Standard 6 3 4 9 4 4" xfId="20877" xr:uid="{2A344793-FC2A-403F-9190-573046CBE061}"/>
    <cellStyle name="Standard 6 3 4 9 5" xfId="8920" xr:uid="{00000000-0005-0000-0000-0000DF220000}"/>
    <cellStyle name="Standard 6 3 4 9 5 2" xfId="8921" xr:uid="{00000000-0005-0000-0000-0000E0220000}"/>
    <cellStyle name="Standard 6 3 4 9 5 2 2" xfId="8922" xr:uid="{00000000-0005-0000-0000-0000E1220000}"/>
    <cellStyle name="Standard 6 3 4 9 5 2 2 2" xfId="20883" xr:uid="{2C8A39E9-7E11-43F9-B924-BD793E20B618}"/>
    <cellStyle name="Standard 6 3 4 9 5 2 3" xfId="20882" xr:uid="{6493AB31-0B87-4039-8682-42F127298B29}"/>
    <cellStyle name="Standard 6 3 4 9 5 3" xfId="8923" xr:uid="{00000000-0005-0000-0000-0000E2220000}"/>
    <cellStyle name="Standard 6 3 4 9 5 3 2" xfId="20884" xr:uid="{E09A0FE8-FA0F-41F7-8BA1-9130E41D24C0}"/>
    <cellStyle name="Standard 6 3 4 9 5 4" xfId="20881" xr:uid="{D7ABE72D-3AA9-4DF3-9BD6-4E20EC096FA7}"/>
    <cellStyle name="Standard 6 3 4 9 6" xfId="8924" xr:uid="{00000000-0005-0000-0000-0000E3220000}"/>
    <cellStyle name="Standard 6 3 4 9 6 2" xfId="8925" xr:uid="{00000000-0005-0000-0000-0000E4220000}"/>
    <cellStyle name="Standard 6 3 4 9 6 2 2" xfId="8926" xr:uid="{00000000-0005-0000-0000-0000E5220000}"/>
    <cellStyle name="Standard 6 3 4 9 6 2 2 2" xfId="20887" xr:uid="{BDC42D41-2B2A-43C3-8CB5-B7DB95E630DD}"/>
    <cellStyle name="Standard 6 3 4 9 6 2 3" xfId="20886" xr:uid="{C3BB8123-620A-4521-8A5C-19AF558AD880}"/>
    <cellStyle name="Standard 6 3 4 9 6 3" xfId="8927" xr:uid="{00000000-0005-0000-0000-0000E6220000}"/>
    <cellStyle name="Standard 6 3 4 9 6 3 2" xfId="20888" xr:uid="{E3B2C135-BBE5-4773-85B5-9A707CB19841}"/>
    <cellStyle name="Standard 6 3 4 9 6 4" xfId="20885" xr:uid="{671005C8-D6D9-47A1-BD59-ECEC6D0613E8}"/>
    <cellStyle name="Standard 6 3 4 9 7" xfId="8928" xr:uid="{00000000-0005-0000-0000-0000E7220000}"/>
    <cellStyle name="Standard 6 3 4 9 7 2" xfId="8929" xr:uid="{00000000-0005-0000-0000-0000E8220000}"/>
    <cellStyle name="Standard 6 3 4 9 7 2 2" xfId="20890" xr:uid="{8472DA74-4172-423E-874C-307E139FBECE}"/>
    <cellStyle name="Standard 6 3 4 9 7 3" xfId="20889" xr:uid="{D4B17BA2-7D1F-4ACF-9A8E-D6F163E596CA}"/>
    <cellStyle name="Standard 6 3 4 9 8" xfId="8930" xr:uid="{00000000-0005-0000-0000-0000E9220000}"/>
    <cellStyle name="Standard 6 3 4 9 8 2" xfId="20891" xr:uid="{4DA9F218-D110-4AC0-80D6-9D4AA12F52A4}"/>
    <cellStyle name="Standard 6 3 4 9 9" xfId="20868" xr:uid="{E288E46C-965D-4B4E-A385-5DF52C25F552}"/>
    <cellStyle name="Standard 6 3 5" xfId="8931" xr:uid="{00000000-0005-0000-0000-0000EA220000}"/>
    <cellStyle name="Standard 6 3 5 10" xfId="8932" xr:uid="{00000000-0005-0000-0000-0000EB220000}"/>
    <cellStyle name="Standard 6 3 5 10 2" xfId="8933" xr:uid="{00000000-0005-0000-0000-0000EC220000}"/>
    <cellStyle name="Standard 6 3 5 10 2 2" xfId="20894" xr:uid="{350EFC8E-3069-40AE-B600-584CBEFAB29A}"/>
    <cellStyle name="Standard 6 3 5 10 3" xfId="20893" xr:uid="{3E31894F-D65B-402E-A9D9-B250FAC5E355}"/>
    <cellStyle name="Standard 6 3 5 11" xfId="8934" xr:uid="{00000000-0005-0000-0000-0000ED220000}"/>
    <cellStyle name="Standard 6 3 5 11 2" xfId="20895" xr:uid="{AF2B25EE-CBCD-4F27-B422-AD480AD6D1B5}"/>
    <cellStyle name="Standard 6 3 5 12" xfId="20892" xr:uid="{94F43EE7-8EFE-403D-AE6F-531858668F89}"/>
    <cellStyle name="Standard 6 3 5 2" xfId="8935" xr:uid="{00000000-0005-0000-0000-0000EE220000}"/>
    <cellStyle name="Standard 6 3 5 2 10" xfId="8936" xr:uid="{00000000-0005-0000-0000-0000EF220000}"/>
    <cellStyle name="Standard 6 3 5 2 10 2" xfId="20897" xr:uid="{C5ABDB1A-8EDE-4ADF-89D6-119C8730EA74}"/>
    <cellStyle name="Standard 6 3 5 2 11" xfId="20896" xr:uid="{60DA00E2-EC58-4BCA-B600-6C5B3C069123}"/>
    <cellStyle name="Standard 6 3 5 2 2" xfId="8937" xr:uid="{00000000-0005-0000-0000-0000F0220000}"/>
    <cellStyle name="Standard 6 3 5 2 2 10" xfId="20898" xr:uid="{B21E9572-45E4-4EE3-B537-7BA5BD587CA3}"/>
    <cellStyle name="Standard 6 3 5 2 2 2" xfId="8938" xr:uid="{00000000-0005-0000-0000-0000F1220000}"/>
    <cellStyle name="Standard 6 3 5 2 2 2 2" xfId="8939" xr:uid="{00000000-0005-0000-0000-0000F2220000}"/>
    <cellStyle name="Standard 6 3 5 2 2 2 2 2" xfId="8940" xr:uid="{00000000-0005-0000-0000-0000F3220000}"/>
    <cellStyle name="Standard 6 3 5 2 2 2 2 2 2" xfId="20901" xr:uid="{AF721E1C-5FF4-4098-AAF1-A39A9BFDC241}"/>
    <cellStyle name="Standard 6 3 5 2 2 2 2 3" xfId="20900" xr:uid="{1284E438-CD51-47B0-B8B9-513D3BCEBF02}"/>
    <cellStyle name="Standard 6 3 5 2 2 2 3" xfId="8941" xr:uid="{00000000-0005-0000-0000-0000F4220000}"/>
    <cellStyle name="Standard 6 3 5 2 2 2 3 2" xfId="20902" xr:uid="{4BD61E79-C46B-4EBD-888B-3B639928612C}"/>
    <cellStyle name="Standard 6 3 5 2 2 2 4" xfId="20899" xr:uid="{C0D704F1-7462-4756-9574-8D798BB97B88}"/>
    <cellStyle name="Standard 6 3 5 2 2 3" xfId="8942" xr:uid="{00000000-0005-0000-0000-0000F5220000}"/>
    <cellStyle name="Standard 6 3 5 2 2 3 2" xfId="8943" xr:uid="{00000000-0005-0000-0000-0000F6220000}"/>
    <cellStyle name="Standard 6 3 5 2 2 3 2 2" xfId="8944" xr:uid="{00000000-0005-0000-0000-0000F7220000}"/>
    <cellStyle name="Standard 6 3 5 2 2 3 2 2 2" xfId="20905" xr:uid="{A51E0434-E44B-44D0-8E5C-E9DCA46DE18A}"/>
    <cellStyle name="Standard 6 3 5 2 2 3 2 3" xfId="20904" xr:uid="{47524AC5-A677-4411-A72E-03BA7F66C13E}"/>
    <cellStyle name="Standard 6 3 5 2 2 3 3" xfId="8945" xr:uid="{00000000-0005-0000-0000-0000F8220000}"/>
    <cellStyle name="Standard 6 3 5 2 2 3 3 2" xfId="20906" xr:uid="{2B5F51BC-3B32-4067-8387-A6E6EB39F0CB}"/>
    <cellStyle name="Standard 6 3 5 2 2 3 4" xfId="20903" xr:uid="{0056B22C-A480-4FE2-B222-7A985E3EB039}"/>
    <cellStyle name="Standard 6 3 5 2 2 4" xfId="8946" xr:uid="{00000000-0005-0000-0000-0000F9220000}"/>
    <cellStyle name="Standard 6 3 5 2 2 4 2" xfId="8947" xr:uid="{00000000-0005-0000-0000-0000FA220000}"/>
    <cellStyle name="Standard 6 3 5 2 2 4 2 2" xfId="8948" xr:uid="{00000000-0005-0000-0000-0000FB220000}"/>
    <cellStyle name="Standard 6 3 5 2 2 4 2 2 2" xfId="20909" xr:uid="{50A068A0-8B48-47E8-BD92-D8C32BDE2FF0}"/>
    <cellStyle name="Standard 6 3 5 2 2 4 2 3" xfId="20908" xr:uid="{41119356-BC80-4511-B177-3DB97BCD4644}"/>
    <cellStyle name="Standard 6 3 5 2 2 4 3" xfId="8949" xr:uid="{00000000-0005-0000-0000-0000FC220000}"/>
    <cellStyle name="Standard 6 3 5 2 2 4 3 2" xfId="20910" xr:uid="{539C59F4-883E-4CAA-A1BD-21E95D072D5C}"/>
    <cellStyle name="Standard 6 3 5 2 2 4 4" xfId="20907" xr:uid="{A5872F80-C316-4AA6-A75A-27B8126FB75C}"/>
    <cellStyle name="Standard 6 3 5 2 2 5" xfId="8950" xr:uid="{00000000-0005-0000-0000-0000FD220000}"/>
    <cellStyle name="Standard 6 3 5 2 2 5 2" xfId="8951" xr:uid="{00000000-0005-0000-0000-0000FE220000}"/>
    <cellStyle name="Standard 6 3 5 2 2 5 2 2" xfId="8952" xr:uid="{00000000-0005-0000-0000-0000FF220000}"/>
    <cellStyle name="Standard 6 3 5 2 2 5 2 2 2" xfId="20913" xr:uid="{2FBBC6A4-7960-4999-A526-F01D5A5445FA}"/>
    <cellStyle name="Standard 6 3 5 2 2 5 2 3" xfId="20912" xr:uid="{A3B42BAF-33F9-414C-A152-80D03DBB4D60}"/>
    <cellStyle name="Standard 6 3 5 2 2 5 3" xfId="8953" xr:uid="{00000000-0005-0000-0000-000000230000}"/>
    <cellStyle name="Standard 6 3 5 2 2 5 3 2" xfId="20914" xr:uid="{1C11330D-90AF-4A17-81AB-3DBFD279C0CC}"/>
    <cellStyle name="Standard 6 3 5 2 2 5 4" xfId="20911" xr:uid="{6C935A81-A41D-4061-9263-E4AB5646F9C2}"/>
    <cellStyle name="Standard 6 3 5 2 2 6" xfId="8954" xr:uid="{00000000-0005-0000-0000-000001230000}"/>
    <cellStyle name="Standard 6 3 5 2 2 6 2" xfId="8955" xr:uid="{00000000-0005-0000-0000-000002230000}"/>
    <cellStyle name="Standard 6 3 5 2 2 6 2 2" xfId="8956" xr:uid="{00000000-0005-0000-0000-000003230000}"/>
    <cellStyle name="Standard 6 3 5 2 2 6 2 2 2" xfId="20917" xr:uid="{5598DFAF-7457-49F8-A94B-E1EDEF5CDF67}"/>
    <cellStyle name="Standard 6 3 5 2 2 6 2 3" xfId="20916" xr:uid="{6CFD1125-D46D-411C-A6D9-019BBE156FC5}"/>
    <cellStyle name="Standard 6 3 5 2 2 6 3" xfId="8957" xr:uid="{00000000-0005-0000-0000-000004230000}"/>
    <cellStyle name="Standard 6 3 5 2 2 6 3 2" xfId="20918" xr:uid="{CFADB703-BD43-4E64-ABFE-05A55392211B}"/>
    <cellStyle name="Standard 6 3 5 2 2 6 4" xfId="20915" xr:uid="{A9E1EC49-09A9-4E8F-B39B-E5577102356E}"/>
    <cellStyle name="Standard 6 3 5 2 2 7" xfId="8958" xr:uid="{00000000-0005-0000-0000-000005230000}"/>
    <cellStyle name="Standard 6 3 5 2 2 7 2" xfId="8959" xr:uid="{00000000-0005-0000-0000-000006230000}"/>
    <cellStyle name="Standard 6 3 5 2 2 7 2 2" xfId="8960" xr:uid="{00000000-0005-0000-0000-000007230000}"/>
    <cellStyle name="Standard 6 3 5 2 2 7 2 2 2" xfId="20921" xr:uid="{CFC02A11-27CA-4F93-8618-D9B567E66ED6}"/>
    <cellStyle name="Standard 6 3 5 2 2 7 2 3" xfId="20920" xr:uid="{546FA838-C526-452A-BB50-47FCEF4B64A4}"/>
    <cellStyle name="Standard 6 3 5 2 2 7 3" xfId="8961" xr:uid="{00000000-0005-0000-0000-000008230000}"/>
    <cellStyle name="Standard 6 3 5 2 2 7 3 2" xfId="20922" xr:uid="{A380FAFE-AE99-4084-B03C-CB55850497A9}"/>
    <cellStyle name="Standard 6 3 5 2 2 7 4" xfId="20919" xr:uid="{AF8CDEF9-D1C0-4F7C-A5F1-90F9207E7097}"/>
    <cellStyle name="Standard 6 3 5 2 2 8" xfId="8962" xr:uid="{00000000-0005-0000-0000-000009230000}"/>
    <cellStyle name="Standard 6 3 5 2 2 8 2" xfId="8963" xr:uid="{00000000-0005-0000-0000-00000A230000}"/>
    <cellStyle name="Standard 6 3 5 2 2 8 2 2" xfId="20924" xr:uid="{21419622-4238-479C-A079-9BE4F9C396AE}"/>
    <cellStyle name="Standard 6 3 5 2 2 8 3" xfId="20923" xr:uid="{F4C0F19E-B514-45A8-974D-253F895511AA}"/>
    <cellStyle name="Standard 6 3 5 2 2 9" xfId="8964" xr:uid="{00000000-0005-0000-0000-00000B230000}"/>
    <cellStyle name="Standard 6 3 5 2 2 9 2" xfId="20925" xr:uid="{3CD19D5A-F2B3-4B6C-AF66-CB93AE9F7FD0}"/>
    <cellStyle name="Standard 6 3 5 2 3" xfId="8965" xr:uid="{00000000-0005-0000-0000-00000C230000}"/>
    <cellStyle name="Standard 6 3 5 2 3 2" xfId="8966" xr:uid="{00000000-0005-0000-0000-00000D230000}"/>
    <cellStyle name="Standard 6 3 5 2 3 2 2" xfId="8967" xr:uid="{00000000-0005-0000-0000-00000E230000}"/>
    <cellStyle name="Standard 6 3 5 2 3 2 2 2" xfId="20928" xr:uid="{F7F8B7BC-D820-4BF6-9EED-A74FFFFE3D9C}"/>
    <cellStyle name="Standard 6 3 5 2 3 2 3" xfId="20927" xr:uid="{39669CA1-F30C-438D-B5A8-70CD1DB45DC7}"/>
    <cellStyle name="Standard 6 3 5 2 3 3" xfId="8968" xr:uid="{00000000-0005-0000-0000-00000F230000}"/>
    <cellStyle name="Standard 6 3 5 2 3 3 2" xfId="20929" xr:uid="{37BFA588-6E7A-4F57-B165-BD3A6F30AB2E}"/>
    <cellStyle name="Standard 6 3 5 2 3 4" xfId="20926" xr:uid="{D0570215-1099-406B-8382-F1C68720D428}"/>
    <cellStyle name="Standard 6 3 5 2 4" xfId="8969" xr:uid="{00000000-0005-0000-0000-000010230000}"/>
    <cellStyle name="Standard 6 3 5 2 4 2" xfId="8970" xr:uid="{00000000-0005-0000-0000-000011230000}"/>
    <cellStyle name="Standard 6 3 5 2 4 2 2" xfId="8971" xr:uid="{00000000-0005-0000-0000-000012230000}"/>
    <cellStyle name="Standard 6 3 5 2 4 2 2 2" xfId="20932" xr:uid="{A0D16D27-C13C-46D6-A24A-D65F93B522B9}"/>
    <cellStyle name="Standard 6 3 5 2 4 2 3" xfId="20931" xr:uid="{2C5128CD-1850-425F-BA85-18A1DE846343}"/>
    <cellStyle name="Standard 6 3 5 2 4 3" xfId="8972" xr:uid="{00000000-0005-0000-0000-000013230000}"/>
    <cellStyle name="Standard 6 3 5 2 4 3 2" xfId="20933" xr:uid="{D543A69A-CD6E-422A-ADF1-A62FFA9FB292}"/>
    <cellStyle name="Standard 6 3 5 2 4 4" xfId="20930" xr:uid="{5D8490EC-3338-427B-BDED-D3360CAD49FB}"/>
    <cellStyle name="Standard 6 3 5 2 5" xfId="8973" xr:uid="{00000000-0005-0000-0000-000014230000}"/>
    <cellStyle name="Standard 6 3 5 2 5 2" xfId="8974" xr:uid="{00000000-0005-0000-0000-000015230000}"/>
    <cellStyle name="Standard 6 3 5 2 5 2 2" xfId="8975" xr:uid="{00000000-0005-0000-0000-000016230000}"/>
    <cellStyle name="Standard 6 3 5 2 5 2 2 2" xfId="20936" xr:uid="{833592F1-7BAC-4B63-9195-C70F42E8EC03}"/>
    <cellStyle name="Standard 6 3 5 2 5 2 3" xfId="20935" xr:uid="{D47A1583-3499-4586-BE81-1E8A0283DFAB}"/>
    <cellStyle name="Standard 6 3 5 2 5 3" xfId="8976" xr:uid="{00000000-0005-0000-0000-000017230000}"/>
    <cellStyle name="Standard 6 3 5 2 5 3 2" xfId="20937" xr:uid="{8843C6F2-6D29-419D-92F7-77FF3161202E}"/>
    <cellStyle name="Standard 6 3 5 2 5 4" xfId="20934" xr:uid="{CD7498E1-16DB-412E-BCC0-2F0A935EBE3F}"/>
    <cellStyle name="Standard 6 3 5 2 6" xfId="8977" xr:uid="{00000000-0005-0000-0000-000018230000}"/>
    <cellStyle name="Standard 6 3 5 2 6 2" xfId="8978" xr:uid="{00000000-0005-0000-0000-000019230000}"/>
    <cellStyle name="Standard 6 3 5 2 6 2 2" xfId="8979" xr:uid="{00000000-0005-0000-0000-00001A230000}"/>
    <cellStyle name="Standard 6 3 5 2 6 2 2 2" xfId="20940" xr:uid="{EA93C046-B75D-48F6-BF2B-FAD7CE0DD17D}"/>
    <cellStyle name="Standard 6 3 5 2 6 2 3" xfId="20939" xr:uid="{A6791AC8-4372-4847-87BF-D029ADBA65C4}"/>
    <cellStyle name="Standard 6 3 5 2 6 3" xfId="8980" xr:uid="{00000000-0005-0000-0000-00001B230000}"/>
    <cellStyle name="Standard 6 3 5 2 6 3 2" xfId="20941" xr:uid="{D21C28E8-4B9D-4BA0-84E1-22EBA65321C2}"/>
    <cellStyle name="Standard 6 3 5 2 6 4" xfId="20938" xr:uid="{CC436025-3244-432B-8C14-C9AF14CFA931}"/>
    <cellStyle name="Standard 6 3 5 2 7" xfId="8981" xr:uid="{00000000-0005-0000-0000-00001C230000}"/>
    <cellStyle name="Standard 6 3 5 2 7 2" xfId="8982" xr:uid="{00000000-0005-0000-0000-00001D230000}"/>
    <cellStyle name="Standard 6 3 5 2 7 2 2" xfId="8983" xr:uid="{00000000-0005-0000-0000-00001E230000}"/>
    <cellStyle name="Standard 6 3 5 2 7 2 2 2" xfId="20944" xr:uid="{496D87A7-5273-46F4-8CEE-0AC74E5EAD4D}"/>
    <cellStyle name="Standard 6 3 5 2 7 2 3" xfId="20943" xr:uid="{35CCB64B-6285-4BC3-80CD-18A80288D8B0}"/>
    <cellStyle name="Standard 6 3 5 2 7 3" xfId="8984" xr:uid="{00000000-0005-0000-0000-00001F230000}"/>
    <cellStyle name="Standard 6 3 5 2 7 3 2" xfId="20945" xr:uid="{411B045B-54E9-48BC-A60E-6988AA7D45E9}"/>
    <cellStyle name="Standard 6 3 5 2 7 4" xfId="20942" xr:uid="{34112B0E-215C-48A9-81AA-7D7ED7D815C2}"/>
    <cellStyle name="Standard 6 3 5 2 8" xfId="8985" xr:uid="{00000000-0005-0000-0000-000020230000}"/>
    <cellStyle name="Standard 6 3 5 2 8 2" xfId="8986" xr:uid="{00000000-0005-0000-0000-000021230000}"/>
    <cellStyle name="Standard 6 3 5 2 8 2 2" xfId="8987" xr:uid="{00000000-0005-0000-0000-000022230000}"/>
    <cellStyle name="Standard 6 3 5 2 8 2 2 2" xfId="20948" xr:uid="{927F17CC-B4F7-424D-8BC8-9C20CCB26C15}"/>
    <cellStyle name="Standard 6 3 5 2 8 2 3" xfId="20947" xr:uid="{A2833FD4-6227-44FE-94C6-DE1082BBC65E}"/>
    <cellStyle name="Standard 6 3 5 2 8 3" xfId="8988" xr:uid="{00000000-0005-0000-0000-000023230000}"/>
    <cellStyle name="Standard 6 3 5 2 8 3 2" xfId="20949" xr:uid="{346AA917-EB86-488D-9601-9425E0207E61}"/>
    <cellStyle name="Standard 6 3 5 2 8 4" xfId="20946" xr:uid="{AC4AC7EB-3880-49C7-A8BB-672CC77DCDC1}"/>
    <cellStyle name="Standard 6 3 5 2 9" xfId="8989" xr:uid="{00000000-0005-0000-0000-000024230000}"/>
    <cellStyle name="Standard 6 3 5 2 9 2" xfId="8990" xr:uid="{00000000-0005-0000-0000-000025230000}"/>
    <cellStyle name="Standard 6 3 5 2 9 2 2" xfId="20951" xr:uid="{CE5C76FF-FEC3-4CC3-9F0D-32E934DEE816}"/>
    <cellStyle name="Standard 6 3 5 2 9 3" xfId="20950" xr:uid="{877E0FC8-464D-4DB2-9E39-2FA828DDD0DF}"/>
    <cellStyle name="Standard 6 3 5 3" xfId="8991" xr:uid="{00000000-0005-0000-0000-000026230000}"/>
    <cellStyle name="Standard 6 3 5 3 10" xfId="20952" xr:uid="{CF11CB0E-3AB0-4A32-B7B8-9EA16E7EDAEB}"/>
    <cellStyle name="Standard 6 3 5 3 2" xfId="8992" xr:uid="{00000000-0005-0000-0000-000027230000}"/>
    <cellStyle name="Standard 6 3 5 3 2 2" xfId="8993" xr:uid="{00000000-0005-0000-0000-000028230000}"/>
    <cellStyle name="Standard 6 3 5 3 2 2 2" xfId="8994" xr:uid="{00000000-0005-0000-0000-000029230000}"/>
    <cellStyle name="Standard 6 3 5 3 2 2 2 2" xfId="20955" xr:uid="{E4A6AF5A-6E06-40B8-A458-2F033E9E4EA1}"/>
    <cellStyle name="Standard 6 3 5 3 2 2 3" xfId="20954" xr:uid="{B013D8EA-B8A4-4264-8F87-B8217504ED84}"/>
    <cellStyle name="Standard 6 3 5 3 2 3" xfId="8995" xr:uid="{00000000-0005-0000-0000-00002A230000}"/>
    <cellStyle name="Standard 6 3 5 3 2 3 2" xfId="20956" xr:uid="{67CDA374-F574-4B9C-9DC7-EFA352B589FA}"/>
    <cellStyle name="Standard 6 3 5 3 2 4" xfId="20953" xr:uid="{44536C94-592E-4363-9D8B-BE86AB3452A2}"/>
    <cellStyle name="Standard 6 3 5 3 3" xfId="8996" xr:uid="{00000000-0005-0000-0000-00002B230000}"/>
    <cellStyle name="Standard 6 3 5 3 3 2" xfId="8997" xr:uid="{00000000-0005-0000-0000-00002C230000}"/>
    <cellStyle name="Standard 6 3 5 3 3 2 2" xfId="8998" xr:uid="{00000000-0005-0000-0000-00002D230000}"/>
    <cellStyle name="Standard 6 3 5 3 3 2 2 2" xfId="20959" xr:uid="{40B59D3F-135F-4667-B30E-12663E7E06CA}"/>
    <cellStyle name="Standard 6 3 5 3 3 2 3" xfId="20958" xr:uid="{0CD30C4E-AE67-4372-91FE-6A8EAF86E66F}"/>
    <cellStyle name="Standard 6 3 5 3 3 3" xfId="8999" xr:uid="{00000000-0005-0000-0000-00002E230000}"/>
    <cellStyle name="Standard 6 3 5 3 3 3 2" xfId="20960" xr:uid="{C10FA512-D65F-4CB1-A311-81B1B0695C98}"/>
    <cellStyle name="Standard 6 3 5 3 3 4" xfId="20957" xr:uid="{191A786E-86A6-4D0A-9727-2846EDDCE868}"/>
    <cellStyle name="Standard 6 3 5 3 4" xfId="9000" xr:uid="{00000000-0005-0000-0000-00002F230000}"/>
    <cellStyle name="Standard 6 3 5 3 4 2" xfId="9001" xr:uid="{00000000-0005-0000-0000-000030230000}"/>
    <cellStyle name="Standard 6 3 5 3 4 2 2" xfId="9002" xr:uid="{00000000-0005-0000-0000-000031230000}"/>
    <cellStyle name="Standard 6 3 5 3 4 2 2 2" xfId="20963" xr:uid="{7868C835-4267-42A0-A29C-7CDB326F9610}"/>
    <cellStyle name="Standard 6 3 5 3 4 2 3" xfId="20962" xr:uid="{525AB239-01D9-4752-95C3-B5747AED37D1}"/>
    <cellStyle name="Standard 6 3 5 3 4 3" xfId="9003" xr:uid="{00000000-0005-0000-0000-000032230000}"/>
    <cellStyle name="Standard 6 3 5 3 4 3 2" xfId="20964" xr:uid="{B6E3E3EF-728E-4D02-9757-70074B899712}"/>
    <cellStyle name="Standard 6 3 5 3 4 4" xfId="20961" xr:uid="{4FE935E5-FAF5-4DDF-A27B-8F26BB4E19CC}"/>
    <cellStyle name="Standard 6 3 5 3 5" xfId="9004" xr:uid="{00000000-0005-0000-0000-000033230000}"/>
    <cellStyle name="Standard 6 3 5 3 5 2" xfId="9005" xr:uid="{00000000-0005-0000-0000-000034230000}"/>
    <cellStyle name="Standard 6 3 5 3 5 2 2" xfId="9006" xr:uid="{00000000-0005-0000-0000-000035230000}"/>
    <cellStyle name="Standard 6 3 5 3 5 2 2 2" xfId="20967" xr:uid="{0F460619-B0A1-486D-9B59-09B1B6605D0F}"/>
    <cellStyle name="Standard 6 3 5 3 5 2 3" xfId="20966" xr:uid="{A63C659D-571B-43D0-AEF5-E882D71D11F1}"/>
    <cellStyle name="Standard 6 3 5 3 5 3" xfId="9007" xr:uid="{00000000-0005-0000-0000-000036230000}"/>
    <cellStyle name="Standard 6 3 5 3 5 3 2" xfId="20968" xr:uid="{D08E5276-30B2-4695-B1B3-2A760742CA8A}"/>
    <cellStyle name="Standard 6 3 5 3 5 4" xfId="20965" xr:uid="{701A9672-7ED9-4D09-9919-27B5C5674925}"/>
    <cellStyle name="Standard 6 3 5 3 6" xfId="9008" xr:uid="{00000000-0005-0000-0000-000037230000}"/>
    <cellStyle name="Standard 6 3 5 3 6 2" xfId="9009" xr:uid="{00000000-0005-0000-0000-000038230000}"/>
    <cellStyle name="Standard 6 3 5 3 6 2 2" xfId="9010" xr:uid="{00000000-0005-0000-0000-000039230000}"/>
    <cellStyle name="Standard 6 3 5 3 6 2 2 2" xfId="20971" xr:uid="{54A44CE0-0B25-424E-83C9-A44CFD99696E}"/>
    <cellStyle name="Standard 6 3 5 3 6 2 3" xfId="20970" xr:uid="{353C659A-064F-4E13-9004-844F295CB7B2}"/>
    <cellStyle name="Standard 6 3 5 3 6 3" xfId="9011" xr:uid="{00000000-0005-0000-0000-00003A230000}"/>
    <cellStyle name="Standard 6 3 5 3 6 3 2" xfId="20972" xr:uid="{7267D754-2E59-4916-8DFF-6081FFD022BB}"/>
    <cellStyle name="Standard 6 3 5 3 6 4" xfId="20969" xr:uid="{A5A5B80B-C2E7-46BA-B410-E93AD9F8136F}"/>
    <cellStyle name="Standard 6 3 5 3 7" xfId="9012" xr:uid="{00000000-0005-0000-0000-00003B230000}"/>
    <cellStyle name="Standard 6 3 5 3 7 2" xfId="9013" xr:uid="{00000000-0005-0000-0000-00003C230000}"/>
    <cellStyle name="Standard 6 3 5 3 7 2 2" xfId="9014" xr:uid="{00000000-0005-0000-0000-00003D230000}"/>
    <cellStyle name="Standard 6 3 5 3 7 2 2 2" xfId="20975" xr:uid="{4B6C76E5-4793-40AF-AF30-4A21980A8C09}"/>
    <cellStyle name="Standard 6 3 5 3 7 2 3" xfId="20974" xr:uid="{0266D3A5-C512-4A4E-BA7A-0F23A953754B}"/>
    <cellStyle name="Standard 6 3 5 3 7 3" xfId="9015" xr:uid="{00000000-0005-0000-0000-00003E230000}"/>
    <cellStyle name="Standard 6 3 5 3 7 3 2" xfId="20976" xr:uid="{BC7CC919-BF32-4098-93FE-04BBE6B71D73}"/>
    <cellStyle name="Standard 6 3 5 3 7 4" xfId="20973" xr:uid="{FE4A0B95-AFD4-4568-9F7C-D1D9568AB290}"/>
    <cellStyle name="Standard 6 3 5 3 8" xfId="9016" xr:uid="{00000000-0005-0000-0000-00003F230000}"/>
    <cellStyle name="Standard 6 3 5 3 8 2" xfId="9017" xr:uid="{00000000-0005-0000-0000-000040230000}"/>
    <cellStyle name="Standard 6 3 5 3 8 2 2" xfId="20978" xr:uid="{8D61A52B-1661-48E1-BB36-9E7880BA4354}"/>
    <cellStyle name="Standard 6 3 5 3 8 3" xfId="20977" xr:uid="{65971848-C234-4EC3-ABF6-5F4D5ADF17CF}"/>
    <cellStyle name="Standard 6 3 5 3 9" xfId="9018" xr:uid="{00000000-0005-0000-0000-000041230000}"/>
    <cellStyle name="Standard 6 3 5 3 9 2" xfId="20979" xr:uid="{43099591-8E33-4687-8DAA-BE26ED514501}"/>
    <cellStyle name="Standard 6 3 5 4" xfId="9019" xr:uid="{00000000-0005-0000-0000-000042230000}"/>
    <cellStyle name="Standard 6 3 5 4 2" xfId="9020" xr:uid="{00000000-0005-0000-0000-000043230000}"/>
    <cellStyle name="Standard 6 3 5 4 2 2" xfId="9021" xr:uid="{00000000-0005-0000-0000-000044230000}"/>
    <cellStyle name="Standard 6 3 5 4 2 2 2" xfId="20982" xr:uid="{3C2D534F-6CE0-46B4-B004-CE6CD79AE029}"/>
    <cellStyle name="Standard 6 3 5 4 2 3" xfId="20981" xr:uid="{B0172F5C-5AFB-4B53-B3B2-C71D045B1F38}"/>
    <cellStyle name="Standard 6 3 5 4 3" xfId="9022" xr:uid="{00000000-0005-0000-0000-000045230000}"/>
    <cellStyle name="Standard 6 3 5 4 3 2" xfId="20983" xr:uid="{7731F657-E149-4F10-A307-5A364847117B}"/>
    <cellStyle name="Standard 6 3 5 4 4" xfId="20980" xr:uid="{27D01AB2-1509-49F0-8FBF-DFF4629E226B}"/>
    <cellStyle name="Standard 6 3 5 5" xfId="9023" xr:uid="{00000000-0005-0000-0000-000046230000}"/>
    <cellStyle name="Standard 6 3 5 5 2" xfId="9024" xr:uid="{00000000-0005-0000-0000-000047230000}"/>
    <cellStyle name="Standard 6 3 5 5 2 2" xfId="9025" xr:uid="{00000000-0005-0000-0000-000048230000}"/>
    <cellStyle name="Standard 6 3 5 5 2 2 2" xfId="20986" xr:uid="{A6A75EE4-126D-48E4-AE65-6F7F361DB4C0}"/>
    <cellStyle name="Standard 6 3 5 5 2 3" xfId="20985" xr:uid="{668FA3B8-56CF-40DC-8483-124EA8EB676D}"/>
    <cellStyle name="Standard 6 3 5 5 3" xfId="9026" xr:uid="{00000000-0005-0000-0000-000049230000}"/>
    <cellStyle name="Standard 6 3 5 5 3 2" xfId="20987" xr:uid="{E8EE6CA9-2DC0-482F-B393-9D63D247FED3}"/>
    <cellStyle name="Standard 6 3 5 5 4" xfId="20984" xr:uid="{D1878968-5C74-4547-B8BC-9FD2FF318A45}"/>
    <cellStyle name="Standard 6 3 5 6" xfId="9027" xr:uid="{00000000-0005-0000-0000-00004A230000}"/>
    <cellStyle name="Standard 6 3 5 6 2" xfId="9028" xr:uid="{00000000-0005-0000-0000-00004B230000}"/>
    <cellStyle name="Standard 6 3 5 6 2 2" xfId="9029" xr:uid="{00000000-0005-0000-0000-00004C230000}"/>
    <cellStyle name="Standard 6 3 5 6 2 2 2" xfId="20990" xr:uid="{BA8F6DED-E3D6-4B3D-A39D-4509FB8A5976}"/>
    <cellStyle name="Standard 6 3 5 6 2 3" xfId="20989" xr:uid="{C6EA17D9-53B7-401B-8A86-B92B01E8CFBF}"/>
    <cellStyle name="Standard 6 3 5 6 3" xfId="9030" xr:uid="{00000000-0005-0000-0000-00004D230000}"/>
    <cellStyle name="Standard 6 3 5 6 3 2" xfId="20991" xr:uid="{5BFCFF41-B4B5-4019-959E-B85C1D93DFA5}"/>
    <cellStyle name="Standard 6 3 5 6 4" xfId="20988" xr:uid="{C0AF1289-B7BA-4AE0-8DF2-26CD3120B19C}"/>
    <cellStyle name="Standard 6 3 5 7" xfId="9031" xr:uid="{00000000-0005-0000-0000-00004E230000}"/>
    <cellStyle name="Standard 6 3 5 7 2" xfId="9032" xr:uid="{00000000-0005-0000-0000-00004F230000}"/>
    <cellStyle name="Standard 6 3 5 7 2 2" xfId="9033" xr:uid="{00000000-0005-0000-0000-000050230000}"/>
    <cellStyle name="Standard 6 3 5 7 2 2 2" xfId="20994" xr:uid="{916A3D3B-864D-4AF4-944F-8370A465D53D}"/>
    <cellStyle name="Standard 6 3 5 7 2 3" xfId="20993" xr:uid="{4B29ACE5-3991-44AA-9CB3-C8FC61157F6F}"/>
    <cellStyle name="Standard 6 3 5 7 3" xfId="9034" xr:uid="{00000000-0005-0000-0000-000051230000}"/>
    <cellStyle name="Standard 6 3 5 7 3 2" xfId="20995" xr:uid="{BAECD419-E92B-4C3C-807C-83D05804D2C9}"/>
    <cellStyle name="Standard 6 3 5 7 4" xfId="20992" xr:uid="{88AE92DD-51F4-41F0-A11C-3DB8CA847299}"/>
    <cellStyle name="Standard 6 3 5 8" xfId="9035" xr:uid="{00000000-0005-0000-0000-000052230000}"/>
    <cellStyle name="Standard 6 3 5 8 2" xfId="9036" xr:uid="{00000000-0005-0000-0000-000053230000}"/>
    <cellStyle name="Standard 6 3 5 8 2 2" xfId="9037" xr:uid="{00000000-0005-0000-0000-000054230000}"/>
    <cellStyle name="Standard 6 3 5 8 2 2 2" xfId="20998" xr:uid="{071CC7EE-E0D4-4DFB-BC8C-19AE167D03EF}"/>
    <cellStyle name="Standard 6 3 5 8 2 3" xfId="20997" xr:uid="{A7F65165-F4CD-45F2-A2A6-90CBEC30D9B5}"/>
    <cellStyle name="Standard 6 3 5 8 3" xfId="9038" xr:uid="{00000000-0005-0000-0000-000055230000}"/>
    <cellStyle name="Standard 6 3 5 8 3 2" xfId="20999" xr:uid="{0F5036B0-62F9-498D-A0B6-14E4F8DDE2D4}"/>
    <cellStyle name="Standard 6 3 5 8 4" xfId="20996" xr:uid="{13147C2D-A189-4BF6-A999-19A06C70AD92}"/>
    <cellStyle name="Standard 6 3 5 9" xfId="9039" xr:uid="{00000000-0005-0000-0000-000056230000}"/>
    <cellStyle name="Standard 6 3 5 9 2" xfId="9040" xr:uid="{00000000-0005-0000-0000-000057230000}"/>
    <cellStyle name="Standard 6 3 5 9 2 2" xfId="9041" xr:uid="{00000000-0005-0000-0000-000058230000}"/>
    <cellStyle name="Standard 6 3 5 9 2 2 2" xfId="21002" xr:uid="{D6E56410-4B1C-41D0-96F3-7994783B1FF0}"/>
    <cellStyle name="Standard 6 3 5 9 2 3" xfId="21001" xr:uid="{EFCAA227-B71C-4C60-871E-734D35E1B018}"/>
    <cellStyle name="Standard 6 3 5 9 3" xfId="9042" xr:uid="{00000000-0005-0000-0000-000059230000}"/>
    <cellStyle name="Standard 6 3 5 9 3 2" xfId="21003" xr:uid="{79E5432E-705F-4208-BB00-292926096A13}"/>
    <cellStyle name="Standard 6 3 5 9 4" xfId="21000" xr:uid="{C3051964-ADEE-408F-9962-97995F3B7628}"/>
    <cellStyle name="Standard 6 3 6" xfId="9043" xr:uid="{00000000-0005-0000-0000-00005A230000}"/>
    <cellStyle name="Standard 6 3 6 10" xfId="9044" xr:uid="{00000000-0005-0000-0000-00005B230000}"/>
    <cellStyle name="Standard 6 3 6 10 2" xfId="21005" xr:uid="{F34D239E-7F97-47C1-A449-739B4A0798A6}"/>
    <cellStyle name="Standard 6 3 6 11" xfId="21004" xr:uid="{E139B8BD-73A2-4DEF-9427-BC1C40157B84}"/>
    <cellStyle name="Standard 6 3 6 2" xfId="9045" xr:uid="{00000000-0005-0000-0000-00005C230000}"/>
    <cellStyle name="Standard 6 3 6 2 10" xfId="21006" xr:uid="{17E71954-92A3-41BF-880A-BD2CA16BB65C}"/>
    <cellStyle name="Standard 6 3 6 2 2" xfId="9046" xr:uid="{00000000-0005-0000-0000-00005D230000}"/>
    <cellStyle name="Standard 6 3 6 2 2 2" xfId="9047" xr:uid="{00000000-0005-0000-0000-00005E230000}"/>
    <cellStyle name="Standard 6 3 6 2 2 2 2" xfId="9048" xr:uid="{00000000-0005-0000-0000-00005F230000}"/>
    <cellStyle name="Standard 6 3 6 2 2 2 2 2" xfId="21009" xr:uid="{D237A22F-94D1-409E-897D-8D69863BD386}"/>
    <cellStyle name="Standard 6 3 6 2 2 2 3" xfId="21008" xr:uid="{AA7F96AF-E8F0-4C9D-A724-DAB6D420A61C}"/>
    <cellStyle name="Standard 6 3 6 2 2 3" xfId="9049" xr:uid="{00000000-0005-0000-0000-000060230000}"/>
    <cellStyle name="Standard 6 3 6 2 2 3 2" xfId="21010" xr:uid="{DA5E9A16-3027-4F2C-BF33-363765F27074}"/>
    <cellStyle name="Standard 6 3 6 2 2 4" xfId="21007" xr:uid="{21732056-AE4A-46DD-B7DC-B32E5453D5FE}"/>
    <cellStyle name="Standard 6 3 6 2 3" xfId="9050" xr:uid="{00000000-0005-0000-0000-000061230000}"/>
    <cellStyle name="Standard 6 3 6 2 3 2" xfId="9051" xr:uid="{00000000-0005-0000-0000-000062230000}"/>
    <cellStyle name="Standard 6 3 6 2 3 2 2" xfId="9052" xr:uid="{00000000-0005-0000-0000-000063230000}"/>
    <cellStyle name="Standard 6 3 6 2 3 2 2 2" xfId="21013" xr:uid="{E86A1156-FEB3-4434-A627-14465930A53D}"/>
    <cellStyle name="Standard 6 3 6 2 3 2 3" xfId="21012" xr:uid="{99676AC5-C820-4091-8307-CF2268E35D2F}"/>
    <cellStyle name="Standard 6 3 6 2 3 3" xfId="9053" xr:uid="{00000000-0005-0000-0000-000064230000}"/>
    <cellStyle name="Standard 6 3 6 2 3 3 2" xfId="21014" xr:uid="{58497507-1EB7-4441-A38D-1A812499D3D6}"/>
    <cellStyle name="Standard 6 3 6 2 3 4" xfId="21011" xr:uid="{842EEB54-664A-4D26-8A80-DAFAE91B781D}"/>
    <cellStyle name="Standard 6 3 6 2 4" xfId="9054" xr:uid="{00000000-0005-0000-0000-000065230000}"/>
    <cellStyle name="Standard 6 3 6 2 4 2" xfId="9055" xr:uid="{00000000-0005-0000-0000-000066230000}"/>
    <cellStyle name="Standard 6 3 6 2 4 2 2" xfId="9056" xr:uid="{00000000-0005-0000-0000-000067230000}"/>
    <cellStyle name="Standard 6 3 6 2 4 2 2 2" xfId="21017" xr:uid="{93C90CFC-C650-453B-A68E-17A98FAD9A51}"/>
    <cellStyle name="Standard 6 3 6 2 4 2 3" xfId="21016" xr:uid="{808580AF-70D9-4D36-94B2-334B39C11FFA}"/>
    <cellStyle name="Standard 6 3 6 2 4 3" xfId="9057" xr:uid="{00000000-0005-0000-0000-000068230000}"/>
    <cellStyle name="Standard 6 3 6 2 4 3 2" xfId="21018" xr:uid="{59D430B5-325A-4AC1-A893-3D2E9A3A03EE}"/>
    <cellStyle name="Standard 6 3 6 2 4 4" xfId="21015" xr:uid="{ACBD87FD-86E1-4A5D-9543-611970648F2A}"/>
    <cellStyle name="Standard 6 3 6 2 5" xfId="9058" xr:uid="{00000000-0005-0000-0000-000069230000}"/>
    <cellStyle name="Standard 6 3 6 2 5 2" xfId="9059" xr:uid="{00000000-0005-0000-0000-00006A230000}"/>
    <cellStyle name="Standard 6 3 6 2 5 2 2" xfId="9060" xr:uid="{00000000-0005-0000-0000-00006B230000}"/>
    <cellStyle name="Standard 6 3 6 2 5 2 2 2" xfId="21021" xr:uid="{C2A9F5BB-2EF5-42B8-B89B-F24479B197FF}"/>
    <cellStyle name="Standard 6 3 6 2 5 2 3" xfId="21020" xr:uid="{9A79793E-458A-4CCE-8F7C-C2E192E1EB2C}"/>
    <cellStyle name="Standard 6 3 6 2 5 3" xfId="9061" xr:uid="{00000000-0005-0000-0000-00006C230000}"/>
    <cellStyle name="Standard 6 3 6 2 5 3 2" xfId="21022" xr:uid="{A650CFF5-251F-4C49-A142-46F7EFD3DF29}"/>
    <cellStyle name="Standard 6 3 6 2 5 4" xfId="21019" xr:uid="{77CE2299-B67C-45C2-99D2-E981F3EBA375}"/>
    <cellStyle name="Standard 6 3 6 2 6" xfId="9062" xr:uid="{00000000-0005-0000-0000-00006D230000}"/>
    <cellStyle name="Standard 6 3 6 2 6 2" xfId="9063" xr:uid="{00000000-0005-0000-0000-00006E230000}"/>
    <cellStyle name="Standard 6 3 6 2 6 2 2" xfId="9064" xr:uid="{00000000-0005-0000-0000-00006F230000}"/>
    <cellStyle name="Standard 6 3 6 2 6 2 2 2" xfId="21025" xr:uid="{4192C694-0C75-4B78-9D2C-102A06A9D5D8}"/>
    <cellStyle name="Standard 6 3 6 2 6 2 3" xfId="21024" xr:uid="{BBC2C812-4641-42E9-ACA1-673B772353E1}"/>
    <cellStyle name="Standard 6 3 6 2 6 3" xfId="9065" xr:uid="{00000000-0005-0000-0000-000070230000}"/>
    <cellStyle name="Standard 6 3 6 2 6 3 2" xfId="21026" xr:uid="{61338B35-922E-4E1F-9987-006E6D2CF322}"/>
    <cellStyle name="Standard 6 3 6 2 6 4" xfId="21023" xr:uid="{9748BB61-1483-4CB8-B38D-A40E156640DA}"/>
    <cellStyle name="Standard 6 3 6 2 7" xfId="9066" xr:uid="{00000000-0005-0000-0000-000071230000}"/>
    <cellStyle name="Standard 6 3 6 2 7 2" xfId="9067" xr:uid="{00000000-0005-0000-0000-000072230000}"/>
    <cellStyle name="Standard 6 3 6 2 7 2 2" xfId="9068" xr:uid="{00000000-0005-0000-0000-000073230000}"/>
    <cellStyle name="Standard 6 3 6 2 7 2 2 2" xfId="21029" xr:uid="{4B41AACC-02FB-406F-8428-C71C8D4163F5}"/>
    <cellStyle name="Standard 6 3 6 2 7 2 3" xfId="21028" xr:uid="{50BEB1DD-658D-4F09-9A8D-6CDFC8C78125}"/>
    <cellStyle name="Standard 6 3 6 2 7 3" xfId="9069" xr:uid="{00000000-0005-0000-0000-000074230000}"/>
    <cellStyle name="Standard 6 3 6 2 7 3 2" xfId="21030" xr:uid="{47E2C5AF-F0F6-481E-A7E3-A0A61FA46FE3}"/>
    <cellStyle name="Standard 6 3 6 2 7 4" xfId="21027" xr:uid="{170BC0D4-3CD4-4035-BDA6-CAC54F08A2B9}"/>
    <cellStyle name="Standard 6 3 6 2 8" xfId="9070" xr:uid="{00000000-0005-0000-0000-000075230000}"/>
    <cellStyle name="Standard 6 3 6 2 8 2" xfId="9071" xr:uid="{00000000-0005-0000-0000-000076230000}"/>
    <cellStyle name="Standard 6 3 6 2 8 2 2" xfId="21032" xr:uid="{35C602BF-EE30-4C01-B87F-817BA1094A7A}"/>
    <cellStyle name="Standard 6 3 6 2 8 3" xfId="21031" xr:uid="{7FC58C94-D7DF-4FB9-8394-B6C7C0FAA5E9}"/>
    <cellStyle name="Standard 6 3 6 2 9" xfId="9072" xr:uid="{00000000-0005-0000-0000-000077230000}"/>
    <cellStyle name="Standard 6 3 6 2 9 2" xfId="21033" xr:uid="{BDE103B0-9E02-4DC4-8043-EFB91C417261}"/>
    <cellStyle name="Standard 6 3 6 3" xfId="9073" xr:uid="{00000000-0005-0000-0000-000078230000}"/>
    <cellStyle name="Standard 6 3 6 3 2" xfId="9074" xr:uid="{00000000-0005-0000-0000-000079230000}"/>
    <cellStyle name="Standard 6 3 6 3 2 2" xfId="9075" xr:uid="{00000000-0005-0000-0000-00007A230000}"/>
    <cellStyle name="Standard 6 3 6 3 2 2 2" xfId="21036" xr:uid="{D7423257-3FEE-4AE1-947A-C7B62437FBB5}"/>
    <cellStyle name="Standard 6 3 6 3 2 3" xfId="21035" xr:uid="{E65DA73D-B58C-4648-AF26-D5B68687FBAA}"/>
    <cellStyle name="Standard 6 3 6 3 3" xfId="9076" xr:uid="{00000000-0005-0000-0000-00007B230000}"/>
    <cellStyle name="Standard 6 3 6 3 3 2" xfId="21037" xr:uid="{2E80038F-950E-490F-B073-CAF0E75C3293}"/>
    <cellStyle name="Standard 6 3 6 3 4" xfId="21034" xr:uid="{34DE320D-5F7E-499A-A5CE-EC3D16283B51}"/>
    <cellStyle name="Standard 6 3 6 4" xfId="9077" xr:uid="{00000000-0005-0000-0000-00007C230000}"/>
    <cellStyle name="Standard 6 3 6 4 2" xfId="9078" xr:uid="{00000000-0005-0000-0000-00007D230000}"/>
    <cellStyle name="Standard 6 3 6 4 2 2" xfId="9079" xr:uid="{00000000-0005-0000-0000-00007E230000}"/>
    <cellStyle name="Standard 6 3 6 4 2 2 2" xfId="21040" xr:uid="{23CD9436-CE13-45A4-BDCB-C088620CF92D}"/>
    <cellStyle name="Standard 6 3 6 4 2 3" xfId="21039" xr:uid="{5D10052C-128F-4A32-9892-04E97B15F7A9}"/>
    <cellStyle name="Standard 6 3 6 4 3" xfId="9080" xr:uid="{00000000-0005-0000-0000-00007F230000}"/>
    <cellStyle name="Standard 6 3 6 4 3 2" xfId="21041" xr:uid="{58B0FCA1-773F-464E-AB3F-CBC065AE9448}"/>
    <cellStyle name="Standard 6 3 6 4 4" xfId="21038" xr:uid="{F7B870CF-5FC9-4A75-B612-9A5E46A8D5AF}"/>
    <cellStyle name="Standard 6 3 6 5" xfId="9081" xr:uid="{00000000-0005-0000-0000-000080230000}"/>
    <cellStyle name="Standard 6 3 6 5 2" xfId="9082" xr:uid="{00000000-0005-0000-0000-000081230000}"/>
    <cellStyle name="Standard 6 3 6 5 2 2" xfId="9083" xr:uid="{00000000-0005-0000-0000-000082230000}"/>
    <cellStyle name="Standard 6 3 6 5 2 2 2" xfId="21044" xr:uid="{4E752EE6-926E-4CF1-870B-9A26CFE6E1F2}"/>
    <cellStyle name="Standard 6 3 6 5 2 3" xfId="21043" xr:uid="{895F3076-9375-4BD4-941A-768A88DDC746}"/>
    <cellStyle name="Standard 6 3 6 5 3" xfId="9084" xr:uid="{00000000-0005-0000-0000-000083230000}"/>
    <cellStyle name="Standard 6 3 6 5 3 2" xfId="21045" xr:uid="{CBE4C127-63E9-4E2E-BFDB-4BD650FF2250}"/>
    <cellStyle name="Standard 6 3 6 5 4" xfId="21042" xr:uid="{2AF2B7C3-060A-4E99-993B-EDCB418F27DC}"/>
    <cellStyle name="Standard 6 3 6 6" xfId="9085" xr:uid="{00000000-0005-0000-0000-000084230000}"/>
    <cellStyle name="Standard 6 3 6 6 2" xfId="9086" xr:uid="{00000000-0005-0000-0000-000085230000}"/>
    <cellStyle name="Standard 6 3 6 6 2 2" xfId="9087" xr:uid="{00000000-0005-0000-0000-000086230000}"/>
    <cellStyle name="Standard 6 3 6 6 2 2 2" xfId="21048" xr:uid="{1BCB016E-9BF5-40AE-8D0A-5661D6DE2F6A}"/>
    <cellStyle name="Standard 6 3 6 6 2 3" xfId="21047" xr:uid="{4BA4E836-4E07-46C6-808B-D9AC46A823A6}"/>
    <cellStyle name="Standard 6 3 6 6 3" xfId="9088" xr:uid="{00000000-0005-0000-0000-000087230000}"/>
    <cellStyle name="Standard 6 3 6 6 3 2" xfId="21049" xr:uid="{F983D3D9-6944-43EB-BBF3-9BB9DC080138}"/>
    <cellStyle name="Standard 6 3 6 6 4" xfId="21046" xr:uid="{100EFE02-2542-4682-BBC4-F70A79DC2DCC}"/>
    <cellStyle name="Standard 6 3 6 7" xfId="9089" xr:uid="{00000000-0005-0000-0000-000088230000}"/>
    <cellStyle name="Standard 6 3 6 7 2" xfId="9090" xr:uid="{00000000-0005-0000-0000-000089230000}"/>
    <cellStyle name="Standard 6 3 6 7 2 2" xfId="9091" xr:uid="{00000000-0005-0000-0000-00008A230000}"/>
    <cellStyle name="Standard 6 3 6 7 2 2 2" xfId="21052" xr:uid="{B7D50C6C-EC16-4B25-8ADA-A9C0594AAB37}"/>
    <cellStyle name="Standard 6 3 6 7 2 3" xfId="21051" xr:uid="{CBBC6DFF-7BEE-48B1-830C-03A011F869B8}"/>
    <cellStyle name="Standard 6 3 6 7 3" xfId="9092" xr:uid="{00000000-0005-0000-0000-00008B230000}"/>
    <cellStyle name="Standard 6 3 6 7 3 2" xfId="21053" xr:uid="{0A2B5582-7B52-4366-B353-FC34F496C2FC}"/>
    <cellStyle name="Standard 6 3 6 7 4" xfId="21050" xr:uid="{BAE75313-F84E-4086-BBD1-FC89452781EB}"/>
    <cellStyle name="Standard 6 3 6 8" xfId="9093" xr:uid="{00000000-0005-0000-0000-00008C230000}"/>
    <cellStyle name="Standard 6 3 6 8 2" xfId="9094" xr:uid="{00000000-0005-0000-0000-00008D230000}"/>
    <cellStyle name="Standard 6 3 6 8 2 2" xfId="9095" xr:uid="{00000000-0005-0000-0000-00008E230000}"/>
    <cellStyle name="Standard 6 3 6 8 2 2 2" xfId="21056" xr:uid="{2A59832A-E9C7-4632-80D5-98AC6707D1FA}"/>
    <cellStyle name="Standard 6 3 6 8 2 3" xfId="21055" xr:uid="{CC939E3E-5188-4680-8FD3-CCBBE6D874D3}"/>
    <cellStyle name="Standard 6 3 6 8 3" xfId="9096" xr:uid="{00000000-0005-0000-0000-00008F230000}"/>
    <cellStyle name="Standard 6 3 6 8 3 2" xfId="21057" xr:uid="{53E8B4AC-50FF-4E79-8C72-50EB260B2926}"/>
    <cellStyle name="Standard 6 3 6 8 4" xfId="21054" xr:uid="{2DC0786F-1AF8-4D91-A8C1-15641939F21E}"/>
    <cellStyle name="Standard 6 3 6 9" xfId="9097" xr:uid="{00000000-0005-0000-0000-000090230000}"/>
    <cellStyle name="Standard 6 3 6 9 2" xfId="9098" xr:uid="{00000000-0005-0000-0000-000091230000}"/>
    <cellStyle name="Standard 6 3 6 9 2 2" xfId="21059" xr:uid="{20505C3F-15FD-4219-BC55-80478CD98493}"/>
    <cellStyle name="Standard 6 3 6 9 3" xfId="21058" xr:uid="{739C4A8F-2900-4AD2-8B3C-D94A6AEB5476}"/>
    <cellStyle name="Standard 6 3 7" xfId="9099" xr:uid="{00000000-0005-0000-0000-000092230000}"/>
    <cellStyle name="Standard 6 3 7 10" xfId="9100" xr:uid="{00000000-0005-0000-0000-000093230000}"/>
    <cellStyle name="Standard 6 3 7 10 2" xfId="21061" xr:uid="{9675A22B-32D0-4D3A-9A8F-F23038AEAB63}"/>
    <cellStyle name="Standard 6 3 7 11" xfId="21060" xr:uid="{4DEB7400-8573-4E0E-8AB5-588B883F9585}"/>
    <cellStyle name="Standard 6 3 7 2" xfId="9101" xr:uid="{00000000-0005-0000-0000-000094230000}"/>
    <cellStyle name="Standard 6 3 7 2 10" xfId="21062" xr:uid="{058B5D84-992C-4E43-A4AC-03F4DFA623A3}"/>
    <cellStyle name="Standard 6 3 7 2 2" xfId="9102" xr:uid="{00000000-0005-0000-0000-000095230000}"/>
    <cellStyle name="Standard 6 3 7 2 2 2" xfId="9103" xr:uid="{00000000-0005-0000-0000-000096230000}"/>
    <cellStyle name="Standard 6 3 7 2 2 2 2" xfId="9104" xr:uid="{00000000-0005-0000-0000-000097230000}"/>
    <cellStyle name="Standard 6 3 7 2 2 2 2 2" xfId="21065" xr:uid="{B19176FD-ED97-4AD3-BC2B-537CECFC448D}"/>
    <cellStyle name="Standard 6 3 7 2 2 2 3" xfId="21064" xr:uid="{44CC62FC-22CF-4AC9-9A40-871055D35B79}"/>
    <cellStyle name="Standard 6 3 7 2 2 3" xfId="9105" xr:uid="{00000000-0005-0000-0000-000098230000}"/>
    <cellStyle name="Standard 6 3 7 2 2 3 2" xfId="21066" xr:uid="{0E9D1A50-30D8-45A0-B7FC-F7A4B76D4BCC}"/>
    <cellStyle name="Standard 6 3 7 2 2 4" xfId="21063" xr:uid="{E2FFBE0F-6FF2-432F-A7FF-533A185546F4}"/>
    <cellStyle name="Standard 6 3 7 2 3" xfId="9106" xr:uid="{00000000-0005-0000-0000-000099230000}"/>
    <cellStyle name="Standard 6 3 7 2 3 2" xfId="9107" xr:uid="{00000000-0005-0000-0000-00009A230000}"/>
    <cellStyle name="Standard 6 3 7 2 3 2 2" xfId="9108" xr:uid="{00000000-0005-0000-0000-00009B230000}"/>
    <cellStyle name="Standard 6 3 7 2 3 2 2 2" xfId="21069" xr:uid="{D646C8B0-D9BE-40FF-B4ED-25BF41BAE51B}"/>
    <cellStyle name="Standard 6 3 7 2 3 2 3" xfId="21068" xr:uid="{82034776-B537-4580-8B0E-9C1A0FE86412}"/>
    <cellStyle name="Standard 6 3 7 2 3 3" xfId="9109" xr:uid="{00000000-0005-0000-0000-00009C230000}"/>
    <cellStyle name="Standard 6 3 7 2 3 3 2" xfId="21070" xr:uid="{B1A3FBB5-2A37-4C7A-9C49-F101DAD1BDA1}"/>
    <cellStyle name="Standard 6 3 7 2 3 4" xfId="21067" xr:uid="{BD47C322-CFDB-4A5F-9CC9-06525D209071}"/>
    <cellStyle name="Standard 6 3 7 2 4" xfId="9110" xr:uid="{00000000-0005-0000-0000-00009D230000}"/>
    <cellStyle name="Standard 6 3 7 2 4 2" xfId="9111" xr:uid="{00000000-0005-0000-0000-00009E230000}"/>
    <cellStyle name="Standard 6 3 7 2 4 2 2" xfId="9112" xr:uid="{00000000-0005-0000-0000-00009F230000}"/>
    <cellStyle name="Standard 6 3 7 2 4 2 2 2" xfId="21073" xr:uid="{6EA28FEB-C855-4842-AE44-51F77ACA504A}"/>
    <cellStyle name="Standard 6 3 7 2 4 2 3" xfId="21072" xr:uid="{7EE48AB7-A22E-46FD-A847-F2F2B0BFE613}"/>
    <cellStyle name="Standard 6 3 7 2 4 3" xfId="9113" xr:uid="{00000000-0005-0000-0000-0000A0230000}"/>
    <cellStyle name="Standard 6 3 7 2 4 3 2" xfId="21074" xr:uid="{F0B90C06-D01E-436E-91CF-8F08C8F95D1D}"/>
    <cellStyle name="Standard 6 3 7 2 4 4" xfId="21071" xr:uid="{25B791C9-63FA-4BBF-BEEF-43C63CB547EE}"/>
    <cellStyle name="Standard 6 3 7 2 5" xfId="9114" xr:uid="{00000000-0005-0000-0000-0000A1230000}"/>
    <cellStyle name="Standard 6 3 7 2 5 2" xfId="9115" xr:uid="{00000000-0005-0000-0000-0000A2230000}"/>
    <cellStyle name="Standard 6 3 7 2 5 2 2" xfId="9116" xr:uid="{00000000-0005-0000-0000-0000A3230000}"/>
    <cellStyle name="Standard 6 3 7 2 5 2 2 2" xfId="21077" xr:uid="{25ADD584-203D-4E4E-A690-0D572B5B8628}"/>
    <cellStyle name="Standard 6 3 7 2 5 2 3" xfId="21076" xr:uid="{E01BD7A0-C319-41F2-9F98-86D075A5F1FD}"/>
    <cellStyle name="Standard 6 3 7 2 5 3" xfId="9117" xr:uid="{00000000-0005-0000-0000-0000A4230000}"/>
    <cellStyle name="Standard 6 3 7 2 5 3 2" xfId="21078" xr:uid="{9A23FF7F-ABF2-4324-816D-F17E7383A1DE}"/>
    <cellStyle name="Standard 6 3 7 2 5 4" xfId="21075" xr:uid="{3D78D24D-A4BB-40AB-9256-437E0DA063A6}"/>
    <cellStyle name="Standard 6 3 7 2 6" xfId="9118" xr:uid="{00000000-0005-0000-0000-0000A5230000}"/>
    <cellStyle name="Standard 6 3 7 2 6 2" xfId="9119" xr:uid="{00000000-0005-0000-0000-0000A6230000}"/>
    <cellStyle name="Standard 6 3 7 2 6 2 2" xfId="9120" xr:uid="{00000000-0005-0000-0000-0000A7230000}"/>
    <cellStyle name="Standard 6 3 7 2 6 2 2 2" xfId="21081" xr:uid="{04D90AAF-8DB0-4334-9DC8-9A8EF9586B7D}"/>
    <cellStyle name="Standard 6 3 7 2 6 2 3" xfId="21080" xr:uid="{303EFF64-C766-4514-AE43-1F14098855F5}"/>
    <cellStyle name="Standard 6 3 7 2 6 3" xfId="9121" xr:uid="{00000000-0005-0000-0000-0000A8230000}"/>
    <cellStyle name="Standard 6 3 7 2 6 3 2" xfId="21082" xr:uid="{37822B33-2FBE-4590-A23B-998E915C3460}"/>
    <cellStyle name="Standard 6 3 7 2 6 4" xfId="21079" xr:uid="{EFD17963-7BDE-420A-B330-FBA85B53F41D}"/>
    <cellStyle name="Standard 6 3 7 2 7" xfId="9122" xr:uid="{00000000-0005-0000-0000-0000A9230000}"/>
    <cellStyle name="Standard 6 3 7 2 7 2" xfId="9123" xr:uid="{00000000-0005-0000-0000-0000AA230000}"/>
    <cellStyle name="Standard 6 3 7 2 7 2 2" xfId="9124" xr:uid="{00000000-0005-0000-0000-0000AB230000}"/>
    <cellStyle name="Standard 6 3 7 2 7 2 2 2" xfId="21085" xr:uid="{9A9096D2-C5F5-4C3A-99D8-1598FBDCA212}"/>
    <cellStyle name="Standard 6 3 7 2 7 2 3" xfId="21084" xr:uid="{2BDEB17F-EBF7-4BC8-8094-7B30584432FD}"/>
    <cellStyle name="Standard 6 3 7 2 7 3" xfId="9125" xr:uid="{00000000-0005-0000-0000-0000AC230000}"/>
    <cellStyle name="Standard 6 3 7 2 7 3 2" xfId="21086" xr:uid="{F55BFDDE-3919-44E0-99BE-6EE4CB7C8C88}"/>
    <cellStyle name="Standard 6 3 7 2 7 4" xfId="21083" xr:uid="{4542D183-A4CF-45E2-8830-BA7C70B42623}"/>
    <cellStyle name="Standard 6 3 7 2 8" xfId="9126" xr:uid="{00000000-0005-0000-0000-0000AD230000}"/>
    <cellStyle name="Standard 6 3 7 2 8 2" xfId="9127" xr:uid="{00000000-0005-0000-0000-0000AE230000}"/>
    <cellStyle name="Standard 6 3 7 2 8 2 2" xfId="21088" xr:uid="{5D1C7211-CC4D-4F11-9F9C-824D125F4383}"/>
    <cellStyle name="Standard 6 3 7 2 8 3" xfId="21087" xr:uid="{0A93B937-9168-48E7-A4AB-24346DB1A4DE}"/>
    <cellStyle name="Standard 6 3 7 2 9" xfId="9128" xr:uid="{00000000-0005-0000-0000-0000AF230000}"/>
    <cellStyle name="Standard 6 3 7 2 9 2" xfId="21089" xr:uid="{DF48E7BF-F761-4ECD-9A89-3778BB48867E}"/>
    <cellStyle name="Standard 6 3 7 3" xfId="9129" xr:uid="{00000000-0005-0000-0000-0000B0230000}"/>
    <cellStyle name="Standard 6 3 7 3 2" xfId="9130" xr:uid="{00000000-0005-0000-0000-0000B1230000}"/>
    <cellStyle name="Standard 6 3 7 3 2 2" xfId="9131" xr:uid="{00000000-0005-0000-0000-0000B2230000}"/>
    <cellStyle name="Standard 6 3 7 3 2 2 2" xfId="21092" xr:uid="{C2B247C9-91D5-4073-B65F-1EC941F8049A}"/>
    <cellStyle name="Standard 6 3 7 3 2 3" xfId="21091" xr:uid="{753BB799-D1A6-4959-824A-244B1EDD0893}"/>
    <cellStyle name="Standard 6 3 7 3 3" xfId="9132" xr:uid="{00000000-0005-0000-0000-0000B3230000}"/>
    <cellStyle name="Standard 6 3 7 3 3 2" xfId="21093" xr:uid="{A297BC6B-419C-49DF-A393-642D8BE96CD2}"/>
    <cellStyle name="Standard 6 3 7 3 4" xfId="21090" xr:uid="{18DF4E4F-D108-4B8B-8C60-C06E09A38855}"/>
    <cellStyle name="Standard 6 3 7 4" xfId="9133" xr:uid="{00000000-0005-0000-0000-0000B4230000}"/>
    <cellStyle name="Standard 6 3 7 4 2" xfId="9134" xr:uid="{00000000-0005-0000-0000-0000B5230000}"/>
    <cellStyle name="Standard 6 3 7 4 2 2" xfId="9135" xr:uid="{00000000-0005-0000-0000-0000B6230000}"/>
    <cellStyle name="Standard 6 3 7 4 2 2 2" xfId="21096" xr:uid="{08842399-6CF6-448B-87FC-F571A9973F9F}"/>
    <cellStyle name="Standard 6 3 7 4 2 3" xfId="21095" xr:uid="{9E7BA0FB-E4D4-4BA6-B141-6AFFDC270E13}"/>
    <cellStyle name="Standard 6 3 7 4 3" xfId="9136" xr:uid="{00000000-0005-0000-0000-0000B7230000}"/>
    <cellStyle name="Standard 6 3 7 4 3 2" xfId="21097" xr:uid="{CF5346C9-A0B2-4B9F-8EF2-97108635DE67}"/>
    <cellStyle name="Standard 6 3 7 4 4" xfId="21094" xr:uid="{4F4B98A8-B037-457E-A382-9CBFE9AA3BF9}"/>
    <cellStyle name="Standard 6 3 7 5" xfId="9137" xr:uid="{00000000-0005-0000-0000-0000B8230000}"/>
    <cellStyle name="Standard 6 3 7 5 2" xfId="9138" xr:uid="{00000000-0005-0000-0000-0000B9230000}"/>
    <cellStyle name="Standard 6 3 7 5 2 2" xfId="9139" xr:uid="{00000000-0005-0000-0000-0000BA230000}"/>
    <cellStyle name="Standard 6 3 7 5 2 2 2" xfId="21100" xr:uid="{E141AE04-48A4-45B4-86B5-CF2576F77FA3}"/>
    <cellStyle name="Standard 6 3 7 5 2 3" xfId="21099" xr:uid="{D2965A47-4836-4F88-9EEC-67F5738E66FB}"/>
    <cellStyle name="Standard 6 3 7 5 3" xfId="9140" xr:uid="{00000000-0005-0000-0000-0000BB230000}"/>
    <cellStyle name="Standard 6 3 7 5 3 2" xfId="21101" xr:uid="{D5332F20-935A-4A25-A437-7F86C8DA3DD3}"/>
    <cellStyle name="Standard 6 3 7 5 4" xfId="21098" xr:uid="{1B831C32-A8E3-44CE-BB86-06F17F11A3F2}"/>
    <cellStyle name="Standard 6 3 7 6" xfId="9141" xr:uid="{00000000-0005-0000-0000-0000BC230000}"/>
    <cellStyle name="Standard 6 3 7 6 2" xfId="9142" xr:uid="{00000000-0005-0000-0000-0000BD230000}"/>
    <cellStyle name="Standard 6 3 7 6 2 2" xfId="9143" xr:uid="{00000000-0005-0000-0000-0000BE230000}"/>
    <cellStyle name="Standard 6 3 7 6 2 2 2" xfId="21104" xr:uid="{088BEE29-9E7A-45EF-A726-2BAD19E2FBE7}"/>
    <cellStyle name="Standard 6 3 7 6 2 3" xfId="21103" xr:uid="{8606517C-3B90-443B-9F6C-1BA7180DBDD4}"/>
    <cellStyle name="Standard 6 3 7 6 3" xfId="9144" xr:uid="{00000000-0005-0000-0000-0000BF230000}"/>
    <cellStyle name="Standard 6 3 7 6 3 2" xfId="21105" xr:uid="{01AF1825-1615-4290-A476-47FF3DEA7B2F}"/>
    <cellStyle name="Standard 6 3 7 6 4" xfId="21102" xr:uid="{7E391A33-8ADA-4860-AF19-A51978DDFFEF}"/>
    <cellStyle name="Standard 6 3 7 7" xfId="9145" xr:uid="{00000000-0005-0000-0000-0000C0230000}"/>
    <cellStyle name="Standard 6 3 7 7 2" xfId="9146" xr:uid="{00000000-0005-0000-0000-0000C1230000}"/>
    <cellStyle name="Standard 6 3 7 7 2 2" xfId="9147" xr:uid="{00000000-0005-0000-0000-0000C2230000}"/>
    <cellStyle name="Standard 6 3 7 7 2 2 2" xfId="21108" xr:uid="{465F7959-7BAD-4802-B192-6FE8AB6DA7DE}"/>
    <cellStyle name="Standard 6 3 7 7 2 3" xfId="21107" xr:uid="{8D1BC868-1618-4321-8DBC-5DCA27B54041}"/>
    <cellStyle name="Standard 6 3 7 7 3" xfId="9148" xr:uid="{00000000-0005-0000-0000-0000C3230000}"/>
    <cellStyle name="Standard 6 3 7 7 3 2" xfId="21109" xr:uid="{73BA358B-4F3A-4286-A1DA-F1BF4741D1C6}"/>
    <cellStyle name="Standard 6 3 7 7 4" xfId="21106" xr:uid="{C91997E2-9E03-4D4A-AE1D-DAAF10D6DACD}"/>
    <cellStyle name="Standard 6 3 7 8" xfId="9149" xr:uid="{00000000-0005-0000-0000-0000C4230000}"/>
    <cellStyle name="Standard 6 3 7 8 2" xfId="9150" xr:uid="{00000000-0005-0000-0000-0000C5230000}"/>
    <cellStyle name="Standard 6 3 7 8 2 2" xfId="9151" xr:uid="{00000000-0005-0000-0000-0000C6230000}"/>
    <cellStyle name="Standard 6 3 7 8 2 2 2" xfId="21112" xr:uid="{7B04FE45-A757-403F-B891-380D809043F9}"/>
    <cellStyle name="Standard 6 3 7 8 2 3" xfId="21111" xr:uid="{A1075CA9-0B70-40A3-851F-427B7C1C6287}"/>
    <cellStyle name="Standard 6 3 7 8 3" xfId="9152" xr:uid="{00000000-0005-0000-0000-0000C7230000}"/>
    <cellStyle name="Standard 6 3 7 8 3 2" xfId="21113" xr:uid="{3D77F4B4-7EF1-41EE-9EDD-28DF4699E6F6}"/>
    <cellStyle name="Standard 6 3 7 8 4" xfId="21110" xr:uid="{8E0026F7-8FD2-4F73-BEF7-AB24FF6D8834}"/>
    <cellStyle name="Standard 6 3 7 9" xfId="9153" xr:uid="{00000000-0005-0000-0000-0000C8230000}"/>
    <cellStyle name="Standard 6 3 7 9 2" xfId="9154" xr:uid="{00000000-0005-0000-0000-0000C9230000}"/>
    <cellStyle name="Standard 6 3 7 9 2 2" xfId="21115" xr:uid="{45DD2629-0209-4433-85A0-440846CE70D0}"/>
    <cellStyle name="Standard 6 3 7 9 3" xfId="21114" xr:uid="{3A32B5CE-F5AA-4580-93EF-9EDAC0EB5D62}"/>
    <cellStyle name="Standard 6 3 8" xfId="9155" xr:uid="{00000000-0005-0000-0000-0000CA230000}"/>
    <cellStyle name="Standard 6 3 8 10" xfId="9156" xr:uid="{00000000-0005-0000-0000-0000CB230000}"/>
    <cellStyle name="Standard 6 3 8 10 2" xfId="21117" xr:uid="{2C6EE71F-A436-465B-8F33-732202CFA07F}"/>
    <cellStyle name="Standard 6 3 8 11" xfId="21116" xr:uid="{B0872C68-9BC0-411E-9E40-94626E5821C4}"/>
    <cellStyle name="Standard 6 3 8 2" xfId="9157" xr:uid="{00000000-0005-0000-0000-0000CC230000}"/>
    <cellStyle name="Standard 6 3 8 2 10" xfId="21118" xr:uid="{FB553456-3243-4047-9350-6D349057DA22}"/>
    <cellStyle name="Standard 6 3 8 2 2" xfId="9158" xr:uid="{00000000-0005-0000-0000-0000CD230000}"/>
    <cellStyle name="Standard 6 3 8 2 2 2" xfId="9159" xr:uid="{00000000-0005-0000-0000-0000CE230000}"/>
    <cellStyle name="Standard 6 3 8 2 2 2 2" xfId="9160" xr:uid="{00000000-0005-0000-0000-0000CF230000}"/>
    <cellStyle name="Standard 6 3 8 2 2 2 2 2" xfId="21121" xr:uid="{794B1FE2-2717-486C-B4D7-F7CDEC11DD86}"/>
    <cellStyle name="Standard 6 3 8 2 2 2 3" xfId="21120" xr:uid="{6A71D860-54CE-4437-A3AD-4DB44906396D}"/>
    <cellStyle name="Standard 6 3 8 2 2 3" xfId="9161" xr:uid="{00000000-0005-0000-0000-0000D0230000}"/>
    <cellStyle name="Standard 6 3 8 2 2 3 2" xfId="21122" xr:uid="{75FB60CF-1F24-47EC-8BB1-9B6AE8B85462}"/>
    <cellStyle name="Standard 6 3 8 2 2 4" xfId="21119" xr:uid="{FABCE3F5-DCF7-4970-8F63-1CD4FF548179}"/>
    <cellStyle name="Standard 6 3 8 2 3" xfId="9162" xr:uid="{00000000-0005-0000-0000-0000D1230000}"/>
    <cellStyle name="Standard 6 3 8 2 3 2" xfId="9163" xr:uid="{00000000-0005-0000-0000-0000D2230000}"/>
    <cellStyle name="Standard 6 3 8 2 3 2 2" xfId="9164" xr:uid="{00000000-0005-0000-0000-0000D3230000}"/>
    <cellStyle name="Standard 6 3 8 2 3 2 2 2" xfId="21125" xr:uid="{595451BB-AFED-4CB4-8353-F638302F0294}"/>
    <cellStyle name="Standard 6 3 8 2 3 2 3" xfId="21124" xr:uid="{0114E445-8CF6-4EBE-869A-3D34E2D5CFD6}"/>
    <cellStyle name="Standard 6 3 8 2 3 3" xfId="9165" xr:uid="{00000000-0005-0000-0000-0000D4230000}"/>
    <cellStyle name="Standard 6 3 8 2 3 3 2" xfId="21126" xr:uid="{5D9763A6-0F1C-44C3-B7BD-4669A093121B}"/>
    <cellStyle name="Standard 6 3 8 2 3 4" xfId="21123" xr:uid="{44A10306-49F4-4A8A-9B04-BDBC183F4E9F}"/>
    <cellStyle name="Standard 6 3 8 2 4" xfId="9166" xr:uid="{00000000-0005-0000-0000-0000D5230000}"/>
    <cellStyle name="Standard 6 3 8 2 4 2" xfId="9167" xr:uid="{00000000-0005-0000-0000-0000D6230000}"/>
    <cellStyle name="Standard 6 3 8 2 4 2 2" xfId="9168" xr:uid="{00000000-0005-0000-0000-0000D7230000}"/>
    <cellStyle name="Standard 6 3 8 2 4 2 2 2" xfId="21129" xr:uid="{554500C7-C76E-4597-817C-57BE197E5FCD}"/>
    <cellStyle name="Standard 6 3 8 2 4 2 3" xfId="21128" xr:uid="{B91D9FD6-9F12-4FFF-9880-C2B0CB301397}"/>
    <cellStyle name="Standard 6 3 8 2 4 3" xfId="9169" xr:uid="{00000000-0005-0000-0000-0000D8230000}"/>
    <cellStyle name="Standard 6 3 8 2 4 3 2" xfId="21130" xr:uid="{F78EF6A2-FACA-49AD-951B-715ADF467395}"/>
    <cellStyle name="Standard 6 3 8 2 4 4" xfId="21127" xr:uid="{C830FCB5-5C67-4F72-991D-91869C46841B}"/>
    <cellStyle name="Standard 6 3 8 2 5" xfId="9170" xr:uid="{00000000-0005-0000-0000-0000D9230000}"/>
    <cellStyle name="Standard 6 3 8 2 5 2" xfId="9171" xr:uid="{00000000-0005-0000-0000-0000DA230000}"/>
    <cellStyle name="Standard 6 3 8 2 5 2 2" xfId="9172" xr:uid="{00000000-0005-0000-0000-0000DB230000}"/>
    <cellStyle name="Standard 6 3 8 2 5 2 2 2" xfId="21133" xr:uid="{7E642498-408D-49E0-B2C1-3BAB92FC4B50}"/>
    <cellStyle name="Standard 6 3 8 2 5 2 3" xfId="21132" xr:uid="{9F959C59-698A-42B0-82AC-5A8CCCAFBE75}"/>
    <cellStyle name="Standard 6 3 8 2 5 3" xfId="9173" xr:uid="{00000000-0005-0000-0000-0000DC230000}"/>
    <cellStyle name="Standard 6 3 8 2 5 3 2" xfId="21134" xr:uid="{D158C518-56E8-47CD-91D0-77A29884A4BB}"/>
    <cellStyle name="Standard 6 3 8 2 5 4" xfId="21131" xr:uid="{F1683407-1F43-41D0-A33C-90502527FDC9}"/>
    <cellStyle name="Standard 6 3 8 2 6" xfId="9174" xr:uid="{00000000-0005-0000-0000-0000DD230000}"/>
    <cellStyle name="Standard 6 3 8 2 6 2" xfId="9175" xr:uid="{00000000-0005-0000-0000-0000DE230000}"/>
    <cellStyle name="Standard 6 3 8 2 6 2 2" xfId="9176" xr:uid="{00000000-0005-0000-0000-0000DF230000}"/>
    <cellStyle name="Standard 6 3 8 2 6 2 2 2" xfId="21137" xr:uid="{D8E833EC-01A4-44A7-82BD-999449A6854A}"/>
    <cellStyle name="Standard 6 3 8 2 6 2 3" xfId="21136" xr:uid="{04A13642-260A-4D7B-A90A-DBB9646E4DEF}"/>
    <cellStyle name="Standard 6 3 8 2 6 3" xfId="9177" xr:uid="{00000000-0005-0000-0000-0000E0230000}"/>
    <cellStyle name="Standard 6 3 8 2 6 3 2" xfId="21138" xr:uid="{183E6FCA-B171-431E-B36C-40B8E005B7C0}"/>
    <cellStyle name="Standard 6 3 8 2 6 4" xfId="21135" xr:uid="{4FF41BD8-5B12-4E40-B786-12E4EC78B4BB}"/>
    <cellStyle name="Standard 6 3 8 2 7" xfId="9178" xr:uid="{00000000-0005-0000-0000-0000E1230000}"/>
    <cellStyle name="Standard 6 3 8 2 7 2" xfId="9179" xr:uid="{00000000-0005-0000-0000-0000E2230000}"/>
    <cellStyle name="Standard 6 3 8 2 7 2 2" xfId="9180" xr:uid="{00000000-0005-0000-0000-0000E3230000}"/>
    <cellStyle name="Standard 6 3 8 2 7 2 2 2" xfId="21141" xr:uid="{62F6A335-D782-4D07-9043-0A94FCBC1511}"/>
    <cellStyle name="Standard 6 3 8 2 7 2 3" xfId="21140" xr:uid="{CB5CA856-491A-4772-8A54-81AED20E33EA}"/>
    <cellStyle name="Standard 6 3 8 2 7 3" xfId="9181" xr:uid="{00000000-0005-0000-0000-0000E4230000}"/>
    <cellStyle name="Standard 6 3 8 2 7 3 2" xfId="21142" xr:uid="{A14AE153-F661-4863-8F13-2F9E5CF4C96E}"/>
    <cellStyle name="Standard 6 3 8 2 7 4" xfId="21139" xr:uid="{391C06F9-BD54-41F0-9DD5-F1A8CC258C34}"/>
    <cellStyle name="Standard 6 3 8 2 8" xfId="9182" xr:uid="{00000000-0005-0000-0000-0000E5230000}"/>
    <cellStyle name="Standard 6 3 8 2 8 2" xfId="9183" xr:uid="{00000000-0005-0000-0000-0000E6230000}"/>
    <cellStyle name="Standard 6 3 8 2 8 2 2" xfId="21144" xr:uid="{5D76C91C-5684-4089-B617-74F610244AA9}"/>
    <cellStyle name="Standard 6 3 8 2 8 3" xfId="21143" xr:uid="{60ED3583-4A08-4148-8AED-686B39FBBE4C}"/>
    <cellStyle name="Standard 6 3 8 2 9" xfId="9184" xr:uid="{00000000-0005-0000-0000-0000E7230000}"/>
    <cellStyle name="Standard 6 3 8 2 9 2" xfId="21145" xr:uid="{5260B0A3-CF0C-4451-9DD6-33DAF8F671B4}"/>
    <cellStyle name="Standard 6 3 8 3" xfId="9185" xr:uid="{00000000-0005-0000-0000-0000E8230000}"/>
    <cellStyle name="Standard 6 3 8 3 2" xfId="9186" xr:uid="{00000000-0005-0000-0000-0000E9230000}"/>
    <cellStyle name="Standard 6 3 8 3 2 2" xfId="9187" xr:uid="{00000000-0005-0000-0000-0000EA230000}"/>
    <cellStyle name="Standard 6 3 8 3 2 2 2" xfId="21148" xr:uid="{5A1563D2-B312-4497-89D0-64749BB4A844}"/>
    <cellStyle name="Standard 6 3 8 3 2 3" xfId="21147" xr:uid="{F4B58049-F395-402A-B003-0E31DDBE1846}"/>
    <cellStyle name="Standard 6 3 8 3 3" xfId="9188" xr:uid="{00000000-0005-0000-0000-0000EB230000}"/>
    <cellStyle name="Standard 6 3 8 3 3 2" xfId="21149" xr:uid="{F80CFA04-892B-407E-A897-188884EA8656}"/>
    <cellStyle name="Standard 6 3 8 3 4" xfId="21146" xr:uid="{C301BF03-5959-48A9-A1B7-818FBB757C20}"/>
    <cellStyle name="Standard 6 3 8 4" xfId="9189" xr:uid="{00000000-0005-0000-0000-0000EC230000}"/>
    <cellStyle name="Standard 6 3 8 4 2" xfId="9190" xr:uid="{00000000-0005-0000-0000-0000ED230000}"/>
    <cellStyle name="Standard 6 3 8 4 2 2" xfId="9191" xr:uid="{00000000-0005-0000-0000-0000EE230000}"/>
    <cellStyle name="Standard 6 3 8 4 2 2 2" xfId="21152" xr:uid="{223ACF00-0DC7-4622-AA72-0FA624A5AFE5}"/>
    <cellStyle name="Standard 6 3 8 4 2 3" xfId="21151" xr:uid="{116FB4D8-B00B-4740-A514-D7ABBD8D0907}"/>
    <cellStyle name="Standard 6 3 8 4 3" xfId="9192" xr:uid="{00000000-0005-0000-0000-0000EF230000}"/>
    <cellStyle name="Standard 6 3 8 4 3 2" xfId="21153" xr:uid="{173BAE6D-989C-4D28-A5E9-3A69460B6420}"/>
    <cellStyle name="Standard 6 3 8 4 4" xfId="21150" xr:uid="{9C9E18FA-6C4E-4AF0-BA6E-B3EFA3E5A7C6}"/>
    <cellStyle name="Standard 6 3 8 5" xfId="9193" xr:uid="{00000000-0005-0000-0000-0000F0230000}"/>
    <cellStyle name="Standard 6 3 8 5 2" xfId="9194" xr:uid="{00000000-0005-0000-0000-0000F1230000}"/>
    <cellStyle name="Standard 6 3 8 5 2 2" xfId="9195" xr:uid="{00000000-0005-0000-0000-0000F2230000}"/>
    <cellStyle name="Standard 6 3 8 5 2 2 2" xfId="21156" xr:uid="{1314C22C-4024-4396-B445-8B4A2DD2048F}"/>
    <cellStyle name="Standard 6 3 8 5 2 3" xfId="21155" xr:uid="{DD4831C0-9F49-475C-9292-0362F1E4680F}"/>
    <cellStyle name="Standard 6 3 8 5 3" xfId="9196" xr:uid="{00000000-0005-0000-0000-0000F3230000}"/>
    <cellStyle name="Standard 6 3 8 5 3 2" xfId="21157" xr:uid="{88B73D06-FA99-4628-9784-E19E326434A5}"/>
    <cellStyle name="Standard 6 3 8 5 4" xfId="21154" xr:uid="{075F63F4-99B1-4F62-B32B-101344B623D5}"/>
    <cellStyle name="Standard 6 3 8 6" xfId="9197" xr:uid="{00000000-0005-0000-0000-0000F4230000}"/>
    <cellStyle name="Standard 6 3 8 6 2" xfId="9198" xr:uid="{00000000-0005-0000-0000-0000F5230000}"/>
    <cellStyle name="Standard 6 3 8 6 2 2" xfId="9199" xr:uid="{00000000-0005-0000-0000-0000F6230000}"/>
    <cellStyle name="Standard 6 3 8 6 2 2 2" xfId="21160" xr:uid="{59392A34-D8A5-426F-AE4B-EADA68641E28}"/>
    <cellStyle name="Standard 6 3 8 6 2 3" xfId="21159" xr:uid="{08448485-33A7-48F1-922E-6447097132D1}"/>
    <cellStyle name="Standard 6 3 8 6 3" xfId="9200" xr:uid="{00000000-0005-0000-0000-0000F7230000}"/>
    <cellStyle name="Standard 6 3 8 6 3 2" xfId="21161" xr:uid="{F20D7BB9-F1AB-4B62-B0F0-3E1701F689F1}"/>
    <cellStyle name="Standard 6 3 8 6 4" xfId="21158" xr:uid="{650B4E67-30A1-43A2-AE61-68206131B132}"/>
    <cellStyle name="Standard 6 3 8 7" xfId="9201" xr:uid="{00000000-0005-0000-0000-0000F8230000}"/>
    <cellStyle name="Standard 6 3 8 7 2" xfId="9202" xr:uid="{00000000-0005-0000-0000-0000F9230000}"/>
    <cellStyle name="Standard 6 3 8 7 2 2" xfId="9203" xr:uid="{00000000-0005-0000-0000-0000FA230000}"/>
    <cellStyle name="Standard 6 3 8 7 2 2 2" xfId="21164" xr:uid="{AD48E11B-E2F9-45AE-B5E6-44EB81E8BCC4}"/>
    <cellStyle name="Standard 6 3 8 7 2 3" xfId="21163" xr:uid="{D49379A0-8B18-41C9-BA24-F2951A24CCA9}"/>
    <cellStyle name="Standard 6 3 8 7 3" xfId="9204" xr:uid="{00000000-0005-0000-0000-0000FB230000}"/>
    <cellStyle name="Standard 6 3 8 7 3 2" xfId="21165" xr:uid="{5F7A3669-C7A2-42D9-847D-3DC2C391F5FD}"/>
    <cellStyle name="Standard 6 3 8 7 4" xfId="21162" xr:uid="{429EC0FE-5BB1-400E-84F6-FBAB424DABF9}"/>
    <cellStyle name="Standard 6 3 8 8" xfId="9205" xr:uid="{00000000-0005-0000-0000-0000FC230000}"/>
    <cellStyle name="Standard 6 3 8 8 2" xfId="9206" xr:uid="{00000000-0005-0000-0000-0000FD230000}"/>
    <cellStyle name="Standard 6 3 8 8 2 2" xfId="9207" xr:uid="{00000000-0005-0000-0000-0000FE230000}"/>
    <cellStyle name="Standard 6 3 8 8 2 2 2" xfId="21168" xr:uid="{FA5F187C-B1C8-4E84-9D2D-964DECEF33A7}"/>
    <cellStyle name="Standard 6 3 8 8 2 3" xfId="21167" xr:uid="{CBF5150C-821D-431F-AD86-15DDEF5FDC8E}"/>
    <cellStyle name="Standard 6 3 8 8 3" xfId="9208" xr:uid="{00000000-0005-0000-0000-0000FF230000}"/>
    <cellStyle name="Standard 6 3 8 8 3 2" xfId="21169" xr:uid="{9E23D102-35E3-4B87-8805-A83968EAF8F6}"/>
    <cellStyle name="Standard 6 3 8 8 4" xfId="21166" xr:uid="{1BBA9FD6-D7B9-4A5E-8C50-B2AFBA8F6708}"/>
    <cellStyle name="Standard 6 3 8 9" xfId="9209" xr:uid="{00000000-0005-0000-0000-000000240000}"/>
    <cellStyle name="Standard 6 3 8 9 2" xfId="9210" xr:uid="{00000000-0005-0000-0000-000001240000}"/>
    <cellStyle name="Standard 6 3 8 9 2 2" xfId="21171" xr:uid="{E0BFB7C6-5F11-4911-B534-379A49D5055C}"/>
    <cellStyle name="Standard 6 3 8 9 3" xfId="21170" xr:uid="{3781222D-8CB2-44FF-A433-ADBBA412B6A4}"/>
    <cellStyle name="Standard 6 3 9" xfId="9211" xr:uid="{00000000-0005-0000-0000-000002240000}"/>
    <cellStyle name="Standard 6 3 9 10" xfId="9212" xr:uid="{00000000-0005-0000-0000-000003240000}"/>
    <cellStyle name="Standard 6 3 9 10 2" xfId="21173" xr:uid="{B618220C-C9A9-4E57-A698-B63C05AB6C8F}"/>
    <cellStyle name="Standard 6 3 9 11" xfId="21172" xr:uid="{FC7494EB-BEAB-4503-A87B-864201596308}"/>
    <cellStyle name="Standard 6 3 9 2" xfId="9213" xr:uid="{00000000-0005-0000-0000-000004240000}"/>
    <cellStyle name="Standard 6 3 9 2 10" xfId="21174" xr:uid="{D74F4C2C-747A-4621-BE70-68E38FFD3809}"/>
    <cellStyle name="Standard 6 3 9 2 2" xfId="9214" xr:uid="{00000000-0005-0000-0000-000005240000}"/>
    <cellStyle name="Standard 6 3 9 2 2 2" xfId="9215" xr:uid="{00000000-0005-0000-0000-000006240000}"/>
    <cellStyle name="Standard 6 3 9 2 2 2 2" xfId="9216" xr:uid="{00000000-0005-0000-0000-000007240000}"/>
    <cellStyle name="Standard 6 3 9 2 2 2 2 2" xfId="21177" xr:uid="{085A9E9E-D43D-437D-9422-4CD6939451A0}"/>
    <cellStyle name="Standard 6 3 9 2 2 2 3" xfId="21176" xr:uid="{0A64670E-7A36-432E-A0A8-6F838680BBA0}"/>
    <cellStyle name="Standard 6 3 9 2 2 3" xfId="9217" xr:uid="{00000000-0005-0000-0000-000008240000}"/>
    <cellStyle name="Standard 6 3 9 2 2 3 2" xfId="21178" xr:uid="{6172C75B-819B-47D5-8A9C-984D5DAD717E}"/>
    <cellStyle name="Standard 6 3 9 2 2 4" xfId="21175" xr:uid="{BADE3EE1-900D-4C00-B929-73DD241EC532}"/>
    <cellStyle name="Standard 6 3 9 2 3" xfId="9218" xr:uid="{00000000-0005-0000-0000-000009240000}"/>
    <cellStyle name="Standard 6 3 9 2 3 2" xfId="9219" xr:uid="{00000000-0005-0000-0000-00000A240000}"/>
    <cellStyle name="Standard 6 3 9 2 3 2 2" xfId="9220" xr:uid="{00000000-0005-0000-0000-00000B240000}"/>
    <cellStyle name="Standard 6 3 9 2 3 2 2 2" xfId="21181" xr:uid="{F6AFF1E1-615F-4784-AC22-F0732C0173CF}"/>
    <cellStyle name="Standard 6 3 9 2 3 2 3" xfId="21180" xr:uid="{02C0BEA6-C6CF-4318-B285-1E14E94B5B0D}"/>
    <cellStyle name="Standard 6 3 9 2 3 3" xfId="9221" xr:uid="{00000000-0005-0000-0000-00000C240000}"/>
    <cellStyle name="Standard 6 3 9 2 3 3 2" xfId="21182" xr:uid="{B6049999-D29B-4304-8638-40705D948A15}"/>
    <cellStyle name="Standard 6 3 9 2 3 4" xfId="21179" xr:uid="{EBB7567C-2D01-400F-A647-42DA63CCBCF4}"/>
    <cellStyle name="Standard 6 3 9 2 4" xfId="9222" xr:uid="{00000000-0005-0000-0000-00000D240000}"/>
    <cellStyle name="Standard 6 3 9 2 4 2" xfId="9223" xr:uid="{00000000-0005-0000-0000-00000E240000}"/>
    <cellStyle name="Standard 6 3 9 2 4 2 2" xfId="9224" xr:uid="{00000000-0005-0000-0000-00000F240000}"/>
    <cellStyle name="Standard 6 3 9 2 4 2 2 2" xfId="21185" xr:uid="{16938ED1-1073-4A79-9193-ECE84CC4418D}"/>
    <cellStyle name="Standard 6 3 9 2 4 2 3" xfId="21184" xr:uid="{32F175CC-84AC-43DE-88D0-7853E551607D}"/>
    <cellStyle name="Standard 6 3 9 2 4 3" xfId="9225" xr:uid="{00000000-0005-0000-0000-000010240000}"/>
    <cellStyle name="Standard 6 3 9 2 4 3 2" xfId="21186" xr:uid="{D8D544A6-42B1-43E2-9880-9DEB4AA7E54D}"/>
    <cellStyle name="Standard 6 3 9 2 4 4" xfId="21183" xr:uid="{20F67506-9046-4E29-9E54-9AFC61F745D1}"/>
    <cellStyle name="Standard 6 3 9 2 5" xfId="9226" xr:uid="{00000000-0005-0000-0000-000011240000}"/>
    <cellStyle name="Standard 6 3 9 2 5 2" xfId="9227" xr:uid="{00000000-0005-0000-0000-000012240000}"/>
    <cellStyle name="Standard 6 3 9 2 5 2 2" xfId="9228" xr:uid="{00000000-0005-0000-0000-000013240000}"/>
    <cellStyle name="Standard 6 3 9 2 5 2 2 2" xfId="21189" xr:uid="{68CBB8CC-37F3-4F01-AA34-9A34DE50121B}"/>
    <cellStyle name="Standard 6 3 9 2 5 2 3" xfId="21188" xr:uid="{10CC5D86-C136-4DCF-B956-A61E4DB8DEE6}"/>
    <cellStyle name="Standard 6 3 9 2 5 3" xfId="9229" xr:uid="{00000000-0005-0000-0000-000014240000}"/>
    <cellStyle name="Standard 6 3 9 2 5 3 2" xfId="21190" xr:uid="{0A82AADF-6395-4851-9A0B-A09770EB5E58}"/>
    <cellStyle name="Standard 6 3 9 2 5 4" xfId="21187" xr:uid="{9368F6C8-48CD-4DF2-9D7E-3AC2FA456882}"/>
    <cellStyle name="Standard 6 3 9 2 6" xfId="9230" xr:uid="{00000000-0005-0000-0000-000015240000}"/>
    <cellStyle name="Standard 6 3 9 2 6 2" xfId="9231" xr:uid="{00000000-0005-0000-0000-000016240000}"/>
    <cellStyle name="Standard 6 3 9 2 6 2 2" xfId="9232" xr:uid="{00000000-0005-0000-0000-000017240000}"/>
    <cellStyle name="Standard 6 3 9 2 6 2 2 2" xfId="21193" xr:uid="{7B6D4581-56A6-4B68-AFC9-390701F01E50}"/>
    <cellStyle name="Standard 6 3 9 2 6 2 3" xfId="21192" xr:uid="{2D7AA568-E970-4420-8F90-C618A371C707}"/>
    <cellStyle name="Standard 6 3 9 2 6 3" xfId="9233" xr:uid="{00000000-0005-0000-0000-000018240000}"/>
    <cellStyle name="Standard 6 3 9 2 6 3 2" xfId="21194" xr:uid="{55C75748-D920-4F82-89BB-3B3C88A1042A}"/>
    <cellStyle name="Standard 6 3 9 2 6 4" xfId="21191" xr:uid="{EBFC76C1-B89C-40FC-95EC-E31AD557EB94}"/>
    <cellStyle name="Standard 6 3 9 2 7" xfId="9234" xr:uid="{00000000-0005-0000-0000-000019240000}"/>
    <cellStyle name="Standard 6 3 9 2 7 2" xfId="9235" xr:uid="{00000000-0005-0000-0000-00001A240000}"/>
    <cellStyle name="Standard 6 3 9 2 7 2 2" xfId="9236" xr:uid="{00000000-0005-0000-0000-00001B240000}"/>
    <cellStyle name="Standard 6 3 9 2 7 2 2 2" xfId="21197" xr:uid="{E893DC09-9D12-4F6F-98EF-D5630380EF94}"/>
    <cellStyle name="Standard 6 3 9 2 7 2 3" xfId="21196" xr:uid="{9F94C90F-B07E-48F4-8223-2A9894DE9796}"/>
    <cellStyle name="Standard 6 3 9 2 7 3" xfId="9237" xr:uid="{00000000-0005-0000-0000-00001C240000}"/>
    <cellStyle name="Standard 6 3 9 2 7 3 2" xfId="21198" xr:uid="{73D50552-7FB6-4409-9151-F2D8CF508549}"/>
    <cellStyle name="Standard 6 3 9 2 7 4" xfId="21195" xr:uid="{7B02027D-C9C6-4E0F-8693-D30E111A6515}"/>
    <cellStyle name="Standard 6 3 9 2 8" xfId="9238" xr:uid="{00000000-0005-0000-0000-00001D240000}"/>
    <cellStyle name="Standard 6 3 9 2 8 2" xfId="9239" xr:uid="{00000000-0005-0000-0000-00001E240000}"/>
    <cellStyle name="Standard 6 3 9 2 8 2 2" xfId="21200" xr:uid="{03FA52B7-8F71-41A0-BA06-A9112167367D}"/>
    <cellStyle name="Standard 6 3 9 2 8 3" xfId="21199" xr:uid="{631FF9F3-3EBE-4FC1-9647-09EAE0987148}"/>
    <cellStyle name="Standard 6 3 9 2 9" xfId="9240" xr:uid="{00000000-0005-0000-0000-00001F240000}"/>
    <cellStyle name="Standard 6 3 9 2 9 2" xfId="21201" xr:uid="{6A97893F-924A-4EFF-BF4C-1B49DC8FF8B3}"/>
    <cellStyle name="Standard 6 3 9 3" xfId="9241" xr:uid="{00000000-0005-0000-0000-000020240000}"/>
    <cellStyle name="Standard 6 3 9 3 2" xfId="9242" xr:uid="{00000000-0005-0000-0000-000021240000}"/>
    <cellStyle name="Standard 6 3 9 3 2 2" xfId="9243" xr:uid="{00000000-0005-0000-0000-000022240000}"/>
    <cellStyle name="Standard 6 3 9 3 2 2 2" xfId="21204" xr:uid="{7A4492AC-54E1-487B-840D-DB6BDA8999CF}"/>
    <cellStyle name="Standard 6 3 9 3 2 3" xfId="21203" xr:uid="{B186906E-9255-4622-A46E-7E1897C27551}"/>
    <cellStyle name="Standard 6 3 9 3 3" xfId="9244" xr:uid="{00000000-0005-0000-0000-000023240000}"/>
    <cellStyle name="Standard 6 3 9 3 3 2" xfId="21205" xr:uid="{38EDA868-986F-4FA1-B43C-2E42123ADD2A}"/>
    <cellStyle name="Standard 6 3 9 3 4" xfId="21202" xr:uid="{D61DB4B6-BF4D-49FF-8747-A94C2EBE4411}"/>
    <cellStyle name="Standard 6 3 9 4" xfId="9245" xr:uid="{00000000-0005-0000-0000-000024240000}"/>
    <cellStyle name="Standard 6 3 9 4 2" xfId="9246" xr:uid="{00000000-0005-0000-0000-000025240000}"/>
    <cellStyle name="Standard 6 3 9 4 2 2" xfId="9247" xr:uid="{00000000-0005-0000-0000-000026240000}"/>
    <cellStyle name="Standard 6 3 9 4 2 2 2" xfId="21208" xr:uid="{6984DDDE-DEDE-4326-832F-8043AECD88BE}"/>
    <cellStyle name="Standard 6 3 9 4 2 3" xfId="21207" xr:uid="{9B3694B9-1727-4C47-ACE0-AAA4E6E6010C}"/>
    <cellStyle name="Standard 6 3 9 4 3" xfId="9248" xr:uid="{00000000-0005-0000-0000-000027240000}"/>
    <cellStyle name="Standard 6 3 9 4 3 2" xfId="21209" xr:uid="{F220859C-CA6D-4ED8-9EAF-682CCE4BB146}"/>
    <cellStyle name="Standard 6 3 9 4 4" xfId="21206" xr:uid="{72347339-2C9E-4120-8677-792016303D50}"/>
    <cellStyle name="Standard 6 3 9 5" xfId="9249" xr:uid="{00000000-0005-0000-0000-000028240000}"/>
    <cellStyle name="Standard 6 3 9 5 2" xfId="9250" xr:uid="{00000000-0005-0000-0000-000029240000}"/>
    <cellStyle name="Standard 6 3 9 5 2 2" xfId="9251" xr:uid="{00000000-0005-0000-0000-00002A240000}"/>
    <cellStyle name="Standard 6 3 9 5 2 2 2" xfId="21212" xr:uid="{5DFC153A-2513-4155-A6DA-96B69063ABF1}"/>
    <cellStyle name="Standard 6 3 9 5 2 3" xfId="21211" xr:uid="{8D337DB5-BC57-428E-B589-F45EFDC0B350}"/>
    <cellStyle name="Standard 6 3 9 5 3" xfId="9252" xr:uid="{00000000-0005-0000-0000-00002B240000}"/>
    <cellStyle name="Standard 6 3 9 5 3 2" xfId="21213" xr:uid="{009CA212-A2E6-4DC4-8E6C-A848EC433B2C}"/>
    <cellStyle name="Standard 6 3 9 5 4" xfId="21210" xr:uid="{6AB22F5D-26BA-44E5-9E46-8BF5308878B3}"/>
    <cellStyle name="Standard 6 3 9 6" xfId="9253" xr:uid="{00000000-0005-0000-0000-00002C240000}"/>
    <cellStyle name="Standard 6 3 9 6 2" xfId="9254" xr:uid="{00000000-0005-0000-0000-00002D240000}"/>
    <cellStyle name="Standard 6 3 9 6 2 2" xfId="9255" xr:uid="{00000000-0005-0000-0000-00002E240000}"/>
    <cellStyle name="Standard 6 3 9 6 2 2 2" xfId="21216" xr:uid="{A439B82C-8B1C-49A6-B99A-3C4F3F70103B}"/>
    <cellStyle name="Standard 6 3 9 6 2 3" xfId="21215" xr:uid="{B5231F86-FAE7-4807-A9D1-4096223EFF2C}"/>
    <cellStyle name="Standard 6 3 9 6 3" xfId="9256" xr:uid="{00000000-0005-0000-0000-00002F240000}"/>
    <cellStyle name="Standard 6 3 9 6 3 2" xfId="21217" xr:uid="{A0E7BC6F-3BFC-4EC0-9A07-6DD61077E31B}"/>
    <cellStyle name="Standard 6 3 9 6 4" xfId="21214" xr:uid="{6BE33D82-5E38-45B3-9EB2-82E274468D7A}"/>
    <cellStyle name="Standard 6 3 9 7" xfId="9257" xr:uid="{00000000-0005-0000-0000-000030240000}"/>
    <cellStyle name="Standard 6 3 9 7 2" xfId="9258" xr:uid="{00000000-0005-0000-0000-000031240000}"/>
    <cellStyle name="Standard 6 3 9 7 2 2" xfId="9259" xr:uid="{00000000-0005-0000-0000-000032240000}"/>
    <cellStyle name="Standard 6 3 9 7 2 2 2" xfId="21220" xr:uid="{11475667-88E6-4741-AAD4-4EDA300FED92}"/>
    <cellStyle name="Standard 6 3 9 7 2 3" xfId="21219" xr:uid="{369A081F-47E0-4EAD-BC75-CC37F0346972}"/>
    <cellStyle name="Standard 6 3 9 7 3" xfId="9260" xr:uid="{00000000-0005-0000-0000-000033240000}"/>
    <cellStyle name="Standard 6 3 9 7 3 2" xfId="21221" xr:uid="{5E193CC4-B067-4019-989B-DD56C7EEFFE3}"/>
    <cellStyle name="Standard 6 3 9 7 4" xfId="21218" xr:uid="{B8B5E3C0-7ED7-42AB-9F3D-35407F965112}"/>
    <cellStyle name="Standard 6 3 9 8" xfId="9261" xr:uid="{00000000-0005-0000-0000-000034240000}"/>
    <cellStyle name="Standard 6 3 9 8 2" xfId="9262" xr:uid="{00000000-0005-0000-0000-000035240000}"/>
    <cellStyle name="Standard 6 3 9 8 2 2" xfId="9263" xr:uid="{00000000-0005-0000-0000-000036240000}"/>
    <cellStyle name="Standard 6 3 9 8 2 2 2" xfId="21224" xr:uid="{305436AC-A8EE-4636-B510-F20F1D68162F}"/>
    <cellStyle name="Standard 6 3 9 8 2 3" xfId="21223" xr:uid="{ECC6A07A-040B-4D32-AFC3-2F54F5E49E36}"/>
    <cellStyle name="Standard 6 3 9 8 3" xfId="9264" xr:uid="{00000000-0005-0000-0000-000037240000}"/>
    <cellStyle name="Standard 6 3 9 8 3 2" xfId="21225" xr:uid="{B27C3D0C-E904-4727-AB61-B2C618CF666D}"/>
    <cellStyle name="Standard 6 3 9 8 4" xfId="21222" xr:uid="{FD976AC7-6FCF-4F73-8369-912A4CEFBD57}"/>
    <cellStyle name="Standard 6 3 9 9" xfId="9265" xr:uid="{00000000-0005-0000-0000-000038240000}"/>
    <cellStyle name="Standard 6 3 9 9 2" xfId="9266" xr:uid="{00000000-0005-0000-0000-000039240000}"/>
    <cellStyle name="Standard 6 3 9 9 2 2" xfId="21227" xr:uid="{EB4C04A2-31DE-49BD-B487-9D90A425229C}"/>
    <cellStyle name="Standard 6 3 9 9 3" xfId="21226" xr:uid="{339CBE0F-FD22-42AB-ACEE-A549A834E43F}"/>
    <cellStyle name="Standard 6 4" xfId="9267" xr:uid="{00000000-0005-0000-0000-00003A240000}"/>
    <cellStyle name="Standard 6 4 10" xfId="9268" xr:uid="{00000000-0005-0000-0000-00003B240000}"/>
    <cellStyle name="Standard 6 4 10 10" xfId="21229" xr:uid="{7B83A17B-F9D2-4B09-8FD6-3C5C60E0E209}"/>
    <cellStyle name="Standard 6 4 10 2" xfId="9269" xr:uid="{00000000-0005-0000-0000-00003C240000}"/>
    <cellStyle name="Standard 6 4 10 2 2" xfId="9270" xr:uid="{00000000-0005-0000-0000-00003D240000}"/>
    <cellStyle name="Standard 6 4 10 2 2 2" xfId="9271" xr:uid="{00000000-0005-0000-0000-00003E240000}"/>
    <cellStyle name="Standard 6 4 10 2 2 2 2" xfId="21232" xr:uid="{D0BD4A56-83B0-47F5-B35E-223E435E3481}"/>
    <cellStyle name="Standard 6 4 10 2 2 3" xfId="21231" xr:uid="{E5BA89BC-EEA5-45CC-A188-5B04B47EBB44}"/>
    <cellStyle name="Standard 6 4 10 2 3" xfId="9272" xr:uid="{00000000-0005-0000-0000-00003F240000}"/>
    <cellStyle name="Standard 6 4 10 2 3 2" xfId="21233" xr:uid="{477F7BAB-CE80-4957-BD0A-620627133D5C}"/>
    <cellStyle name="Standard 6 4 10 2 4" xfId="21230" xr:uid="{A3DE9FFD-C776-4DB8-A0AE-90763FE4A91B}"/>
    <cellStyle name="Standard 6 4 10 3" xfId="9273" xr:uid="{00000000-0005-0000-0000-000040240000}"/>
    <cellStyle name="Standard 6 4 10 3 2" xfId="9274" xr:uid="{00000000-0005-0000-0000-000041240000}"/>
    <cellStyle name="Standard 6 4 10 3 2 2" xfId="9275" xr:uid="{00000000-0005-0000-0000-000042240000}"/>
    <cellStyle name="Standard 6 4 10 3 2 2 2" xfId="21236" xr:uid="{606B6B77-315C-434E-B540-0E293F40AD98}"/>
    <cellStyle name="Standard 6 4 10 3 2 3" xfId="21235" xr:uid="{E29891B6-02EA-49A3-8FC1-C569A8BC488D}"/>
    <cellStyle name="Standard 6 4 10 3 3" xfId="9276" xr:uid="{00000000-0005-0000-0000-000043240000}"/>
    <cellStyle name="Standard 6 4 10 3 3 2" xfId="21237" xr:uid="{1C19F8E4-B491-4489-98A2-533A006ED268}"/>
    <cellStyle name="Standard 6 4 10 3 4" xfId="21234" xr:uid="{C7C05A2F-0152-44AB-AEA3-ED9C4DCABA18}"/>
    <cellStyle name="Standard 6 4 10 4" xfId="9277" xr:uid="{00000000-0005-0000-0000-000044240000}"/>
    <cellStyle name="Standard 6 4 10 4 2" xfId="9278" xr:uid="{00000000-0005-0000-0000-000045240000}"/>
    <cellStyle name="Standard 6 4 10 4 2 2" xfId="9279" xr:uid="{00000000-0005-0000-0000-000046240000}"/>
    <cellStyle name="Standard 6 4 10 4 2 2 2" xfId="21240" xr:uid="{43BB08F5-8401-4AEA-BE52-51D3D03E4589}"/>
    <cellStyle name="Standard 6 4 10 4 2 3" xfId="21239" xr:uid="{E8066F7F-33A4-40F9-A93B-63A0679C2723}"/>
    <cellStyle name="Standard 6 4 10 4 3" xfId="9280" xr:uid="{00000000-0005-0000-0000-000047240000}"/>
    <cellStyle name="Standard 6 4 10 4 3 2" xfId="21241" xr:uid="{672AD945-6069-4C88-A640-61DA105C4B85}"/>
    <cellStyle name="Standard 6 4 10 4 4" xfId="21238" xr:uid="{8D52ED03-23E9-496D-BF3F-75985B78EF51}"/>
    <cellStyle name="Standard 6 4 10 5" xfId="9281" xr:uid="{00000000-0005-0000-0000-000048240000}"/>
    <cellStyle name="Standard 6 4 10 5 2" xfId="9282" xr:uid="{00000000-0005-0000-0000-000049240000}"/>
    <cellStyle name="Standard 6 4 10 5 2 2" xfId="9283" xr:uid="{00000000-0005-0000-0000-00004A240000}"/>
    <cellStyle name="Standard 6 4 10 5 2 2 2" xfId="21244" xr:uid="{3A29F005-0B32-4130-87C3-FF5C757B30D7}"/>
    <cellStyle name="Standard 6 4 10 5 2 3" xfId="21243" xr:uid="{95557900-4453-4C48-996A-8E866569342C}"/>
    <cellStyle name="Standard 6 4 10 5 3" xfId="9284" xr:uid="{00000000-0005-0000-0000-00004B240000}"/>
    <cellStyle name="Standard 6 4 10 5 3 2" xfId="21245" xr:uid="{9E581C89-6B22-4387-9F40-DA03F6DC4686}"/>
    <cellStyle name="Standard 6 4 10 5 4" xfId="21242" xr:uid="{5EE1C7A1-B490-4120-A512-2EE625D2BB69}"/>
    <cellStyle name="Standard 6 4 10 6" xfId="9285" xr:uid="{00000000-0005-0000-0000-00004C240000}"/>
    <cellStyle name="Standard 6 4 10 6 2" xfId="9286" xr:uid="{00000000-0005-0000-0000-00004D240000}"/>
    <cellStyle name="Standard 6 4 10 6 2 2" xfId="9287" xr:uid="{00000000-0005-0000-0000-00004E240000}"/>
    <cellStyle name="Standard 6 4 10 6 2 2 2" xfId="21248" xr:uid="{86315F7B-DF09-44D7-8BC0-DCEC7FDE4DA8}"/>
    <cellStyle name="Standard 6 4 10 6 2 3" xfId="21247" xr:uid="{7D0497FC-5DEC-4069-BC59-93417D5C3ED4}"/>
    <cellStyle name="Standard 6 4 10 6 3" xfId="9288" xr:uid="{00000000-0005-0000-0000-00004F240000}"/>
    <cellStyle name="Standard 6 4 10 6 3 2" xfId="21249" xr:uid="{07E849E5-D545-41B8-AC59-4E1D9F4C8BAB}"/>
    <cellStyle name="Standard 6 4 10 6 4" xfId="21246" xr:uid="{321CD521-9777-49F4-9FD6-0BC2091ACE05}"/>
    <cellStyle name="Standard 6 4 10 7" xfId="9289" xr:uid="{00000000-0005-0000-0000-000050240000}"/>
    <cellStyle name="Standard 6 4 10 7 2" xfId="9290" xr:uid="{00000000-0005-0000-0000-000051240000}"/>
    <cellStyle name="Standard 6 4 10 7 2 2" xfId="9291" xr:uid="{00000000-0005-0000-0000-000052240000}"/>
    <cellStyle name="Standard 6 4 10 7 2 2 2" xfId="21252" xr:uid="{B925E816-23DC-4BB1-A595-B06B7B07E420}"/>
    <cellStyle name="Standard 6 4 10 7 2 3" xfId="21251" xr:uid="{23E2D92A-261E-4E3E-A08A-D7BFBFDC2242}"/>
    <cellStyle name="Standard 6 4 10 7 3" xfId="9292" xr:uid="{00000000-0005-0000-0000-000053240000}"/>
    <cellStyle name="Standard 6 4 10 7 3 2" xfId="21253" xr:uid="{844F6A30-4825-4539-8E51-163FD7267778}"/>
    <cellStyle name="Standard 6 4 10 7 4" xfId="21250" xr:uid="{4A959A90-2773-4B38-A297-6D9E7186ABED}"/>
    <cellStyle name="Standard 6 4 10 8" xfId="9293" xr:uid="{00000000-0005-0000-0000-000054240000}"/>
    <cellStyle name="Standard 6 4 10 8 2" xfId="9294" xr:uid="{00000000-0005-0000-0000-000055240000}"/>
    <cellStyle name="Standard 6 4 10 8 2 2" xfId="21255" xr:uid="{0C511DB1-1245-4F8C-A6BC-A30479DB5CE9}"/>
    <cellStyle name="Standard 6 4 10 8 3" xfId="21254" xr:uid="{C9F8F721-AA44-49C3-87DC-A9094A03E588}"/>
    <cellStyle name="Standard 6 4 10 9" xfId="9295" xr:uid="{00000000-0005-0000-0000-000056240000}"/>
    <cellStyle name="Standard 6 4 10 9 2" xfId="21256" xr:uid="{AE3983F4-9371-42DD-BA02-94FC6D176C71}"/>
    <cellStyle name="Standard 6 4 11" xfId="9296" xr:uid="{00000000-0005-0000-0000-000057240000}"/>
    <cellStyle name="Standard 6 4 11 2" xfId="9297" xr:uid="{00000000-0005-0000-0000-000058240000}"/>
    <cellStyle name="Standard 6 4 11 2 2" xfId="9298" xr:uid="{00000000-0005-0000-0000-000059240000}"/>
    <cellStyle name="Standard 6 4 11 2 2 2" xfId="9299" xr:uid="{00000000-0005-0000-0000-00005A240000}"/>
    <cellStyle name="Standard 6 4 11 2 2 2 2" xfId="21260" xr:uid="{B10E02B3-5912-4C09-8955-0C063C636AAE}"/>
    <cellStyle name="Standard 6 4 11 2 2 3" xfId="21259" xr:uid="{BB531D79-ED99-4792-8CD1-C3AB5109F5F7}"/>
    <cellStyle name="Standard 6 4 11 2 3" xfId="9300" xr:uid="{00000000-0005-0000-0000-00005B240000}"/>
    <cellStyle name="Standard 6 4 11 2 3 2" xfId="21261" xr:uid="{DC528261-B168-41C5-B793-4466F21029D5}"/>
    <cellStyle name="Standard 6 4 11 2 4" xfId="21258" xr:uid="{92814B17-D09A-4FC5-B7F6-4DAC6FBC52EE}"/>
    <cellStyle name="Standard 6 4 11 3" xfId="9301" xr:uid="{00000000-0005-0000-0000-00005C240000}"/>
    <cellStyle name="Standard 6 4 11 3 2" xfId="9302" xr:uid="{00000000-0005-0000-0000-00005D240000}"/>
    <cellStyle name="Standard 6 4 11 3 2 2" xfId="9303" xr:uid="{00000000-0005-0000-0000-00005E240000}"/>
    <cellStyle name="Standard 6 4 11 3 2 2 2" xfId="21264" xr:uid="{804DE722-79BB-4D11-9A55-7A79B2C64602}"/>
    <cellStyle name="Standard 6 4 11 3 2 3" xfId="21263" xr:uid="{88E13591-4670-4BEB-87B6-0F159E39CE6F}"/>
    <cellStyle name="Standard 6 4 11 3 3" xfId="9304" xr:uid="{00000000-0005-0000-0000-00005F240000}"/>
    <cellStyle name="Standard 6 4 11 3 3 2" xfId="21265" xr:uid="{934C21A0-89A5-415A-B3E5-08FB279335AA}"/>
    <cellStyle name="Standard 6 4 11 3 4" xfId="21262" xr:uid="{559B211C-158F-4BC7-A294-7692CAF79FD7}"/>
    <cellStyle name="Standard 6 4 11 4" xfId="9305" xr:uid="{00000000-0005-0000-0000-000060240000}"/>
    <cellStyle name="Standard 6 4 11 4 2" xfId="9306" xr:uid="{00000000-0005-0000-0000-000061240000}"/>
    <cellStyle name="Standard 6 4 11 4 2 2" xfId="9307" xr:uid="{00000000-0005-0000-0000-000062240000}"/>
    <cellStyle name="Standard 6 4 11 4 2 2 2" xfId="21268" xr:uid="{A9B8C3BD-9019-43A3-A5B6-0C172B743EDB}"/>
    <cellStyle name="Standard 6 4 11 4 2 3" xfId="21267" xr:uid="{8DF18C25-E241-4F6C-9DA8-C5D1E7F950B8}"/>
    <cellStyle name="Standard 6 4 11 4 3" xfId="9308" xr:uid="{00000000-0005-0000-0000-000063240000}"/>
    <cellStyle name="Standard 6 4 11 4 3 2" xfId="21269" xr:uid="{7ED6480A-DF56-48EB-8059-A2B4C7B3A5DA}"/>
    <cellStyle name="Standard 6 4 11 4 4" xfId="21266" xr:uid="{280961F0-65E6-4F30-AE5E-C141EB5B3555}"/>
    <cellStyle name="Standard 6 4 11 5" xfId="9309" xr:uid="{00000000-0005-0000-0000-000064240000}"/>
    <cellStyle name="Standard 6 4 11 5 2" xfId="9310" xr:uid="{00000000-0005-0000-0000-000065240000}"/>
    <cellStyle name="Standard 6 4 11 5 2 2" xfId="9311" xr:uid="{00000000-0005-0000-0000-000066240000}"/>
    <cellStyle name="Standard 6 4 11 5 2 2 2" xfId="21272" xr:uid="{CCF03765-8DCE-4176-896E-5D959672CB72}"/>
    <cellStyle name="Standard 6 4 11 5 2 3" xfId="21271" xr:uid="{32E48235-C3FA-449D-BA26-5FEFA1C633A7}"/>
    <cellStyle name="Standard 6 4 11 5 3" xfId="9312" xr:uid="{00000000-0005-0000-0000-000067240000}"/>
    <cellStyle name="Standard 6 4 11 5 3 2" xfId="21273" xr:uid="{8F6DD74E-5408-4B2A-84E8-4ECEAB4202EA}"/>
    <cellStyle name="Standard 6 4 11 5 4" xfId="21270" xr:uid="{EE77A59F-2001-4921-8E11-F90593B89DAA}"/>
    <cellStyle name="Standard 6 4 11 6" xfId="9313" xr:uid="{00000000-0005-0000-0000-000068240000}"/>
    <cellStyle name="Standard 6 4 11 6 2" xfId="9314" xr:uid="{00000000-0005-0000-0000-000069240000}"/>
    <cellStyle name="Standard 6 4 11 6 2 2" xfId="9315" xr:uid="{00000000-0005-0000-0000-00006A240000}"/>
    <cellStyle name="Standard 6 4 11 6 2 2 2" xfId="21276" xr:uid="{66069E92-A3C9-4994-8298-EA786C0AAAB3}"/>
    <cellStyle name="Standard 6 4 11 6 2 3" xfId="21275" xr:uid="{8507B07A-1D89-4BD0-8EC4-E3C7C52DE124}"/>
    <cellStyle name="Standard 6 4 11 6 3" xfId="9316" xr:uid="{00000000-0005-0000-0000-00006B240000}"/>
    <cellStyle name="Standard 6 4 11 6 3 2" xfId="21277" xr:uid="{113AF73A-1607-4511-823C-4DA09836E977}"/>
    <cellStyle name="Standard 6 4 11 6 4" xfId="21274" xr:uid="{1AFFB86D-09AD-403E-8248-0448CC2391A4}"/>
    <cellStyle name="Standard 6 4 11 7" xfId="9317" xr:uid="{00000000-0005-0000-0000-00006C240000}"/>
    <cellStyle name="Standard 6 4 11 7 2" xfId="9318" xr:uid="{00000000-0005-0000-0000-00006D240000}"/>
    <cellStyle name="Standard 6 4 11 7 2 2" xfId="21279" xr:uid="{355E5A0D-E7B5-4C82-ABC5-BA719A459416}"/>
    <cellStyle name="Standard 6 4 11 7 3" xfId="21278" xr:uid="{EDD91DCD-A56F-49C3-AC09-C7AC7B7A8721}"/>
    <cellStyle name="Standard 6 4 11 8" xfId="9319" xr:uid="{00000000-0005-0000-0000-00006E240000}"/>
    <cellStyle name="Standard 6 4 11 8 2" xfId="21280" xr:uid="{899955F5-69FF-476F-A4F5-436C029DAF01}"/>
    <cellStyle name="Standard 6 4 11 9" xfId="21257" xr:uid="{E410D975-E320-4CBD-A0D6-F8BFD9F4EB25}"/>
    <cellStyle name="Standard 6 4 12" xfId="9320" xr:uid="{00000000-0005-0000-0000-00006F240000}"/>
    <cellStyle name="Standard 6 4 12 2" xfId="9321" xr:uid="{00000000-0005-0000-0000-000070240000}"/>
    <cellStyle name="Standard 6 4 12 2 2" xfId="9322" xr:uid="{00000000-0005-0000-0000-000071240000}"/>
    <cellStyle name="Standard 6 4 12 2 2 2" xfId="21283" xr:uid="{2B154A9C-8131-4FEE-8732-2FF2D91A2797}"/>
    <cellStyle name="Standard 6 4 12 2 3" xfId="21282" xr:uid="{69B40227-F895-4B0E-B4B0-912D53BD0ED5}"/>
    <cellStyle name="Standard 6 4 12 3" xfId="9323" xr:uid="{00000000-0005-0000-0000-000072240000}"/>
    <cellStyle name="Standard 6 4 12 3 2" xfId="21284" xr:uid="{79B0CC8F-029D-42F9-B9D8-38378D49CB31}"/>
    <cellStyle name="Standard 6 4 12 4" xfId="21281" xr:uid="{9145EDE7-F391-4AEB-8423-B31D3F20C8BB}"/>
    <cellStyle name="Standard 6 4 13" xfId="9324" xr:uid="{00000000-0005-0000-0000-000073240000}"/>
    <cellStyle name="Standard 6 4 13 2" xfId="9325" xr:uid="{00000000-0005-0000-0000-000074240000}"/>
    <cellStyle name="Standard 6 4 13 2 2" xfId="9326" xr:uid="{00000000-0005-0000-0000-000075240000}"/>
    <cellStyle name="Standard 6 4 13 2 2 2" xfId="21287" xr:uid="{AA7AAFED-B2CD-4A9A-B4A7-0710B665451C}"/>
    <cellStyle name="Standard 6 4 13 2 3" xfId="21286" xr:uid="{2E75513A-5B6F-4406-ADE3-31866B9DD2FF}"/>
    <cellStyle name="Standard 6 4 13 3" xfId="9327" xr:uid="{00000000-0005-0000-0000-000076240000}"/>
    <cellStyle name="Standard 6 4 13 3 2" xfId="21288" xr:uid="{48DB636D-4574-4FF5-9EBA-E349327B0820}"/>
    <cellStyle name="Standard 6 4 13 4" xfId="21285" xr:uid="{2D742721-2263-4726-A922-5E06EE7A51EE}"/>
    <cellStyle name="Standard 6 4 14" xfId="9328" xr:uid="{00000000-0005-0000-0000-000077240000}"/>
    <cellStyle name="Standard 6 4 14 2" xfId="9329" xr:uid="{00000000-0005-0000-0000-000078240000}"/>
    <cellStyle name="Standard 6 4 14 2 2" xfId="9330" xr:uid="{00000000-0005-0000-0000-000079240000}"/>
    <cellStyle name="Standard 6 4 14 2 2 2" xfId="21291" xr:uid="{F6FBDA71-D1E0-4E7E-83CD-4173F6AAEA5C}"/>
    <cellStyle name="Standard 6 4 14 2 3" xfId="21290" xr:uid="{57C60526-D3EA-4CF3-BBD3-60F576B409C6}"/>
    <cellStyle name="Standard 6 4 14 3" xfId="9331" xr:uid="{00000000-0005-0000-0000-00007A240000}"/>
    <cellStyle name="Standard 6 4 14 3 2" xfId="21292" xr:uid="{53BF808A-0CD6-4262-A3C8-89F9F26A66D0}"/>
    <cellStyle name="Standard 6 4 14 4" xfId="21289" xr:uid="{E0DE3CAB-F890-4F4E-9AC2-848C4527AFE4}"/>
    <cellStyle name="Standard 6 4 15" xfId="9332" xr:uid="{00000000-0005-0000-0000-00007B240000}"/>
    <cellStyle name="Standard 6 4 15 2" xfId="9333" xr:uid="{00000000-0005-0000-0000-00007C240000}"/>
    <cellStyle name="Standard 6 4 15 2 2" xfId="9334" xr:uid="{00000000-0005-0000-0000-00007D240000}"/>
    <cellStyle name="Standard 6 4 15 2 2 2" xfId="21295" xr:uid="{44090A80-EB52-4F45-82C4-8864D88F9554}"/>
    <cellStyle name="Standard 6 4 15 2 3" xfId="21294" xr:uid="{009E34B9-760C-409C-9E93-3579120E7A2C}"/>
    <cellStyle name="Standard 6 4 15 3" xfId="9335" xr:uid="{00000000-0005-0000-0000-00007E240000}"/>
    <cellStyle name="Standard 6 4 15 3 2" xfId="21296" xr:uid="{AB021C38-C7ED-4BA5-AE3A-202935E7AF35}"/>
    <cellStyle name="Standard 6 4 15 4" xfId="21293" xr:uid="{9B484DEE-82DE-42E8-BDF1-B87B0089B7FF}"/>
    <cellStyle name="Standard 6 4 16" xfId="9336" xr:uid="{00000000-0005-0000-0000-00007F240000}"/>
    <cellStyle name="Standard 6 4 16 2" xfId="9337" xr:uid="{00000000-0005-0000-0000-000080240000}"/>
    <cellStyle name="Standard 6 4 16 2 2" xfId="9338" xr:uid="{00000000-0005-0000-0000-000081240000}"/>
    <cellStyle name="Standard 6 4 16 2 2 2" xfId="21299" xr:uid="{A12C58AE-E2E2-488F-BA50-FC5587E5E2AA}"/>
    <cellStyle name="Standard 6 4 16 2 3" xfId="21298" xr:uid="{BED1E07F-68DB-41B9-BC93-7D2BD134867C}"/>
    <cellStyle name="Standard 6 4 16 3" xfId="9339" xr:uid="{00000000-0005-0000-0000-000082240000}"/>
    <cellStyle name="Standard 6 4 16 3 2" xfId="21300" xr:uid="{BEC6FE3D-B2C0-4A1B-969C-0C2A0F2AE750}"/>
    <cellStyle name="Standard 6 4 16 4" xfId="21297" xr:uid="{4DEEBC29-4C05-4737-AC14-0E0F15328131}"/>
    <cellStyle name="Standard 6 4 17" xfId="9340" xr:uid="{00000000-0005-0000-0000-000083240000}"/>
    <cellStyle name="Standard 6 4 17 2" xfId="9341" xr:uid="{00000000-0005-0000-0000-000084240000}"/>
    <cellStyle name="Standard 6 4 17 2 2" xfId="9342" xr:uid="{00000000-0005-0000-0000-000085240000}"/>
    <cellStyle name="Standard 6 4 17 2 2 2" xfId="21303" xr:uid="{0D4045FD-46D2-4514-99E8-DAA6305B2F78}"/>
    <cellStyle name="Standard 6 4 17 2 3" xfId="21302" xr:uid="{7E0C9F0F-30CA-4C63-8B4D-F0C0F8B33DAB}"/>
    <cellStyle name="Standard 6 4 17 3" xfId="9343" xr:uid="{00000000-0005-0000-0000-000086240000}"/>
    <cellStyle name="Standard 6 4 17 3 2" xfId="21304" xr:uid="{F50F9268-A0B9-4572-A9FA-157FA7C58664}"/>
    <cellStyle name="Standard 6 4 17 4" xfId="21301" xr:uid="{359BF8AF-9057-4765-9548-B04A72941678}"/>
    <cellStyle name="Standard 6 4 18" xfId="9344" xr:uid="{00000000-0005-0000-0000-000087240000}"/>
    <cellStyle name="Standard 6 4 18 2" xfId="9345" xr:uid="{00000000-0005-0000-0000-000088240000}"/>
    <cellStyle name="Standard 6 4 18 2 2" xfId="9346" xr:uid="{00000000-0005-0000-0000-000089240000}"/>
    <cellStyle name="Standard 6 4 18 2 2 2" xfId="21307" xr:uid="{3EE0ECF3-6BEF-4B12-A0DF-DCF6492D8A3A}"/>
    <cellStyle name="Standard 6 4 18 2 3" xfId="21306" xr:uid="{AE55C7AF-5960-436D-AF11-6414113A04BB}"/>
    <cellStyle name="Standard 6 4 18 3" xfId="9347" xr:uid="{00000000-0005-0000-0000-00008A240000}"/>
    <cellStyle name="Standard 6 4 18 3 2" xfId="21308" xr:uid="{5AD4B0B2-7C08-4247-A1A5-BC8C7680E0A4}"/>
    <cellStyle name="Standard 6 4 18 4" xfId="21305" xr:uid="{370DC7DA-565B-4BAC-9D84-1B81E4F9D5D8}"/>
    <cellStyle name="Standard 6 4 19" xfId="9348" xr:uid="{00000000-0005-0000-0000-00008B240000}"/>
    <cellStyle name="Standard 6 4 19 2" xfId="9349" xr:uid="{00000000-0005-0000-0000-00008C240000}"/>
    <cellStyle name="Standard 6 4 19 2 2" xfId="9350" xr:uid="{00000000-0005-0000-0000-00008D240000}"/>
    <cellStyle name="Standard 6 4 19 2 2 2" xfId="21311" xr:uid="{0C356167-A5DB-4079-9709-69855290E7DA}"/>
    <cellStyle name="Standard 6 4 19 2 3" xfId="21310" xr:uid="{88328A49-732E-4614-BE0A-3950E061F7DF}"/>
    <cellStyle name="Standard 6 4 19 3" xfId="9351" xr:uid="{00000000-0005-0000-0000-00008E240000}"/>
    <cellStyle name="Standard 6 4 19 3 2" xfId="21312" xr:uid="{B111CA5C-E84B-4D72-966C-F68346C58465}"/>
    <cellStyle name="Standard 6 4 19 4" xfId="21309" xr:uid="{BD5F65CE-DDE5-44EC-AD6C-ABA422006C12}"/>
    <cellStyle name="Standard 6 4 2" xfId="9352" xr:uid="{00000000-0005-0000-0000-00008F240000}"/>
    <cellStyle name="Standard 6 4 2 10" xfId="9353" xr:uid="{00000000-0005-0000-0000-000090240000}"/>
    <cellStyle name="Standard 6 4 2 10 2" xfId="9354" xr:uid="{00000000-0005-0000-0000-000091240000}"/>
    <cellStyle name="Standard 6 4 2 10 2 2" xfId="9355" xr:uid="{00000000-0005-0000-0000-000092240000}"/>
    <cellStyle name="Standard 6 4 2 10 2 2 2" xfId="21316" xr:uid="{597275EB-2ABA-4A3A-9A2C-105F29CF049D}"/>
    <cellStyle name="Standard 6 4 2 10 2 3" xfId="21315" xr:uid="{70D23BD1-7939-473E-93F6-EDCD71A76C8F}"/>
    <cellStyle name="Standard 6 4 2 10 3" xfId="9356" xr:uid="{00000000-0005-0000-0000-000093240000}"/>
    <cellStyle name="Standard 6 4 2 10 3 2" xfId="21317" xr:uid="{EEA62E48-A6C9-4AA9-B5DA-3A01D2B50AC7}"/>
    <cellStyle name="Standard 6 4 2 10 4" xfId="21314" xr:uid="{2CFD6F1A-7755-4DA9-87C9-A45C24995574}"/>
    <cellStyle name="Standard 6 4 2 11" xfId="9357" xr:uid="{00000000-0005-0000-0000-000094240000}"/>
    <cellStyle name="Standard 6 4 2 11 2" xfId="9358" xr:uid="{00000000-0005-0000-0000-000095240000}"/>
    <cellStyle name="Standard 6 4 2 11 2 2" xfId="9359" xr:uid="{00000000-0005-0000-0000-000096240000}"/>
    <cellStyle name="Standard 6 4 2 11 2 2 2" xfId="21320" xr:uid="{294ECEF5-EF69-4E23-AC9A-789E6B55F128}"/>
    <cellStyle name="Standard 6 4 2 11 2 3" xfId="21319" xr:uid="{FBF96228-C164-47FD-A065-21C2C751D0D2}"/>
    <cellStyle name="Standard 6 4 2 11 3" xfId="9360" xr:uid="{00000000-0005-0000-0000-000097240000}"/>
    <cellStyle name="Standard 6 4 2 11 3 2" xfId="21321" xr:uid="{4BDB90B5-5129-42EC-B8EC-89FDC5CC3EDB}"/>
    <cellStyle name="Standard 6 4 2 11 4" xfId="21318" xr:uid="{3A5F22E0-24B6-4730-91E0-84739EA8CF15}"/>
    <cellStyle name="Standard 6 4 2 12" xfId="9361" xr:uid="{00000000-0005-0000-0000-000098240000}"/>
    <cellStyle name="Standard 6 4 2 12 2" xfId="9362" xr:uid="{00000000-0005-0000-0000-000099240000}"/>
    <cellStyle name="Standard 6 4 2 12 2 2" xfId="9363" xr:uid="{00000000-0005-0000-0000-00009A240000}"/>
    <cellStyle name="Standard 6 4 2 12 2 2 2" xfId="21324" xr:uid="{A0DEF842-C739-489F-85AC-51E824DA5CE2}"/>
    <cellStyle name="Standard 6 4 2 12 2 3" xfId="21323" xr:uid="{DEE41E74-A51A-4BA2-B310-E9E67346E65C}"/>
    <cellStyle name="Standard 6 4 2 12 3" xfId="9364" xr:uid="{00000000-0005-0000-0000-00009B240000}"/>
    <cellStyle name="Standard 6 4 2 12 3 2" xfId="21325" xr:uid="{DD35EA2F-675E-4008-B17F-CDFED73CB8ED}"/>
    <cellStyle name="Standard 6 4 2 12 4" xfId="21322" xr:uid="{F4ADA4C5-E083-47A8-8A9D-494DFD2125AF}"/>
    <cellStyle name="Standard 6 4 2 13" xfId="9365" xr:uid="{00000000-0005-0000-0000-00009C240000}"/>
    <cellStyle name="Standard 6 4 2 13 2" xfId="9366" xr:uid="{00000000-0005-0000-0000-00009D240000}"/>
    <cellStyle name="Standard 6 4 2 13 2 2" xfId="9367" xr:uid="{00000000-0005-0000-0000-00009E240000}"/>
    <cellStyle name="Standard 6 4 2 13 2 2 2" xfId="21328" xr:uid="{ACA1D90C-06CA-4D45-9E42-80F12A006059}"/>
    <cellStyle name="Standard 6 4 2 13 2 3" xfId="21327" xr:uid="{C8A3D409-5660-4108-975D-7A3002CDC466}"/>
    <cellStyle name="Standard 6 4 2 13 3" xfId="9368" xr:uid="{00000000-0005-0000-0000-00009F240000}"/>
    <cellStyle name="Standard 6 4 2 13 3 2" xfId="21329" xr:uid="{8C2A5745-6E29-4A5B-A6D2-7676840A0ACD}"/>
    <cellStyle name="Standard 6 4 2 13 4" xfId="21326" xr:uid="{3EA181CD-D9E9-4168-8F77-11D217CDAD6B}"/>
    <cellStyle name="Standard 6 4 2 14" xfId="9369" xr:uid="{00000000-0005-0000-0000-0000A0240000}"/>
    <cellStyle name="Standard 6 4 2 14 2" xfId="9370" xr:uid="{00000000-0005-0000-0000-0000A1240000}"/>
    <cellStyle name="Standard 6 4 2 14 2 2" xfId="9371" xr:uid="{00000000-0005-0000-0000-0000A2240000}"/>
    <cellStyle name="Standard 6 4 2 14 2 2 2" xfId="21332" xr:uid="{5625EA26-C00B-44A0-ACCD-06914152FBC4}"/>
    <cellStyle name="Standard 6 4 2 14 2 3" xfId="21331" xr:uid="{61CA6BC9-D654-44D8-B28C-32A05A2C478E}"/>
    <cellStyle name="Standard 6 4 2 14 3" xfId="9372" xr:uid="{00000000-0005-0000-0000-0000A3240000}"/>
    <cellStyle name="Standard 6 4 2 14 3 2" xfId="21333" xr:uid="{4E474A7A-23C0-4C5E-98AB-4B0F131B2D01}"/>
    <cellStyle name="Standard 6 4 2 14 4" xfId="21330" xr:uid="{C8FB62B4-D944-43C1-BAE1-7FD31473D26A}"/>
    <cellStyle name="Standard 6 4 2 15" xfId="9373" xr:uid="{00000000-0005-0000-0000-0000A4240000}"/>
    <cellStyle name="Standard 6 4 2 15 2" xfId="9374" xr:uid="{00000000-0005-0000-0000-0000A5240000}"/>
    <cellStyle name="Standard 6 4 2 15 2 2" xfId="9375" xr:uid="{00000000-0005-0000-0000-0000A6240000}"/>
    <cellStyle name="Standard 6 4 2 15 2 2 2" xfId="21336" xr:uid="{35B1ACE8-0EB0-4A31-AA0B-52861BBFE705}"/>
    <cellStyle name="Standard 6 4 2 15 2 3" xfId="21335" xr:uid="{C53CE19C-C116-4F93-A2CF-28A93836F73B}"/>
    <cellStyle name="Standard 6 4 2 15 3" xfId="9376" xr:uid="{00000000-0005-0000-0000-0000A7240000}"/>
    <cellStyle name="Standard 6 4 2 15 3 2" xfId="21337" xr:uid="{B221AF96-B2B4-4390-9BCD-9450447C50C6}"/>
    <cellStyle name="Standard 6 4 2 15 4" xfId="21334" xr:uid="{630B1DC0-286E-46E0-927E-888DE58A58D0}"/>
    <cellStyle name="Standard 6 4 2 16" xfId="9377" xr:uid="{00000000-0005-0000-0000-0000A8240000}"/>
    <cellStyle name="Standard 6 4 2 16 2" xfId="9378" xr:uid="{00000000-0005-0000-0000-0000A9240000}"/>
    <cellStyle name="Standard 6 4 2 16 2 2" xfId="9379" xr:uid="{00000000-0005-0000-0000-0000AA240000}"/>
    <cellStyle name="Standard 6 4 2 16 2 2 2" xfId="21340" xr:uid="{8867CF05-935D-4521-8442-C9E075135942}"/>
    <cellStyle name="Standard 6 4 2 16 2 3" xfId="21339" xr:uid="{DE48D1A9-03E4-4391-93FF-E5FB117BFA9D}"/>
    <cellStyle name="Standard 6 4 2 16 3" xfId="9380" xr:uid="{00000000-0005-0000-0000-0000AB240000}"/>
    <cellStyle name="Standard 6 4 2 16 3 2" xfId="21341" xr:uid="{C0A48EFA-39FD-451E-8BF5-54F8556C92C4}"/>
    <cellStyle name="Standard 6 4 2 16 4" xfId="21338" xr:uid="{D0B65127-D772-49B4-87AE-D17C13B50476}"/>
    <cellStyle name="Standard 6 4 2 17" xfId="9381" xr:uid="{00000000-0005-0000-0000-0000AC240000}"/>
    <cellStyle name="Standard 6 4 2 17 2" xfId="9382" xr:uid="{00000000-0005-0000-0000-0000AD240000}"/>
    <cellStyle name="Standard 6 4 2 17 2 2" xfId="9383" xr:uid="{00000000-0005-0000-0000-0000AE240000}"/>
    <cellStyle name="Standard 6 4 2 17 2 2 2" xfId="21344" xr:uid="{91A13824-8DA5-4C00-90D0-91EB7C633E27}"/>
    <cellStyle name="Standard 6 4 2 17 2 3" xfId="21343" xr:uid="{682EE70F-F719-4810-8375-CBD3FC5A243B}"/>
    <cellStyle name="Standard 6 4 2 17 3" xfId="9384" xr:uid="{00000000-0005-0000-0000-0000AF240000}"/>
    <cellStyle name="Standard 6 4 2 17 3 2" xfId="21345" xr:uid="{5C11BC5F-EB77-470E-AD56-DBC4C0A7B003}"/>
    <cellStyle name="Standard 6 4 2 17 4" xfId="21342" xr:uid="{86C06D72-AF21-46F0-8B0D-B9D8597C6035}"/>
    <cellStyle name="Standard 6 4 2 18" xfId="9385" xr:uid="{00000000-0005-0000-0000-0000B0240000}"/>
    <cellStyle name="Standard 6 4 2 18 2" xfId="9386" xr:uid="{00000000-0005-0000-0000-0000B1240000}"/>
    <cellStyle name="Standard 6 4 2 18 2 2" xfId="9387" xr:uid="{00000000-0005-0000-0000-0000B2240000}"/>
    <cellStyle name="Standard 6 4 2 18 2 2 2" xfId="21348" xr:uid="{E59A5ED6-87A8-4B0F-856D-E9D0DDBD9779}"/>
    <cellStyle name="Standard 6 4 2 18 2 3" xfId="21347" xr:uid="{AD7DCA37-2D0E-4A51-BD69-0F85F1EF6B84}"/>
    <cellStyle name="Standard 6 4 2 18 3" xfId="9388" xr:uid="{00000000-0005-0000-0000-0000B3240000}"/>
    <cellStyle name="Standard 6 4 2 18 3 2" xfId="21349" xr:uid="{5D47F3F3-5A2A-40DC-B9AE-3B4A6859C16A}"/>
    <cellStyle name="Standard 6 4 2 18 4" xfId="21346" xr:uid="{02DDC00A-6B30-438A-8FA4-098C01357604}"/>
    <cellStyle name="Standard 6 4 2 19" xfId="9389" xr:uid="{00000000-0005-0000-0000-0000B4240000}"/>
    <cellStyle name="Standard 6 4 2 19 2" xfId="9390" xr:uid="{00000000-0005-0000-0000-0000B5240000}"/>
    <cellStyle name="Standard 6 4 2 19 2 2" xfId="9391" xr:uid="{00000000-0005-0000-0000-0000B6240000}"/>
    <cellStyle name="Standard 6 4 2 19 2 2 2" xfId="21352" xr:uid="{114D46C9-A54E-4541-AEE8-64A8ED68DEE1}"/>
    <cellStyle name="Standard 6 4 2 19 2 3" xfId="21351" xr:uid="{06EA8930-F023-463E-992C-CBA5636A8D3C}"/>
    <cellStyle name="Standard 6 4 2 19 3" xfId="9392" xr:uid="{00000000-0005-0000-0000-0000B7240000}"/>
    <cellStyle name="Standard 6 4 2 19 3 2" xfId="21353" xr:uid="{B8C96743-1DC5-441D-8973-E6C6059F755A}"/>
    <cellStyle name="Standard 6 4 2 19 4" xfId="21350" xr:uid="{308A68EE-2998-438E-BB6B-08A5922B823E}"/>
    <cellStyle name="Standard 6 4 2 2" xfId="9393" xr:uid="{00000000-0005-0000-0000-0000B8240000}"/>
    <cellStyle name="Standard 6 4 2 2 10" xfId="9394" xr:uid="{00000000-0005-0000-0000-0000B9240000}"/>
    <cellStyle name="Standard 6 4 2 2 10 2" xfId="9395" xr:uid="{00000000-0005-0000-0000-0000BA240000}"/>
    <cellStyle name="Standard 6 4 2 2 10 2 2" xfId="21356" xr:uid="{6F09E9A4-3402-4385-B11E-9EB6348B04F8}"/>
    <cellStyle name="Standard 6 4 2 2 10 3" xfId="21355" xr:uid="{AC96D1ED-CC73-4C13-B1DC-0B484E7E8271}"/>
    <cellStyle name="Standard 6 4 2 2 11" xfId="9396" xr:uid="{00000000-0005-0000-0000-0000BB240000}"/>
    <cellStyle name="Standard 6 4 2 2 11 2" xfId="21357" xr:uid="{D007722B-BAD0-4765-B5A9-149059AA3705}"/>
    <cellStyle name="Standard 6 4 2 2 12" xfId="21354" xr:uid="{36A4AD79-4220-4E1A-8B79-D5FFBE2A5419}"/>
    <cellStyle name="Standard 6 4 2 2 2" xfId="9397" xr:uid="{00000000-0005-0000-0000-0000BC240000}"/>
    <cellStyle name="Standard 6 4 2 2 2 10" xfId="9398" xr:uid="{00000000-0005-0000-0000-0000BD240000}"/>
    <cellStyle name="Standard 6 4 2 2 2 10 2" xfId="21359" xr:uid="{F0F5BAAD-4F92-4E52-99C8-E535C0A6B6F3}"/>
    <cellStyle name="Standard 6 4 2 2 2 11" xfId="21358" xr:uid="{F4C70383-8F6C-410E-A300-1D96928A434E}"/>
    <cellStyle name="Standard 6 4 2 2 2 2" xfId="9399" xr:uid="{00000000-0005-0000-0000-0000BE240000}"/>
    <cellStyle name="Standard 6 4 2 2 2 2 10" xfId="21360" xr:uid="{A6F66AF1-609B-4BBD-BA8B-6DC2D0E9EA40}"/>
    <cellStyle name="Standard 6 4 2 2 2 2 2" xfId="9400" xr:uid="{00000000-0005-0000-0000-0000BF240000}"/>
    <cellStyle name="Standard 6 4 2 2 2 2 2 2" xfId="9401" xr:uid="{00000000-0005-0000-0000-0000C0240000}"/>
    <cellStyle name="Standard 6 4 2 2 2 2 2 2 2" xfId="9402" xr:uid="{00000000-0005-0000-0000-0000C1240000}"/>
    <cellStyle name="Standard 6 4 2 2 2 2 2 2 2 2" xfId="21363" xr:uid="{5B3B0065-D725-45AF-A933-233BAAA2F69A}"/>
    <cellStyle name="Standard 6 4 2 2 2 2 2 2 3" xfId="21362" xr:uid="{13A22823-A96F-4CA2-88AB-C2BFD6FE861C}"/>
    <cellStyle name="Standard 6 4 2 2 2 2 2 3" xfId="9403" xr:uid="{00000000-0005-0000-0000-0000C2240000}"/>
    <cellStyle name="Standard 6 4 2 2 2 2 2 3 2" xfId="21364" xr:uid="{4186C8D4-87AF-498F-B34F-425168C11B9D}"/>
    <cellStyle name="Standard 6 4 2 2 2 2 2 4" xfId="21361" xr:uid="{408ADDD2-93D6-48C1-BB0F-F7703B0843B3}"/>
    <cellStyle name="Standard 6 4 2 2 2 2 3" xfId="9404" xr:uid="{00000000-0005-0000-0000-0000C3240000}"/>
    <cellStyle name="Standard 6 4 2 2 2 2 3 2" xfId="9405" xr:uid="{00000000-0005-0000-0000-0000C4240000}"/>
    <cellStyle name="Standard 6 4 2 2 2 2 3 2 2" xfId="9406" xr:uid="{00000000-0005-0000-0000-0000C5240000}"/>
    <cellStyle name="Standard 6 4 2 2 2 2 3 2 2 2" xfId="21367" xr:uid="{AACB6393-9580-4A8B-8A00-600E11166BF4}"/>
    <cellStyle name="Standard 6 4 2 2 2 2 3 2 3" xfId="21366" xr:uid="{D97A9C87-A988-481C-B4A7-9294F4069992}"/>
    <cellStyle name="Standard 6 4 2 2 2 2 3 3" xfId="9407" xr:uid="{00000000-0005-0000-0000-0000C6240000}"/>
    <cellStyle name="Standard 6 4 2 2 2 2 3 3 2" xfId="21368" xr:uid="{64978AF6-81D6-47D9-B3A0-A20DD9A35D26}"/>
    <cellStyle name="Standard 6 4 2 2 2 2 3 4" xfId="21365" xr:uid="{6CDE63F7-78A9-4B3F-9805-D71700AC2557}"/>
    <cellStyle name="Standard 6 4 2 2 2 2 4" xfId="9408" xr:uid="{00000000-0005-0000-0000-0000C7240000}"/>
    <cellStyle name="Standard 6 4 2 2 2 2 4 2" xfId="9409" xr:uid="{00000000-0005-0000-0000-0000C8240000}"/>
    <cellStyle name="Standard 6 4 2 2 2 2 4 2 2" xfId="9410" xr:uid="{00000000-0005-0000-0000-0000C9240000}"/>
    <cellStyle name="Standard 6 4 2 2 2 2 4 2 2 2" xfId="21371" xr:uid="{8E899F9F-319A-4D30-805D-83A3E47A69E2}"/>
    <cellStyle name="Standard 6 4 2 2 2 2 4 2 3" xfId="21370" xr:uid="{E688A40A-DF5F-46AD-9FC6-68EA85950BEA}"/>
    <cellStyle name="Standard 6 4 2 2 2 2 4 3" xfId="9411" xr:uid="{00000000-0005-0000-0000-0000CA240000}"/>
    <cellStyle name="Standard 6 4 2 2 2 2 4 3 2" xfId="21372" xr:uid="{E4791678-85E2-4421-86B2-E20E0D088C50}"/>
    <cellStyle name="Standard 6 4 2 2 2 2 4 4" xfId="21369" xr:uid="{052CE714-5A96-41DE-88B6-749684FB9926}"/>
    <cellStyle name="Standard 6 4 2 2 2 2 5" xfId="9412" xr:uid="{00000000-0005-0000-0000-0000CB240000}"/>
    <cellStyle name="Standard 6 4 2 2 2 2 5 2" xfId="9413" xr:uid="{00000000-0005-0000-0000-0000CC240000}"/>
    <cellStyle name="Standard 6 4 2 2 2 2 5 2 2" xfId="9414" xr:uid="{00000000-0005-0000-0000-0000CD240000}"/>
    <cellStyle name="Standard 6 4 2 2 2 2 5 2 2 2" xfId="21375" xr:uid="{E07C69D1-936D-4CB5-AF56-CFAA091D99DB}"/>
    <cellStyle name="Standard 6 4 2 2 2 2 5 2 3" xfId="21374" xr:uid="{12C3B952-B673-4918-8FAC-59880B262A24}"/>
    <cellStyle name="Standard 6 4 2 2 2 2 5 3" xfId="9415" xr:uid="{00000000-0005-0000-0000-0000CE240000}"/>
    <cellStyle name="Standard 6 4 2 2 2 2 5 3 2" xfId="21376" xr:uid="{75295C8C-A3C5-48D0-B3F5-651126BBCC41}"/>
    <cellStyle name="Standard 6 4 2 2 2 2 5 4" xfId="21373" xr:uid="{9B1D2978-5943-4EF3-AF25-ABA79BFE035A}"/>
    <cellStyle name="Standard 6 4 2 2 2 2 6" xfId="9416" xr:uid="{00000000-0005-0000-0000-0000CF240000}"/>
    <cellStyle name="Standard 6 4 2 2 2 2 6 2" xfId="9417" xr:uid="{00000000-0005-0000-0000-0000D0240000}"/>
    <cellStyle name="Standard 6 4 2 2 2 2 6 2 2" xfId="9418" xr:uid="{00000000-0005-0000-0000-0000D1240000}"/>
    <cellStyle name="Standard 6 4 2 2 2 2 6 2 2 2" xfId="21379" xr:uid="{5E435984-D362-47B1-AFD6-3D637E3BEFD1}"/>
    <cellStyle name="Standard 6 4 2 2 2 2 6 2 3" xfId="21378" xr:uid="{7E4018B8-9F79-437E-9ECD-0B0C50C72D89}"/>
    <cellStyle name="Standard 6 4 2 2 2 2 6 3" xfId="9419" xr:uid="{00000000-0005-0000-0000-0000D2240000}"/>
    <cellStyle name="Standard 6 4 2 2 2 2 6 3 2" xfId="21380" xr:uid="{0137370F-1CF8-44DE-A57A-E9002E41144A}"/>
    <cellStyle name="Standard 6 4 2 2 2 2 6 4" xfId="21377" xr:uid="{A80D5160-122D-4919-B935-7F885A452B97}"/>
    <cellStyle name="Standard 6 4 2 2 2 2 7" xfId="9420" xr:uid="{00000000-0005-0000-0000-0000D3240000}"/>
    <cellStyle name="Standard 6 4 2 2 2 2 7 2" xfId="9421" xr:uid="{00000000-0005-0000-0000-0000D4240000}"/>
    <cellStyle name="Standard 6 4 2 2 2 2 7 2 2" xfId="9422" xr:uid="{00000000-0005-0000-0000-0000D5240000}"/>
    <cellStyle name="Standard 6 4 2 2 2 2 7 2 2 2" xfId="21383" xr:uid="{3804E3A2-48C6-4F8E-AECC-0DD67D9692F2}"/>
    <cellStyle name="Standard 6 4 2 2 2 2 7 2 3" xfId="21382" xr:uid="{410EC821-B900-458C-97B4-B892D5F51267}"/>
    <cellStyle name="Standard 6 4 2 2 2 2 7 3" xfId="9423" xr:uid="{00000000-0005-0000-0000-0000D6240000}"/>
    <cellStyle name="Standard 6 4 2 2 2 2 7 3 2" xfId="21384" xr:uid="{EC67E549-7AC9-4E55-9D18-A9C7DE7DF767}"/>
    <cellStyle name="Standard 6 4 2 2 2 2 7 4" xfId="21381" xr:uid="{80DFA4A4-0F64-4394-86C2-71F258DDD764}"/>
    <cellStyle name="Standard 6 4 2 2 2 2 8" xfId="9424" xr:uid="{00000000-0005-0000-0000-0000D7240000}"/>
    <cellStyle name="Standard 6 4 2 2 2 2 8 2" xfId="9425" xr:uid="{00000000-0005-0000-0000-0000D8240000}"/>
    <cellStyle name="Standard 6 4 2 2 2 2 8 2 2" xfId="21386" xr:uid="{02C43825-D7F0-47A2-B39A-C062A5928D11}"/>
    <cellStyle name="Standard 6 4 2 2 2 2 8 3" xfId="21385" xr:uid="{BBBAAC0E-A666-4683-A484-3F6C9E0BB763}"/>
    <cellStyle name="Standard 6 4 2 2 2 2 9" xfId="9426" xr:uid="{00000000-0005-0000-0000-0000D9240000}"/>
    <cellStyle name="Standard 6 4 2 2 2 2 9 2" xfId="21387" xr:uid="{D58BE711-A4EA-4D96-BBFC-C5BEA3100907}"/>
    <cellStyle name="Standard 6 4 2 2 2 3" xfId="9427" xr:uid="{00000000-0005-0000-0000-0000DA240000}"/>
    <cellStyle name="Standard 6 4 2 2 2 3 2" xfId="9428" xr:uid="{00000000-0005-0000-0000-0000DB240000}"/>
    <cellStyle name="Standard 6 4 2 2 2 3 2 2" xfId="9429" xr:uid="{00000000-0005-0000-0000-0000DC240000}"/>
    <cellStyle name="Standard 6 4 2 2 2 3 2 2 2" xfId="21390" xr:uid="{3D516970-38A5-4BA1-A129-B98F2F54CFC0}"/>
    <cellStyle name="Standard 6 4 2 2 2 3 2 3" xfId="21389" xr:uid="{9FB73589-CF13-4168-BDD9-77DBDDE1326C}"/>
    <cellStyle name="Standard 6 4 2 2 2 3 3" xfId="9430" xr:uid="{00000000-0005-0000-0000-0000DD240000}"/>
    <cellStyle name="Standard 6 4 2 2 2 3 3 2" xfId="21391" xr:uid="{7B1DBDBE-83E3-429A-8977-D1D7946DE5E7}"/>
    <cellStyle name="Standard 6 4 2 2 2 3 4" xfId="21388" xr:uid="{2F998E51-75E5-4B6E-961E-061E82BF58CE}"/>
    <cellStyle name="Standard 6 4 2 2 2 4" xfId="9431" xr:uid="{00000000-0005-0000-0000-0000DE240000}"/>
    <cellStyle name="Standard 6 4 2 2 2 4 2" xfId="9432" xr:uid="{00000000-0005-0000-0000-0000DF240000}"/>
    <cellStyle name="Standard 6 4 2 2 2 4 2 2" xfId="9433" xr:uid="{00000000-0005-0000-0000-0000E0240000}"/>
    <cellStyle name="Standard 6 4 2 2 2 4 2 2 2" xfId="21394" xr:uid="{649F9302-8C90-413D-B840-08EC7B45F3A6}"/>
    <cellStyle name="Standard 6 4 2 2 2 4 2 3" xfId="21393" xr:uid="{606A310A-8169-49FC-B7F4-8C7FB748213B}"/>
    <cellStyle name="Standard 6 4 2 2 2 4 3" xfId="9434" xr:uid="{00000000-0005-0000-0000-0000E1240000}"/>
    <cellStyle name="Standard 6 4 2 2 2 4 3 2" xfId="21395" xr:uid="{5931439C-74AB-42CC-9E4B-CD3FC8FDD1F7}"/>
    <cellStyle name="Standard 6 4 2 2 2 4 4" xfId="21392" xr:uid="{DB27E96F-2A1E-44C1-B1B4-4189F1F757CD}"/>
    <cellStyle name="Standard 6 4 2 2 2 5" xfId="9435" xr:uid="{00000000-0005-0000-0000-0000E2240000}"/>
    <cellStyle name="Standard 6 4 2 2 2 5 2" xfId="9436" xr:uid="{00000000-0005-0000-0000-0000E3240000}"/>
    <cellStyle name="Standard 6 4 2 2 2 5 2 2" xfId="9437" xr:uid="{00000000-0005-0000-0000-0000E4240000}"/>
    <cellStyle name="Standard 6 4 2 2 2 5 2 2 2" xfId="21398" xr:uid="{BEAA1EA6-8B12-4DEC-97AC-F22162C586D1}"/>
    <cellStyle name="Standard 6 4 2 2 2 5 2 3" xfId="21397" xr:uid="{61E2D701-A646-42D7-A758-5ABB7172720C}"/>
    <cellStyle name="Standard 6 4 2 2 2 5 3" xfId="9438" xr:uid="{00000000-0005-0000-0000-0000E5240000}"/>
    <cellStyle name="Standard 6 4 2 2 2 5 3 2" xfId="21399" xr:uid="{43D09C18-0B88-4165-A228-7DF3CF545369}"/>
    <cellStyle name="Standard 6 4 2 2 2 5 4" xfId="21396" xr:uid="{DEADD1E9-9EAB-4D80-88C9-A661822C7E0F}"/>
    <cellStyle name="Standard 6 4 2 2 2 6" xfId="9439" xr:uid="{00000000-0005-0000-0000-0000E6240000}"/>
    <cellStyle name="Standard 6 4 2 2 2 6 2" xfId="9440" xr:uid="{00000000-0005-0000-0000-0000E7240000}"/>
    <cellStyle name="Standard 6 4 2 2 2 6 2 2" xfId="9441" xr:uid="{00000000-0005-0000-0000-0000E8240000}"/>
    <cellStyle name="Standard 6 4 2 2 2 6 2 2 2" xfId="21402" xr:uid="{02F3F7A2-DEC3-4AA2-B7CF-5812B3E3E0BF}"/>
    <cellStyle name="Standard 6 4 2 2 2 6 2 3" xfId="21401" xr:uid="{FA6BEA2C-A922-4657-9BB2-73E34387F3CC}"/>
    <cellStyle name="Standard 6 4 2 2 2 6 3" xfId="9442" xr:uid="{00000000-0005-0000-0000-0000E9240000}"/>
    <cellStyle name="Standard 6 4 2 2 2 6 3 2" xfId="21403" xr:uid="{3EC63CC6-ADED-4A12-B217-04850754F811}"/>
    <cellStyle name="Standard 6 4 2 2 2 6 4" xfId="21400" xr:uid="{AB130F31-CF8D-4DDA-9C4B-6F4AF6785DA5}"/>
    <cellStyle name="Standard 6 4 2 2 2 7" xfId="9443" xr:uid="{00000000-0005-0000-0000-0000EA240000}"/>
    <cellStyle name="Standard 6 4 2 2 2 7 2" xfId="9444" xr:uid="{00000000-0005-0000-0000-0000EB240000}"/>
    <cellStyle name="Standard 6 4 2 2 2 7 2 2" xfId="9445" xr:uid="{00000000-0005-0000-0000-0000EC240000}"/>
    <cellStyle name="Standard 6 4 2 2 2 7 2 2 2" xfId="21406" xr:uid="{D551BD19-B042-4239-993B-19CAFC0166EF}"/>
    <cellStyle name="Standard 6 4 2 2 2 7 2 3" xfId="21405" xr:uid="{BBF36B9E-88D3-4615-914D-1B17D3C89884}"/>
    <cellStyle name="Standard 6 4 2 2 2 7 3" xfId="9446" xr:uid="{00000000-0005-0000-0000-0000ED240000}"/>
    <cellStyle name="Standard 6 4 2 2 2 7 3 2" xfId="21407" xr:uid="{7B4ABF5C-85D6-4AD6-9EAE-50346286A59D}"/>
    <cellStyle name="Standard 6 4 2 2 2 7 4" xfId="21404" xr:uid="{54BB835E-E273-4A4A-BDFB-E9A8F28D1FB4}"/>
    <cellStyle name="Standard 6 4 2 2 2 8" xfId="9447" xr:uid="{00000000-0005-0000-0000-0000EE240000}"/>
    <cellStyle name="Standard 6 4 2 2 2 8 2" xfId="9448" xr:uid="{00000000-0005-0000-0000-0000EF240000}"/>
    <cellStyle name="Standard 6 4 2 2 2 8 2 2" xfId="9449" xr:uid="{00000000-0005-0000-0000-0000F0240000}"/>
    <cellStyle name="Standard 6 4 2 2 2 8 2 2 2" xfId="21410" xr:uid="{380A76F4-A65C-44D6-AB17-672C6DE37756}"/>
    <cellStyle name="Standard 6 4 2 2 2 8 2 3" xfId="21409" xr:uid="{0E96F4AD-E37A-4580-865D-9B27BDFC59F7}"/>
    <cellStyle name="Standard 6 4 2 2 2 8 3" xfId="9450" xr:uid="{00000000-0005-0000-0000-0000F1240000}"/>
    <cellStyle name="Standard 6 4 2 2 2 8 3 2" xfId="21411" xr:uid="{20130D65-73CE-4247-AE7E-1E62A0625DAB}"/>
    <cellStyle name="Standard 6 4 2 2 2 8 4" xfId="21408" xr:uid="{F24FE9AB-1650-41E6-8C94-FC2DBD4CB639}"/>
    <cellStyle name="Standard 6 4 2 2 2 9" xfId="9451" xr:uid="{00000000-0005-0000-0000-0000F2240000}"/>
    <cellStyle name="Standard 6 4 2 2 2 9 2" xfId="9452" xr:uid="{00000000-0005-0000-0000-0000F3240000}"/>
    <cellStyle name="Standard 6 4 2 2 2 9 2 2" xfId="21413" xr:uid="{061AE64A-80BB-4035-B1C3-A245A0285220}"/>
    <cellStyle name="Standard 6 4 2 2 2 9 3" xfId="21412" xr:uid="{7C3C98E8-ADB8-4ED9-8495-0976831C5B8F}"/>
    <cellStyle name="Standard 6 4 2 2 3" xfId="9453" xr:uid="{00000000-0005-0000-0000-0000F4240000}"/>
    <cellStyle name="Standard 6 4 2 2 3 10" xfId="21414" xr:uid="{7FA0C59C-87AE-4797-A9A7-97190960C27A}"/>
    <cellStyle name="Standard 6 4 2 2 3 2" xfId="9454" xr:uid="{00000000-0005-0000-0000-0000F5240000}"/>
    <cellStyle name="Standard 6 4 2 2 3 2 2" xfId="9455" xr:uid="{00000000-0005-0000-0000-0000F6240000}"/>
    <cellStyle name="Standard 6 4 2 2 3 2 2 2" xfId="9456" xr:uid="{00000000-0005-0000-0000-0000F7240000}"/>
    <cellStyle name="Standard 6 4 2 2 3 2 2 2 2" xfId="21417" xr:uid="{2E9319A4-8580-4BBE-9D93-3CCCB7B371F4}"/>
    <cellStyle name="Standard 6 4 2 2 3 2 2 3" xfId="21416" xr:uid="{63527E0F-D59C-4295-BF79-750445239D9A}"/>
    <cellStyle name="Standard 6 4 2 2 3 2 3" xfId="9457" xr:uid="{00000000-0005-0000-0000-0000F8240000}"/>
    <cellStyle name="Standard 6 4 2 2 3 2 3 2" xfId="21418" xr:uid="{F10B1786-0271-4176-89F8-34DD87C84AB9}"/>
    <cellStyle name="Standard 6 4 2 2 3 2 4" xfId="21415" xr:uid="{8B9E6D5F-026D-4271-B98D-7DEC9058575E}"/>
    <cellStyle name="Standard 6 4 2 2 3 3" xfId="9458" xr:uid="{00000000-0005-0000-0000-0000F9240000}"/>
    <cellStyle name="Standard 6 4 2 2 3 3 2" xfId="9459" xr:uid="{00000000-0005-0000-0000-0000FA240000}"/>
    <cellStyle name="Standard 6 4 2 2 3 3 2 2" xfId="9460" xr:uid="{00000000-0005-0000-0000-0000FB240000}"/>
    <cellStyle name="Standard 6 4 2 2 3 3 2 2 2" xfId="21421" xr:uid="{0C520E95-CDAE-479B-ABDF-288102D8E0A9}"/>
    <cellStyle name="Standard 6 4 2 2 3 3 2 3" xfId="21420" xr:uid="{7A1CAB11-1FBF-4C3E-A41A-4BC6EE9195BE}"/>
    <cellStyle name="Standard 6 4 2 2 3 3 3" xfId="9461" xr:uid="{00000000-0005-0000-0000-0000FC240000}"/>
    <cellStyle name="Standard 6 4 2 2 3 3 3 2" xfId="21422" xr:uid="{AB5970E6-9B7B-4ECD-AB13-BB0543E9B7BE}"/>
    <cellStyle name="Standard 6 4 2 2 3 3 4" xfId="21419" xr:uid="{EA8AEFC0-A068-4AD9-AC6F-087CF1838E1C}"/>
    <cellStyle name="Standard 6 4 2 2 3 4" xfId="9462" xr:uid="{00000000-0005-0000-0000-0000FD240000}"/>
    <cellStyle name="Standard 6 4 2 2 3 4 2" xfId="9463" xr:uid="{00000000-0005-0000-0000-0000FE240000}"/>
    <cellStyle name="Standard 6 4 2 2 3 4 2 2" xfId="9464" xr:uid="{00000000-0005-0000-0000-0000FF240000}"/>
    <cellStyle name="Standard 6 4 2 2 3 4 2 2 2" xfId="21425" xr:uid="{0DCDD361-0659-442C-BBD1-78E55B792765}"/>
    <cellStyle name="Standard 6 4 2 2 3 4 2 3" xfId="21424" xr:uid="{3611F3ED-6124-427C-B8EE-0A479EB450FF}"/>
    <cellStyle name="Standard 6 4 2 2 3 4 3" xfId="9465" xr:uid="{00000000-0005-0000-0000-000000250000}"/>
    <cellStyle name="Standard 6 4 2 2 3 4 3 2" xfId="21426" xr:uid="{50E31CB0-FBD6-4D55-A3C6-A3A6D7CC0DE6}"/>
    <cellStyle name="Standard 6 4 2 2 3 4 4" xfId="21423" xr:uid="{BA29EB5B-0FD5-4041-B5A2-371E35536DB5}"/>
    <cellStyle name="Standard 6 4 2 2 3 5" xfId="9466" xr:uid="{00000000-0005-0000-0000-000001250000}"/>
    <cellStyle name="Standard 6 4 2 2 3 5 2" xfId="9467" xr:uid="{00000000-0005-0000-0000-000002250000}"/>
    <cellStyle name="Standard 6 4 2 2 3 5 2 2" xfId="9468" xr:uid="{00000000-0005-0000-0000-000003250000}"/>
    <cellStyle name="Standard 6 4 2 2 3 5 2 2 2" xfId="21429" xr:uid="{031C8871-8AF8-435D-ABEA-11B5200C80CF}"/>
    <cellStyle name="Standard 6 4 2 2 3 5 2 3" xfId="21428" xr:uid="{95FF91C1-99E3-4E20-97CD-4900054F33A4}"/>
    <cellStyle name="Standard 6 4 2 2 3 5 3" xfId="9469" xr:uid="{00000000-0005-0000-0000-000004250000}"/>
    <cellStyle name="Standard 6 4 2 2 3 5 3 2" xfId="21430" xr:uid="{745E8BEF-2225-4DAE-923C-37085195DB21}"/>
    <cellStyle name="Standard 6 4 2 2 3 5 4" xfId="21427" xr:uid="{8EC8F30F-C821-4533-A7F8-10E062FB1BCE}"/>
    <cellStyle name="Standard 6 4 2 2 3 6" xfId="9470" xr:uid="{00000000-0005-0000-0000-000005250000}"/>
    <cellStyle name="Standard 6 4 2 2 3 6 2" xfId="9471" xr:uid="{00000000-0005-0000-0000-000006250000}"/>
    <cellStyle name="Standard 6 4 2 2 3 6 2 2" xfId="9472" xr:uid="{00000000-0005-0000-0000-000007250000}"/>
    <cellStyle name="Standard 6 4 2 2 3 6 2 2 2" xfId="21433" xr:uid="{E88330B5-F857-4CA3-89A1-F7BF794F355E}"/>
    <cellStyle name="Standard 6 4 2 2 3 6 2 3" xfId="21432" xr:uid="{54F2B73C-34D0-423B-BF51-21057FEFEA06}"/>
    <cellStyle name="Standard 6 4 2 2 3 6 3" xfId="9473" xr:uid="{00000000-0005-0000-0000-000008250000}"/>
    <cellStyle name="Standard 6 4 2 2 3 6 3 2" xfId="21434" xr:uid="{98BFCB48-FDDB-41D4-BF92-00432D7B17DF}"/>
    <cellStyle name="Standard 6 4 2 2 3 6 4" xfId="21431" xr:uid="{95FB4105-9E42-481A-9B4F-B1585432169C}"/>
    <cellStyle name="Standard 6 4 2 2 3 7" xfId="9474" xr:uid="{00000000-0005-0000-0000-000009250000}"/>
    <cellStyle name="Standard 6 4 2 2 3 7 2" xfId="9475" xr:uid="{00000000-0005-0000-0000-00000A250000}"/>
    <cellStyle name="Standard 6 4 2 2 3 7 2 2" xfId="9476" xr:uid="{00000000-0005-0000-0000-00000B250000}"/>
    <cellStyle name="Standard 6 4 2 2 3 7 2 2 2" xfId="21437" xr:uid="{0D7EFE96-31F4-4966-864A-B087F6DC155D}"/>
    <cellStyle name="Standard 6 4 2 2 3 7 2 3" xfId="21436" xr:uid="{27567433-3120-43BE-9FEF-EDEE3560006F}"/>
    <cellStyle name="Standard 6 4 2 2 3 7 3" xfId="9477" xr:uid="{00000000-0005-0000-0000-00000C250000}"/>
    <cellStyle name="Standard 6 4 2 2 3 7 3 2" xfId="21438" xr:uid="{B0ABA21E-6F0D-4FCE-9218-1F80C601EFE8}"/>
    <cellStyle name="Standard 6 4 2 2 3 7 4" xfId="21435" xr:uid="{5D369225-DF53-499B-885B-90DF6551780E}"/>
    <cellStyle name="Standard 6 4 2 2 3 8" xfId="9478" xr:uid="{00000000-0005-0000-0000-00000D250000}"/>
    <cellStyle name="Standard 6 4 2 2 3 8 2" xfId="9479" xr:uid="{00000000-0005-0000-0000-00000E250000}"/>
    <cellStyle name="Standard 6 4 2 2 3 8 2 2" xfId="21440" xr:uid="{385A4E59-7246-4E35-81BC-457DBAFE15F7}"/>
    <cellStyle name="Standard 6 4 2 2 3 8 3" xfId="21439" xr:uid="{32A02792-56D1-4ED9-ABF1-4D45EF508434}"/>
    <cellStyle name="Standard 6 4 2 2 3 9" xfId="9480" xr:uid="{00000000-0005-0000-0000-00000F250000}"/>
    <cellStyle name="Standard 6 4 2 2 3 9 2" xfId="21441" xr:uid="{01D81F9E-B6A1-4216-B285-F6F2ADEDFA76}"/>
    <cellStyle name="Standard 6 4 2 2 4" xfId="9481" xr:uid="{00000000-0005-0000-0000-000010250000}"/>
    <cellStyle name="Standard 6 4 2 2 4 2" xfId="9482" xr:uid="{00000000-0005-0000-0000-000011250000}"/>
    <cellStyle name="Standard 6 4 2 2 4 2 2" xfId="9483" xr:uid="{00000000-0005-0000-0000-000012250000}"/>
    <cellStyle name="Standard 6 4 2 2 4 2 2 2" xfId="21444" xr:uid="{957460AF-0CE7-404E-A3C0-3DE488B81EAE}"/>
    <cellStyle name="Standard 6 4 2 2 4 2 3" xfId="21443" xr:uid="{A7BA2CAF-A53E-4C97-BD8B-567A855D705F}"/>
    <cellStyle name="Standard 6 4 2 2 4 3" xfId="9484" xr:uid="{00000000-0005-0000-0000-000013250000}"/>
    <cellStyle name="Standard 6 4 2 2 4 3 2" xfId="21445" xr:uid="{858D3176-9D8E-4B9E-9A0A-D1F04ABFE3B0}"/>
    <cellStyle name="Standard 6 4 2 2 4 4" xfId="21442" xr:uid="{04B9C607-32E0-49C9-BCF3-664AA2B63988}"/>
    <cellStyle name="Standard 6 4 2 2 5" xfId="9485" xr:uid="{00000000-0005-0000-0000-000014250000}"/>
    <cellStyle name="Standard 6 4 2 2 5 2" xfId="9486" xr:uid="{00000000-0005-0000-0000-000015250000}"/>
    <cellStyle name="Standard 6 4 2 2 5 2 2" xfId="9487" xr:uid="{00000000-0005-0000-0000-000016250000}"/>
    <cellStyle name="Standard 6 4 2 2 5 2 2 2" xfId="21448" xr:uid="{2697DA5C-361B-4E3D-B6BC-C4ADBD97601A}"/>
    <cellStyle name="Standard 6 4 2 2 5 2 3" xfId="21447" xr:uid="{70A77545-A1A5-437B-BF2E-AF38E1F7CDA3}"/>
    <cellStyle name="Standard 6 4 2 2 5 3" xfId="9488" xr:uid="{00000000-0005-0000-0000-000017250000}"/>
    <cellStyle name="Standard 6 4 2 2 5 3 2" xfId="21449" xr:uid="{7C75B34D-406C-4367-A91D-C5CE2C301247}"/>
    <cellStyle name="Standard 6 4 2 2 5 4" xfId="21446" xr:uid="{4609AE2A-7492-434B-A69C-5A8D365CE340}"/>
    <cellStyle name="Standard 6 4 2 2 6" xfId="9489" xr:uid="{00000000-0005-0000-0000-000018250000}"/>
    <cellStyle name="Standard 6 4 2 2 6 2" xfId="9490" xr:uid="{00000000-0005-0000-0000-000019250000}"/>
    <cellStyle name="Standard 6 4 2 2 6 2 2" xfId="9491" xr:uid="{00000000-0005-0000-0000-00001A250000}"/>
    <cellStyle name="Standard 6 4 2 2 6 2 2 2" xfId="21452" xr:uid="{003BA56C-7720-444E-A5EA-CC672C9F5E7D}"/>
    <cellStyle name="Standard 6 4 2 2 6 2 3" xfId="21451" xr:uid="{B6836C41-0761-4AF3-80CE-A060CD30DC6D}"/>
    <cellStyle name="Standard 6 4 2 2 6 3" xfId="9492" xr:uid="{00000000-0005-0000-0000-00001B250000}"/>
    <cellStyle name="Standard 6 4 2 2 6 3 2" xfId="21453" xr:uid="{7CDB0F18-E7C2-4773-9BF8-BD451C8546BF}"/>
    <cellStyle name="Standard 6 4 2 2 6 4" xfId="21450" xr:uid="{BF14B372-9839-4588-AB1B-98E59D60DF7D}"/>
    <cellStyle name="Standard 6 4 2 2 7" xfId="9493" xr:uid="{00000000-0005-0000-0000-00001C250000}"/>
    <cellStyle name="Standard 6 4 2 2 7 2" xfId="9494" xr:uid="{00000000-0005-0000-0000-00001D250000}"/>
    <cellStyle name="Standard 6 4 2 2 7 2 2" xfId="9495" xr:uid="{00000000-0005-0000-0000-00001E250000}"/>
    <cellStyle name="Standard 6 4 2 2 7 2 2 2" xfId="21456" xr:uid="{08348460-C0B1-4873-ABB1-81FD565339BB}"/>
    <cellStyle name="Standard 6 4 2 2 7 2 3" xfId="21455" xr:uid="{6101D66C-AED8-4AC6-911A-051D103CEFAB}"/>
    <cellStyle name="Standard 6 4 2 2 7 3" xfId="9496" xr:uid="{00000000-0005-0000-0000-00001F250000}"/>
    <cellStyle name="Standard 6 4 2 2 7 3 2" xfId="21457" xr:uid="{8189C99D-A543-4023-A54F-25F8A1753C7B}"/>
    <cellStyle name="Standard 6 4 2 2 7 4" xfId="21454" xr:uid="{49DFD8F0-8221-4ED9-8277-2E2BFD57F0BF}"/>
    <cellStyle name="Standard 6 4 2 2 8" xfId="9497" xr:uid="{00000000-0005-0000-0000-000020250000}"/>
    <cellStyle name="Standard 6 4 2 2 8 2" xfId="9498" xr:uid="{00000000-0005-0000-0000-000021250000}"/>
    <cellStyle name="Standard 6 4 2 2 8 2 2" xfId="9499" xr:uid="{00000000-0005-0000-0000-000022250000}"/>
    <cellStyle name="Standard 6 4 2 2 8 2 2 2" xfId="21460" xr:uid="{E99D9892-ACD2-4C44-8DC7-7C75FD83AD29}"/>
    <cellStyle name="Standard 6 4 2 2 8 2 3" xfId="21459" xr:uid="{DB4E7B19-713D-4B00-B607-5DB173782CA4}"/>
    <cellStyle name="Standard 6 4 2 2 8 3" xfId="9500" xr:uid="{00000000-0005-0000-0000-000023250000}"/>
    <cellStyle name="Standard 6 4 2 2 8 3 2" xfId="21461" xr:uid="{BAF42807-9162-4CDE-BDA5-115148952CC4}"/>
    <cellStyle name="Standard 6 4 2 2 8 4" xfId="21458" xr:uid="{2E687575-BD19-4F8C-A795-2AA1008B7D1A}"/>
    <cellStyle name="Standard 6 4 2 2 9" xfId="9501" xr:uid="{00000000-0005-0000-0000-000024250000}"/>
    <cellStyle name="Standard 6 4 2 2 9 2" xfId="9502" xr:uid="{00000000-0005-0000-0000-000025250000}"/>
    <cellStyle name="Standard 6 4 2 2 9 2 2" xfId="9503" xr:uid="{00000000-0005-0000-0000-000026250000}"/>
    <cellStyle name="Standard 6 4 2 2 9 2 2 2" xfId="21464" xr:uid="{6DE8A328-544B-4B09-B758-20B58F9D2BFF}"/>
    <cellStyle name="Standard 6 4 2 2 9 2 3" xfId="21463" xr:uid="{FD24FC6F-8FE3-4F5F-B2B2-30FB61DC24EB}"/>
    <cellStyle name="Standard 6 4 2 2 9 3" xfId="9504" xr:uid="{00000000-0005-0000-0000-000027250000}"/>
    <cellStyle name="Standard 6 4 2 2 9 3 2" xfId="21465" xr:uid="{568DF462-BF24-468D-8A22-DC3A97A85515}"/>
    <cellStyle name="Standard 6 4 2 2 9 4" xfId="21462" xr:uid="{524C648E-2842-4990-8E0E-C571DC4FD38A}"/>
    <cellStyle name="Standard 6 4 2 20" xfId="9505" xr:uid="{00000000-0005-0000-0000-000028250000}"/>
    <cellStyle name="Standard 6 4 2 20 2" xfId="9506" xr:uid="{00000000-0005-0000-0000-000029250000}"/>
    <cellStyle name="Standard 6 4 2 20 2 2" xfId="21467" xr:uid="{5ADFD85D-95E1-443A-9336-7A81FA604FD4}"/>
    <cellStyle name="Standard 6 4 2 20 3" xfId="21466" xr:uid="{8B43170F-CE35-45D3-9601-48DA1A860B73}"/>
    <cellStyle name="Standard 6 4 2 21" xfId="9507" xr:uid="{00000000-0005-0000-0000-00002A250000}"/>
    <cellStyle name="Standard 6 4 2 21 2" xfId="21468" xr:uid="{12607B56-3CC5-42F2-8AB2-1C199E52DDA9}"/>
    <cellStyle name="Standard 6 4 2 22" xfId="9508" xr:uid="{00000000-0005-0000-0000-00002B250000}"/>
    <cellStyle name="Standard 6 4 2 22 2" xfId="21469" xr:uid="{7B31AD9F-FB4A-433F-A2AA-B89C8B29373D}"/>
    <cellStyle name="Standard 6 4 2 23" xfId="21313" xr:uid="{3A709747-0F46-4D4F-B302-8ABE53BEAD76}"/>
    <cellStyle name="Standard 6 4 2 3" xfId="9509" xr:uid="{00000000-0005-0000-0000-00002C250000}"/>
    <cellStyle name="Standard 6 4 2 3 10" xfId="9510" xr:uid="{00000000-0005-0000-0000-00002D250000}"/>
    <cellStyle name="Standard 6 4 2 3 10 2" xfId="21471" xr:uid="{37EFFC26-543F-47E7-87B0-33BC6110B38C}"/>
    <cellStyle name="Standard 6 4 2 3 11" xfId="21470" xr:uid="{DDC7B21C-6782-4FDE-A8AC-8DBAA69562E0}"/>
    <cellStyle name="Standard 6 4 2 3 2" xfId="9511" xr:uid="{00000000-0005-0000-0000-00002E250000}"/>
    <cellStyle name="Standard 6 4 2 3 2 10" xfId="21472" xr:uid="{EA6A6DAD-296B-484C-BF27-F58C6145BD0E}"/>
    <cellStyle name="Standard 6 4 2 3 2 2" xfId="9512" xr:uid="{00000000-0005-0000-0000-00002F250000}"/>
    <cellStyle name="Standard 6 4 2 3 2 2 2" xfId="9513" xr:uid="{00000000-0005-0000-0000-000030250000}"/>
    <cellStyle name="Standard 6 4 2 3 2 2 2 2" xfId="9514" xr:uid="{00000000-0005-0000-0000-000031250000}"/>
    <cellStyle name="Standard 6 4 2 3 2 2 2 2 2" xfId="21475" xr:uid="{3EFCA90F-C218-4C8B-A113-653A695D9498}"/>
    <cellStyle name="Standard 6 4 2 3 2 2 2 3" xfId="21474" xr:uid="{4C5D7640-A726-46DC-AE7C-E716C5C9D419}"/>
    <cellStyle name="Standard 6 4 2 3 2 2 3" xfId="9515" xr:uid="{00000000-0005-0000-0000-000032250000}"/>
    <cellStyle name="Standard 6 4 2 3 2 2 3 2" xfId="21476" xr:uid="{0E433AF6-8D9F-4494-A179-8389BEFF0F4F}"/>
    <cellStyle name="Standard 6 4 2 3 2 2 4" xfId="21473" xr:uid="{E21B5487-D9DC-453D-A7E4-425C70BB446B}"/>
    <cellStyle name="Standard 6 4 2 3 2 3" xfId="9516" xr:uid="{00000000-0005-0000-0000-000033250000}"/>
    <cellStyle name="Standard 6 4 2 3 2 3 2" xfId="9517" xr:uid="{00000000-0005-0000-0000-000034250000}"/>
    <cellStyle name="Standard 6 4 2 3 2 3 2 2" xfId="9518" xr:uid="{00000000-0005-0000-0000-000035250000}"/>
    <cellStyle name="Standard 6 4 2 3 2 3 2 2 2" xfId="21479" xr:uid="{26779694-2810-4A5E-81A7-1640C592BF66}"/>
    <cellStyle name="Standard 6 4 2 3 2 3 2 3" xfId="21478" xr:uid="{0E02AFF6-DD7A-45D9-AE7D-19FB8097F30B}"/>
    <cellStyle name="Standard 6 4 2 3 2 3 3" xfId="9519" xr:uid="{00000000-0005-0000-0000-000036250000}"/>
    <cellStyle name="Standard 6 4 2 3 2 3 3 2" xfId="21480" xr:uid="{F1805394-D2D3-48FD-ABED-FD3EF0AD2722}"/>
    <cellStyle name="Standard 6 4 2 3 2 3 4" xfId="21477" xr:uid="{D59BFFD4-6539-47C3-B1DC-DC6C35C30AF4}"/>
    <cellStyle name="Standard 6 4 2 3 2 4" xfId="9520" xr:uid="{00000000-0005-0000-0000-000037250000}"/>
    <cellStyle name="Standard 6 4 2 3 2 4 2" xfId="9521" xr:uid="{00000000-0005-0000-0000-000038250000}"/>
    <cellStyle name="Standard 6 4 2 3 2 4 2 2" xfId="9522" xr:uid="{00000000-0005-0000-0000-000039250000}"/>
    <cellStyle name="Standard 6 4 2 3 2 4 2 2 2" xfId="21483" xr:uid="{60298789-E6C4-496F-92CF-E8F0650DD47E}"/>
    <cellStyle name="Standard 6 4 2 3 2 4 2 3" xfId="21482" xr:uid="{A5ABC7E6-2387-4A94-9F68-8A219E35E55A}"/>
    <cellStyle name="Standard 6 4 2 3 2 4 3" xfId="9523" xr:uid="{00000000-0005-0000-0000-00003A250000}"/>
    <cellStyle name="Standard 6 4 2 3 2 4 3 2" xfId="21484" xr:uid="{91A5A8E9-8122-44C0-89A1-47585D761E38}"/>
    <cellStyle name="Standard 6 4 2 3 2 4 4" xfId="21481" xr:uid="{08E34866-B17A-4B90-9B3B-EDE1E6CBCCF3}"/>
    <cellStyle name="Standard 6 4 2 3 2 5" xfId="9524" xr:uid="{00000000-0005-0000-0000-00003B250000}"/>
    <cellStyle name="Standard 6 4 2 3 2 5 2" xfId="9525" xr:uid="{00000000-0005-0000-0000-00003C250000}"/>
    <cellStyle name="Standard 6 4 2 3 2 5 2 2" xfId="9526" xr:uid="{00000000-0005-0000-0000-00003D250000}"/>
    <cellStyle name="Standard 6 4 2 3 2 5 2 2 2" xfId="21487" xr:uid="{BE3CA467-5128-4D3E-8D83-27FF7292AF35}"/>
    <cellStyle name="Standard 6 4 2 3 2 5 2 3" xfId="21486" xr:uid="{7877ED65-2684-42CD-950C-CD264308D146}"/>
    <cellStyle name="Standard 6 4 2 3 2 5 3" xfId="9527" xr:uid="{00000000-0005-0000-0000-00003E250000}"/>
    <cellStyle name="Standard 6 4 2 3 2 5 3 2" xfId="21488" xr:uid="{B7C0A59B-0EF6-4FC4-8327-9E4FEB41B6F1}"/>
    <cellStyle name="Standard 6 4 2 3 2 5 4" xfId="21485" xr:uid="{2D1AD8DB-2684-4CCC-8C70-4C9C06ADEA1B}"/>
    <cellStyle name="Standard 6 4 2 3 2 6" xfId="9528" xr:uid="{00000000-0005-0000-0000-00003F250000}"/>
    <cellStyle name="Standard 6 4 2 3 2 6 2" xfId="9529" xr:uid="{00000000-0005-0000-0000-000040250000}"/>
    <cellStyle name="Standard 6 4 2 3 2 6 2 2" xfId="9530" xr:uid="{00000000-0005-0000-0000-000041250000}"/>
    <cellStyle name="Standard 6 4 2 3 2 6 2 2 2" xfId="21491" xr:uid="{B3A36CFE-4A55-4C4D-976E-85085A7BE684}"/>
    <cellStyle name="Standard 6 4 2 3 2 6 2 3" xfId="21490" xr:uid="{C6AE7397-2708-4102-A399-C1EF69FDAEA7}"/>
    <cellStyle name="Standard 6 4 2 3 2 6 3" xfId="9531" xr:uid="{00000000-0005-0000-0000-000042250000}"/>
    <cellStyle name="Standard 6 4 2 3 2 6 3 2" xfId="21492" xr:uid="{91013068-41E1-4EC9-8C54-510523434673}"/>
    <cellStyle name="Standard 6 4 2 3 2 6 4" xfId="21489" xr:uid="{6F3D869C-7AD6-45DF-9A03-0AE9AB5F1192}"/>
    <cellStyle name="Standard 6 4 2 3 2 7" xfId="9532" xr:uid="{00000000-0005-0000-0000-000043250000}"/>
    <cellStyle name="Standard 6 4 2 3 2 7 2" xfId="9533" xr:uid="{00000000-0005-0000-0000-000044250000}"/>
    <cellStyle name="Standard 6 4 2 3 2 7 2 2" xfId="9534" xr:uid="{00000000-0005-0000-0000-000045250000}"/>
    <cellStyle name="Standard 6 4 2 3 2 7 2 2 2" xfId="21495" xr:uid="{52BDB1FA-64F6-4025-B64F-9DEEB1CE82EB}"/>
    <cellStyle name="Standard 6 4 2 3 2 7 2 3" xfId="21494" xr:uid="{C0E85AFE-DBEE-4514-AAAB-C2461AE73409}"/>
    <cellStyle name="Standard 6 4 2 3 2 7 3" xfId="9535" xr:uid="{00000000-0005-0000-0000-000046250000}"/>
    <cellStyle name="Standard 6 4 2 3 2 7 3 2" xfId="21496" xr:uid="{DF59FC33-A986-4078-B39B-BB1FF8B76512}"/>
    <cellStyle name="Standard 6 4 2 3 2 7 4" xfId="21493" xr:uid="{861A6940-72E5-48AA-8BD4-8D1AEC6E8AA5}"/>
    <cellStyle name="Standard 6 4 2 3 2 8" xfId="9536" xr:uid="{00000000-0005-0000-0000-000047250000}"/>
    <cellStyle name="Standard 6 4 2 3 2 8 2" xfId="9537" xr:uid="{00000000-0005-0000-0000-000048250000}"/>
    <cellStyle name="Standard 6 4 2 3 2 8 2 2" xfId="21498" xr:uid="{53AC2A10-43DB-4138-B5ED-62F27DC7873D}"/>
    <cellStyle name="Standard 6 4 2 3 2 8 3" xfId="21497" xr:uid="{8BDA8AC9-641E-4170-8AE4-46D243DAAEDB}"/>
    <cellStyle name="Standard 6 4 2 3 2 9" xfId="9538" xr:uid="{00000000-0005-0000-0000-000049250000}"/>
    <cellStyle name="Standard 6 4 2 3 2 9 2" xfId="21499" xr:uid="{5E8E3FEB-7FF2-4B30-8101-6404DC11BA91}"/>
    <cellStyle name="Standard 6 4 2 3 3" xfId="9539" xr:uid="{00000000-0005-0000-0000-00004A250000}"/>
    <cellStyle name="Standard 6 4 2 3 3 2" xfId="9540" xr:uid="{00000000-0005-0000-0000-00004B250000}"/>
    <cellStyle name="Standard 6 4 2 3 3 2 2" xfId="9541" xr:uid="{00000000-0005-0000-0000-00004C250000}"/>
    <cellStyle name="Standard 6 4 2 3 3 2 2 2" xfId="21502" xr:uid="{CBE18EBD-A012-4082-820E-D5ABEF627832}"/>
    <cellStyle name="Standard 6 4 2 3 3 2 3" xfId="21501" xr:uid="{2298B4D5-557C-4705-859F-97C9AE01FD82}"/>
    <cellStyle name="Standard 6 4 2 3 3 3" xfId="9542" xr:uid="{00000000-0005-0000-0000-00004D250000}"/>
    <cellStyle name="Standard 6 4 2 3 3 3 2" xfId="21503" xr:uid="{6257F780-0948-4635-B81E-0F2D2D7D19C1}"/>
    <cellStyle name="Standard 6 4 2 3 3 4" xfId="21500" xr:uid="{0E6D8D8E-93B7-40EB-9CD7-8E1972620693}"/>
    <cellStyle name="Standard 6 4 2 3 4" xfId="9543" xr:uid="{00000000-0005-0000-0000-00004E250000}"/>
    <cellStyle name="Standard 6 4 2 3 4 2" xfId="9544" xr:uid="{00000000-0005-0000-0000-00004F250000}"/>
    <cellStyle name="Standard 6 4 2 3 4 2 2" xfId="9545" xr:uid="{00000000-0005-0000-0000-000050250000}"/>
    <cellStyle name="Standard 6 4 2 3 4 2 2 2" xfId="21506" xr:uid="{687AD162-4A7E-44D3-AF10-DCE23700700C}"/>
    <cellStyle name="Standard 6 4 2 3 4 2 3" xfId="21505" xr:uid="{00042343-0841-4539-A88D-D0437817C70E}"/>
    <cellStyle name="Standard 6 4 2 3 4 3" xfId="9546" xr:uid="{00000000-0005-0000-0000-000051250000}"/>
    <cellStyle name="Standard 6 4 2 3 4 3 2" xfId="21507" xr:uid="{6E5F0A6D-50EB-4A70-B1D5-AA02A844F643}"/>
    <cellStyle name="Standard 6 4 2 3 4 4" xfId="21504" xr:uid="{D0DB4C52-941C-4250-8B3B-0C1EF847C02D}"/>
    <cellStyle name="Standard 6 4 2 3 5" xfId="9547" xr:uid="{00000000-0005-0000-0000-000052250000}"/>
    <cellStyle name="Standard 6 4 2 3 5 2" xfId="9548" xr:uid="{00000000-0005-0000-0000-000053250000}"/>
    <cellStyle name="Standard 6 4 2 3 5 2 2" xfId="9549" xr:uid="{00000000-0005-0000-0000-000054250000}"/>
    <cellStyle name="Standard 6 4 2 3 5 2 2 2" xfId="21510" xr:uid="{B3869D1F-56E8-44D5-8278-33B56048D4BA}"/>
    <cellStyle name="Standard 6 4 2 3 5 2 3" xfId="21509" xr:uid="{9417CD14-A184-4B2E-8DB6-6D61752CAA90}"/>
    <cellStyle name="Standard 6 4 2 3 5 3" xfId="9550" xr:uid="{00000000-0005-0000-0000-000055250000}"/>
    <cellStyle name="Standard 6 4 2 3 5 3 2" xfId="21511" xr:uid="{9706FFFC-F3D3-463B-9AC2-AE05105304BC}"/>
    <cellStyle name="Standard 6 4 2 3 5 4" xfId="21508" xr:uid="{F55CD618-2E79-41E8-B9F5-43FAB4406165}"/>
    <cellStyle name="Standard 6 4 2 3 6" xfId="9551" xr:uid="{00000000-0005-0000-0000-000056250000}"/>
    <cellStyle name="Standard 6 4 2 3 6 2" xfId="9552" xr:uid="{00000000-0005-0000-0000-000057250000}"/>
    <cellStyle name="Standard 6 4 2 3 6 2 2" xfId="9553" xr:uid="{00000000-0005-0000-0000-000058250000}"/>
    <cellStyle name="Standard 6 4 2 3 6 2 2 2" xfId="21514" xr:uid="{3AA1B448-F5BE-4F2A-89D6-EB5944B08646}"/>
    <cellStyle name="Standard 6 4 2 3 6 2 3" xfId="21513" xr:uid="{4B19FA77-68D4-4A32-9299-3114F0499DA4}"/>
    <cellStyle name="Standard 6 4 2 3 6 3" xfId="9554" xr:uid="{00000000-0005-0000-0000-000059250000}"/>
    <cellStyle name="Standard 6 4 2 3 6 3 2" xfId="21515" xr:uid="{B62EB30F-56F9-4527-BE75-4B9BEBDC79ED}"/>
    <cellStyle name="Standard 6 4 2 3 6 4" xfId="21512" xr:uid="{5594CBD6-D305-4B78-9541-9AE3865E08C3}"/>
    <cellStyle name="Standard 6 4 2 3 7" xfId="9555" xr:uid="{00000000-0005-0000-0000-00005A250000}"/>
    <cellStyle name="Standard 6 4 2 3 7 2" xfId="9556" xr:uid="{00000000-0005-0000-0000-00005B250000}"/>
    <cellStyle name="Standard 6 4 2 3 7 2 2" xfId="9557" xr:uid="{00000000-0005-0000-0000-00005C250000}"/>
    <cellStyle name="Standard 6 4 2 3 7 2 2 2" xfId="21518" xr:uid="{8D271585-CA89-445E-BFE4-7823A0EB8A3E}"/>
    <cellStyle name="Standard 6 4 2 3 7 2 3" xfId="21517" xr:uid="{C5BC62A9-53D0-46A2-86BC-97DD696CA988}"/>
    <cellStyle name="Standard 6 4 2 3 7 3" xfId="9558" xr:uid="{00000000-0005-0000-0000-00005D250000}"/>
    <cellStyle name="Standard 6 4 2 3 7 3 2" xfId="21519" xr:uid="{25BB5D5A-8FBA-4402-86C5-2DDEF73B3CB4}"/>
    <cellStyle name="Standard 6 4 2 3 7 4" xfId="21516" xr:uid="{2F53B535-2358-4333-A04F-A5E986DCD234}"/>
    <cellStyle name="Standard 6 4 2 3 8" xfId="9559" xr:uid="{00000000-0005-0000-0000-00005E250000}"/>
    <cellStyle name="Standard 6 4 2 3 8 2" xfId="9560" xr:uid="{00000000-0005-0000-0000-00005F250000}"/>
    <cellStyle name="Standard 6 4 2 3 8 2 2" xfId="9561" xr:uid="{00000000-0005-0000-0000-000060250000}"/>
    <cellStyle name="Standard 6 4 2 3 8 2 2 2" xfId="21522" xr:uid="{31ACCBCC-20AF-4B4D-A156-C3A8B751980D}"/>
    <cellStyle name="Standard 6 4 2 3 8 2 3" xfId="21521" xr:uid="{699553BE-DD39-4ED2-AA8B-A11CF54E428D}"/>
    <cellStyle name="Standard 6 4 2 3 8 3" xfId="9562" xr:uid="{00000000-0005-0000-0000-000061250000}"/>
    <cellStyle name="Standard 6 4 2 3 8 3 2" xfId="21523" xr:uid="{DE7AD725-FBCA-4D0E-A785-68AAE71FD467}"/>
    <cellStyle name="Standard 6 4 2 3 8 4" xfId="21520" xr:uid="{4DBB7634-E52B-4A51-A134-AAFE6D73C233}"/>
    <cellStyle name="Standard 6 4 2 3 9" xfId="9563" xr:uid="{00000000-0005-0000-0000-000062250000}"/>
    <cellStyle name="Standard 6 4 2 3 9 2" xfId="9564" xr:uid="{00000000-0005-0000-0000-000063250000}"/>
    <cellStyle name="Standard 6 4 2 3 9 2 2" xfId="21525" xr:uid="{0CFF0A2D-27C7-4878-AC1F-255DF4E1DAF9}"/>
    <cellStyle name="Standard 6 4 2 3 9 3" xfId="21524" xr:uid="{FE39E95D-5672-4335-B467-125F2862D68E}"/>
    <cellStyle name="Standard 6 4 2 4" xfId="9565" xr:uid="{00000000-0005-0000-0000-000064250000}"/>
    <cellStyle name="Standard 6 4 2 4 10" xfId="9566" xr:uid="{00000000-0005-0000-0000-000065250000}"/>
    <cellStyle name="Standard 6 4 2 4 10 2" xfId="21527" xr:uid="{78DAF334-C1AB-4D52-8EE5-71C94454E6D7}"/>
    <cellStyle name="Standard 6 4 2 4 11" xfId="21526" xr:uid="{4A09C555-7480-4CF6-A74A-78F2FEFEE953}"/>
    <cellStyle name="Standard 6 4 2 4 2" xfId="9567" xr:uid="{00000000-0005-0000-0000-000066250000}"/>
    <cellStyle name="Standard 6 4 2 4 2 10" xfId="21528" xr:uid="{721AE50D-7D01-4C4B-9BB7-0D45D937D983}"/>
    <cellStyle name="Standard 6 4 2 4 2 2" xfId="9568" xr:uid="{00000000-0005-0000-0000-000067250000}"/>
    <cellStyle name="Standard 6 4 2 4 2 2 2" xfId="9569" xr:uid="{00000000-0005-0000-0000-000068250000}"/>
    <cellStyle name="Standard 6 4 2 4 2 2 2 2" xfId="9570" xr:uid="{00000000-0005-0000-0000-000069250000}"/>
    <cellStyle name="Standard 6 4 2 4 2 2 2 2 2" xfId="21531" xr:uid="{BBC1B97D-3759-4366-A973-D8D66A542A19}"/>
    <cellStyle name="Standard 6 4 2 4 2 2 2 3" xfId="21530" xr:uid="{13635B0D-BB06-4A48-93BB-DFC9125C6C3A}"/>
    <cellStyle name="Standard 6 4 2 4 2 2 3" xfId="9571" xr:uid="{00000000-0005-0000-0000-00006A250000}"/>
    <cellStyle name="Standard 6 4 2 4 2 2 3 2" xfId="21532" xr:uid="{01BFA110-AE42-476F-8DFC-7EE59AC87253}"/>
    <cellStyle name="Standard 6 4 2 4 2 2 4" xfId="21529" xr:uid="{FFC192B0-E0CC-4782-8339-D8C846EB33B3}"/>
    <cellStyle name="Standard 6 4 2 4 2 3" xfId="9572" xr:uid="{00000000-0005-0000-0000-00006B250000}"/>
    <cellStyle name="Standard 6 4 2 4 2 3 2" xfId="9573" xr:uid="{00000000-0005-0000-0000-00006C250000}"/>
    <cellStyle name="Standard 6 4 2 4 2 3 2 2" xfId="9574" xr:uid="{00000000-0005-0000-0000-00006D250000}"/>
    <cellStyle name="Standard 6 4 2 4 2 3 2 2 2" xfId="21535" xr:uid="{8700069D-0F99-43E6-810F-638DF30C5AEF}"/>
    <cellStyle name="Standard 6 4 2 4 2 3 2 3" xfId="21534" xr:uid="{24DB9056-0B2F-497D-9236-6FDA537F5F91}"/>
    <cellStyle name="Standard 6 4 2 4 2 3 3" xfId="9575" xr:uid="{00000000-0005-0000-0000-00006E250000}"/>
    <cellStyle name="Standard 6 4 2 4 2 3 3 2" xfId="21536" xr:uid="{AEFC06CC-B720-47C5-8126-A404DF1764CE}"/>
    <cellStyle name="Standard 6 4 2 4 2 3 4" xfId="21533" xr:uid="{87A258DE-E855-425B-AE71-68209B3D27A9}"/>
    <cellStyle name="Standard 6 4 2 4 2 4" xfId="9576" xr:uid="{00000000-0005-0000-0000-00006F250000}"/>
    <cellStyle name="Standard 6 4 2 4 2 4 2" xfId="9577" xr:uid="{00000000-0005-0000-0000-000070250000}"/>
    <cellStyle name="Standard 6 4 2 4 2 4 2 2" xfId="9578" xr:uid="{00000000-0005-0000-0000-000071250000}"/>
    <cellStyle name="Standard 6 4 2 4 2 4 2 2 2" xfId="21539" xr:uid="{E1C3E7A9-03CA-47C3-8280-FF4D57D03AF5}"/>
    <cellStyle name="Standard 6 4 2 4 2 4 2 3" xfId="21538" xr:uid="{1518FCC6-B829-4455-AFDD-04FA6DFFE433}"/>
    <cellStyle name="Standard 6 4 2 4 2 4 3" xfId="9579" xr:uid="{00000000-0005-0000-0000-000072250000}"/>
    <cellStyle name="Standard 6 4 2 4 2 4 3 2" xfId="21540" xr:uid="{0A3D024A-C566-4148-97C6-8D066D2D7AE9}"/>
    <cellStyle name="Standard 6 4 2 4 2 4 4" xfId="21537" xr:uid="{0CC2C2FD-F6CB-43CA-A73C-EF6FA15196BA}"/>
    <cellStyle name="Standard 6 4 2 4 2 5" xfId="9580" xr:uid="{00000000-0005-0000-0000-000073250000}"/>
    <cellStyle name="Standard 6 4 2 4 2 5 2" xfId="9581" xr:uid="{00000000-0005-0000-0000-000074250000}"/>
    <cellStyle name="Standard 6 4 2 4 2 5 2 2" xfId="9582" xr:uid="{00000000-0005-0000-0000-000075250000}"/>
    <cellStyle name="Standard 6 4 2 4 2 5 2 2 2" xfId="21543" xr:uid="{85C6AC35-7DFA-428E-93E4-F2ED54989640}"/>
    <cellStyle name="Standard 6 4 2 4 2 5 2 3" xfId="21542" xr:uid="{53294F09-C5BF-4CBB-B3B9-0F468B338DBA}"/>
    <cellStyle name="Standard 6 4 2 4 2 5 3" xfId="9583" xr:uid="{00000000-0005-0000-0000-000076250000}"/>
    <cellStyle name="Standard 6 4 2 4 2 5 3 2" xfId="21544" xr:uid="{C22D2DB2-9E1E-46C6-BEAD-3067D622C85D}"/>
    <cellStyle name="Standard 6 4 2 4 2 5 4" xfId="21541" xr:uid="{598CF2DC-D975-4332-BE5B-CEBD1152F4E9}"/>
    <cellStyle name="Standard 6 4 2 4 2 6" xfId="9584" xr:uid="{00000000-0005-0000-0000-000077250000}"/>
    <cellStyle name="Standard 6 4 2 4 2 6 2" xfId="9585" xr:uid="{00000000-0005-0000-0000-000078250000}"/>
    <cellStyle name="Standard 6 4 2 4 2 6 2 2" xfId="9586" xr:uid="{00000000-0005-0000-0000-000079250000}"/>
    <cellStyle name="Standard 6 4 2 4 2 6 2 2 2" xfId="21547" xr:uid="{03547B30-0E52-4593-A445-EB2F296936AE}"/>
    <cellStyle name="Standard 6 4 2 4 2 6 2 3" xfId="21546" xr:uid="{62FA61B5-39D1-4E78-8821-F72D686FF024}"/>
    <cellStyle name="Standard 6 4 2 4 2 6 3" xfId="9587" xr:uid="{00000000-0005-0000-0000-00007A250000}"/>
    <cellStyle name="Standard 6 4 2 4 2 6 3 2" xfId="21548" xr:uid="{B701D3C4-B580-4E6C-903E-EE757CCB8C2A}"/>
    <cellStyle name="Standard 6 4 2 4 2 6 4" xfId="21545" xr:uid="{9926DD9A-2249-4907-B7F5-6B62310BD672}"/>
    <cellStyle name="Standard 6 4 2 4 2 7" xfId="9588" xr:uid="{00000000-0005-0000-0000-00007B250000}"/>
    <cellStyle name="Standard 6 4 2 4 2 7 2" xfId="9589" xr:uid="{00000000-0005-0000-0000-00007C250000}"/>
    <cellStyle name="Standard 6 4 2 4 2 7 2 2" xfId="9590" xr:uid="{00000000-0005-0000-0000-00007D250000}"/>
    <cellStyle name="Standard 6 4 2 4 2 7 2 2 2" xfId="21551" xr:uid="{E6BDC280-DAC2-443F-965E-0300168BBE5C}"/>
    <cellStyle name="Standard 6 4 2 4 2 7 2 3" xfId="21550" xr:uid="{C569AC85-4649-4B20-8D8F-5FD8AE791CF9}"/>
    <cellStyle name="Standard 6 4 2 4 2 7 3" xfId="9591" xr:uid="{00000000-0005-0000-0000-00007E250000}"/>
    <cellStyle name="Standard 6 4 2 4 2 7 3 2" xfId="21552" xr:uid="{8C88486F-2BA9-4902-90EE-0EF0FB935294}"/>
    <cellStyle name="Standard 6 4 2 4 2 7 4" xfId="21549" xr:uid="{F704021F-3B5D-448F-9F3F-ED1A0A565B19}"/>
    <cellStyle name="Standard 6 4 2 4 2 8" xfId="9592" xr:uid="{00000000-0005-0000-0000-00007F250000}"/>
    <cellStyle name="Standard 6 4 2 4 2 8 2" xfId="9593" xr:uid="{00000000-0005-0000-0000-000080250000}"/>
    <cellStyle name="Standard 6 4 2 4 2 8 2 2" xfId="21554" xr:uid="{C1E9B74A-689A-4F73-B3C4-7F83FA5B4FC4}"/>
    <cellStyle name="Standard 6 4 2 4 2 8 3" xfId="21553" xr:uid="{75CBAB73-1BD2-4BAA-A93F-BFE9102D1DEC}"/>
    <cellStyle name="Standard 6 4 2 4 2 9" xfId="9594" xr:uid="{00000000-0005-0000-0000-000081250000}"/>
    <cellStyle name="Standard 6 4 2 4 2 9 2" xfId="21555" xr:uid="{EC792DD5-B37F-4A20-9B2E-CB320FCE48EC}"/>
    <cellStyle name="Standard 6 4 2 4 3" xfId="9595" xr:uid="{00000000-0005-0000-0000-000082250000}"/>
    <cellStyle name="Standard 6 4 2 4 3 2" xfId="9596" xr:uid="{00000000-0005-0000-0000-000083250000}"/>
    <cellStyle name="Standard 6 4 2 4 3 2 2" xfId="9597" xr:uid="{00000000-0005-0000-0000-000084250000}"/>
    <cellStyle name="Standard 6 4 2 4 3 2 2 2" xfId="21558" xr:uid="{54988452-3175-4BD2-AA89-50AB9EBD57E7}"/>
    <cellStyle name="Standard 6 4 2 4 3 2 3" xfId="21557" xr:uid="{E03C9BC6-7AA5-44F3-9824-95D9759166EC}"/>
    <cellStyle name="Standard 6 4 2 4 3 3" xfId="9598" xr:uid="{00000000-0005-0000-0000-000085250000}"/>
    <cellStyle name="Standard 6 4 2 4 3 3 2" xfId="21559" xr:uid="{2F795D37-707E-433C-995A-65A26D70A801}"/>
    <cellStyle name="Standard 6 4 2 4 3 4" xfId="21556" xr:uid="{6CD631BE-1926-4FC1-B363-1F14F6E934E1}"/>
    <cellStyle name="Standard 6 4 2 4 4" xfId="9599" xr:uid="{00000000-0005-0000-0000-000086250000}"/>
    <cellStyle name="Standard 6 4 2 4 4 2" xfId="9600" xr:uid="{00000000-0005-0000-0000-000087250000}"/>
    <cellStyle name="Standard 6 4 2 4 4 2 2" xfId="9601" xr:uid="{00000000-0005-0000-0000-000088250000}"/>
    <cellStyle name="Standard 6 4 2 4 4 2 2 2" xfId="21562" xr:uid="{313B775A-AEBE-4353-BCEA-63F90D8215DA}"/>
    <cellStyle name="Standard 6 4 2 4 4 2 3" xfId="21561" xr:uid="{B3767EB5-E82E-4C51-99A6-09C56DCC1A5A}"/>
    <cellStyle name="Standard 6 4 2 4 4 3" xfId="9602" xr:uid="{00000000-0005-0000-0000-000089250000}"/>
    <cellStyle name="Standard 6 4 2 4 4 3 2" xfId="21563" xr:uid="{AC1A073D-409E-4D4A-843E-03D695D9D493}"/>
    <cellStyle name="Standard 6 4 2 4 4 4" xfId="21560" xr:uid="{C7098B00-90CE-4580-BBC7-A17ADCFDD996}"/>
    <cellStyle name="Standard 6 4 2 4 5" xfId="9603" xr:uid="{00000000-0005-0000-0000-00008A250000}"/>
    <cellStyle name="Standard 6 4 2 4 5 2" xfId="9604" xr:uid="{00000000-0005-0000-0000-00008B250000}"/>
    <cellStyle name="Standard 6 4 2 4 5 2 2" xfId="9605" xr:uid="{00000000-0005-0000-0000-00008C250000}"/>
    <cellStyle name="Standard 6 4 2 4 5 2 2 2" xfId="21566" xr:uid="{FD260694-7A99-4C83-9C76-FC081CA41E24}"/>
    <cellStyle name="Standard 6 4 2 4 5 2 3" xfId="21565" xr:uid="{D8102D1E-DD4A-47D3-A596-578DC5D79A95}"/>
    <cellStyle name="Standard 6 4 2 4 5 3" xfId="9606" xr:uid="{00000000-0005-0000-0000-00008D250000}"/>
    <cellStyle name="Standard 6 4 2 4 5 3 2" xfId="21567" xr:uid="{86396F7A-A6E3-41FF-B07A-0C7E536E4C8D}"/>
    <cellStyle name="Standard 6 4 2 4 5 4" xfId="21564" xr:uid="{5A3DE29E-DA8C-4519-90B0-A979470A9D6A}"/>
    <cellStyle name="Standard 6 4 2 4 6" xfId="9607" xr:uid="{00000000-0005-0000-0000-00008E250000}"/>
    <cellStyle name="Standard 6 4 2 4 6 2" xfId="9608" xr:uid="{00000000-0005-0000-0000-00008F250000}"/>
    <cellStyle name="Standard 6 4 2 4 6 2 2" xfId="9609" xr:uid="{00000000-0005-0000-0000-000090250000}"/>
    <cellStyle name="Standard 6 4 2 4 6 2 2 2" xfId="21570" xr:uid="{4085A4A3-18FE-4D23-BD29-0E7AEDE2CD55}"/>
    <cellStyle name="Standard 6 4 2 4 6 2 3" xfId="21569" xr:uid="{57876464-50EF-4D3B-81A0-7D048A4B7881}"/>
    <cellStyle name="Standard 6 4 2 4 6 3" xfId="9610" xr:uid="{00000000-0005-0000-0000-000091250000}"/>
    <cellStyle name="Standard 6 4 2 4 6 3 2" xfId="21571" xr:uid="{8E8851FB-19E5-4A5A-9511-FEBF5BBCA21B}"/>
    <cellStyle name="Standard 6 4 2 4 6 4" xfId="21568" xr:uid="{58E26054-2D6B-434A-B696-E9E32D7CF056}"/>
    <cellStyle name="Standard 6 4 2 4 7" xfId="9611" xr:uid="{00000000-0005-0000-0000-000092250000}"/>
    <cellStyle name="Standard 6 4 2 4 7 2" xfId="9612" xr:uid="{00000000-0005-0000-0000-000093250000}"/>
    <cellStyle name="Standard 6 4 2 4 7 2 2" xfId="9613" xr:uid="{00000000-0005-0000-0000-000094250000}"/>
    <cellStyle name="Standard 6 4 2 4 7 2 2 2" xfId="21574" xr:uid="{6C8CFE06-FD4E-4AFD-860A-4A2FC7A1FBE2}"/>
    <cellStyle name="Standard 6 4 2 4 7 2 3" xfId="21573" xr:uid="{94A34516-A630-4C7F-B9C4-08A34347F35C}"/>
    <cellStyle name="Standard 6 4 2 4 7 3" xfId="9614" xr:uid="{00000000-0005-0000-0000-000095250000}"/>
    <cellStyle name="Standard 6 4 2 4 7 3 2" xfId="21575" xr:uid="{01E81B8D-5852-4180-9821-F500FE20E34A}"/>
    <cellStyle name="Standard 6 4 2 4 7 4" xfId="21572" xr:uid="{A776938A-004A-42FC-BEE6-C369093DD920}"/>
    <cellStyle name="Standard 6 4 2 4 8" xfId="9615" xr:uid="{00000000-0005-0000-0000-000096250000}"/>
    <cellStyle name="Standard 6 4 2 4 8 2" xfId="9616" xr:uid="{00000000-0005-0000-0000-000097250000}"/>
    <cellStyle name="Standard 6 4 2 4 8 2 2" xfId="9617" xr:uid="{00000000-0005-0000-0000-000098250000}"/>
    <cellStyle name="Standard 6 4 2 4 8 2 2 2" xfId="21578" xr:uid="{5D27B86B-6604-4A77-94D4-E21CCCE0DA73}"/>
    <cellStyle name="Standard 6 4 2 4 8 2 3" xfId="21577" xr:uid="{DDF0C1BE-185C-4B75-9B84-EE92F8787806}"/>
    <cellStyle name="Standard 6 4 2 4 8 3" xfId="9618" xr:uid="{00000000-0005-0000-0000-000099250000}"/>
    <cellStyle name="Standard 6 4 2 4 8 3 2" xfId="21579" xr:uid="{FC67EC47-A168-465B-930A-162CFFF456FC}"/>
    <cellStyle name="Standard 6 4 2 4 8 4" xfId="21576" xr:uid="{832F7543-14C3-47FD-B2AC-20B404306C96}"/>
    <cellStyle name="Standard 6 4 2 4 9" xfId="9619" xr:uid="{00000000-0005-0000-0000-00009A250000}"/>
    <cellStyle name="Standard 6 4 2 4 9 2" xfId="9620" xr:uid="{00000000-0005-0000-0000-00009B250000}"/>
    <cellStyle name="Standard 6 4 2 4 9 2 2" xfId="21581" xr:uid="{311E2D20-18EC-47C3-9DF0-228CE3CA8242}"/>
    <cellStyle name="Standard 6 4 2 4 9 3" xfId="21580" xr:uid="{7D296C47-6698-4803-9782-0089E15D6D21}"/>
    <cellStyle name="Standard 6 4 2 5" xfId="9621" xr:uid="{00000000-0005-0000-0000-00009C250000}"/>
    <cellStyle name="Standard 6 4 2 5 10" xfId="9622" xr:uid="{00000000-0005-0000-0000-00009D250000}"/>
    <cellStyle name="Standard 6 4 2 5 10 2" xfId="21583" xr:uid="{4AA8BD2C-79C8-440A-82FC-9FF4AAFD5596}"/>
    <cellStyle name="Standard 6 4 2 5 11" xfId="21582" xr:uid="{970A38B2-D81C-4621-9F2C-653A0BAE1CF6}"/>
    <cellStyle name="Standard 6 4 2 5 2" xfId="9623" xr:uid="{00000000-0005-0000-0000-00009E250000}"/>
    <cellStyle name="Standard 6 4 2 5 2 10" xfId="21584" xr:uid="{052FD7CA-29A2-40C7-B591-A7E2298C313F}"/>
    <cellStyle name="Standard 6 4 2 5 2 2" xfId="9624" xr:uid="{00000000-0005-0000-0000-00009F250000}"/>
    <cellStyle name="Standard 6 4 2 5 2 2 2" xfId="9625" xr:uid="{00000000-0005-0000-0000-0000A0250000}"/>
    <cellStyle name="Standard 6 4 2 5 2 2 2 2" xfId="9626" xr:uid="{00000000-0005-0000-0000-0000A1250000}"/>
    <cellStyle name="Standard 6 4 2 5 2 2 2 2 2" xfId="21587" xr:uid="{08BB7DBA-A73C-4794-B709-0256F36A7645}"/>
    <cellStyle name="Standard 6 4 2 5 2 2 2 3" xfId="21586" xr:uid="{2CAFC945-A123-47BE-8F58-30657EFC4EC5}"/>
    <cellStyle name="Standard 6 4 2 5 2 2 3" xfId="9627" xr:uid="{00000000-0005-0000-0000-0000A2250000}"/>
    <cellStyle name="Standard 6 4 2 5 2 2 3 2" xfId="21588" xr:uid="{671094F0-F7AA-4BA5-B154-DC8F7FCEE11B}"/>
    <cellStyle name="Standard 6 4 2 5 2 2 4" xfId="21585" xr:uid="{A6E3300E-04E9-4889-9ADA-6E4FFD699839}"/>
    <cellStyle name="Standard 6 4 2 5 2 3" xfId="9628" xr:uid="{00000000-0005-0000-0000-0000A3250000}"/>
    <cellStyle name="Standard 6 4 2 5 2 3 2" xfId="9629" xr:uid="{00000000-0005-0000-0000-0000A4250000}"/>
    <cellStyle name="Standard 6 4 2 5 2 3 2 2" xfId="9630" xr:uid="{00000000-0005-0000-0000-0000A5250000}"/>
    <cellStyle name="Standard 6 4 2 5 2 3 2 2 2" xfId="21591" xr:uid="{376B71D4-BD37-4EC5-951D-B4E3A51E519F}"/>
    <cellStyle name="Standard 6 4 2 5 2 3 2 3" xfId="21590" xr:uid="{9AAD5B8C-35E9-4F6A-B1E0-32AAC45C33ED}"/>
    <cellStyle name="Standard 6 4 2 5 2 3 3" xfId="9631" xr:uid="{00000000-0005-0000-0000-0000A6250000}"/>
    <cellStyle name="Standard 6 4 2 5 2 3 3 2" xfId="21592" xr:uid="{BAA05264-B5B6-48B4-9E35-6F959FEC389E}"/>
    <cellStyle name="Standard 6 4 2 5 2 3 4" xfId="21589" xr:uid="{2112F417-DE2E-4F4C-BF7A-8EB3FEDB6CA0}"/>
    <cellStyle name="Standard 6 4 2 5 2 4" xfId="9632" xr:uid="{00000000-0005-0000-0000-0000A7250000}"/>
    <cellStyle name="Standard 6 4 2 5 2 4 2" xfId="9633" xr:uid="{00000000-0005-0000-0000-0000A8250000}"/>
    <cellStyle name="Standard 6 4 2 5 2 4 2 2" xfId="9634" xr:uid="{00000000-0005-0000-0000-0000A9250000}"/>
    <cellStyle name="Standard 6 4 2 5 2 4 2 2 2" xfId="21595" xr:uid="{EDB80B1E-3919-4EDA-919F-1CF84F7108D7}"/>
    <cellStyle name="Standard 6 4 2 5 2 4 2 3" xfId="21594" xr:uid="{C6E826E3-F397-4627-9842-68E20BB4C4AC}"/>
    <cellStyle name="Standard 6 4 2 5 2 4 3" xfId="9635" xr:uid="{00000000-0005-0000-0000-0000AA250000}"/>
    <cellStyle name="Standard 6 4 2 5 2 4 3 2" xfId="21596" xr:uid="{0250AE7D-ADF3-44D7-A68D-10D9A9132D32}"/>
    <cellStyle name="Standard 6 4 2 5 2 4 4" xfId="21593" xr:uid="{008D9AB3-D056-44B6-A4A4-173EF14F8164}"/>
    <cellStyle name="Standard 6 4 2 5 2 5" xfId="9636" xr:uid="{00000000-0005-0000-0000-0000AB250000}"/>
    <cellStyle name="Standard 6 4 2 5 2 5 2" xfId="9637" xr:uid="{00000000-0005-0000-0000-0000AC250000}"/>
    <cellStyle name="Standard 6 4 2 5 2 5 2 2" xfId="9638" xr:uid="{00000000-0005-0000-0000-0000AD250000}"/>
    <cellStyle name="Standard 6 4 2 5 2 5 2 2 2" xfId="21599" xr:uid="{58AF9E89-33FC-44F4-AB97-ABB4411C9037}"/>
    <cellStyle name="Standard 6 4 2 5 2 5 2 3" xfId="21598" xr:uid="{92DB6257-9A4E-4E39-A230-A1024944412F}"/>
    <cellStyle name="Standard 6 4 2 5 2 5 3" xfId="9639" xr:uid="{00000000-0005-0000-0000-0000AE250000}"/>
    <cellStyle name="Standard 6 4 2 5 2 5 3 2" xfId="21600" xr:uid="{3C9CECBA-9FC8-408B-836A-5E834559A0F6}"/>
    <cellStyle name="Standard 6 4 2 5 2 5 4" xfId="21597" xr:uid="{3DFF9D69-C15B-4D86-809C-96CD23436CFA}"/>
    <cellStyle name="Standard 6 4 2 5 2 6" xfId="9640" xr:uid="{00000000-0005-0000-0000-0000AF250000}"/>
    <cellStyle name="Standard 6 4 2 5 2 6 2" xfId="9641" xr:uid="{00000000-0005-0000-0000-0000B0250000}"/>
    <cellStyle name="Standard 6 4 2 5 2 6 2 2" xfId="9642" xr:uid="{00000000-0005-0000-0000-0000B1250000}"/>
    <cellStyle name="Standard 6 4 2 5 2 6 2 2 2" xfId="21603" xr:uid="{C2ADE1F2-344E-4F96-B4A1-73CDE075C385}"/>
    <cellStyle name="Standard 6 4 2 5 2 6 2 3" xfId="21602" xr:uid="{1FE89DF2-C4D5-4D5F-BD26-D8DF76980134}"/>
    <cellStyle name="Standard 6 4 2 5 2 6 3" xfId="9643" xr:uid="{00000000-0005-0000-0000-0000B2250000}"/>
    <cellStyle name="Standard 6 4 2 5 2 6 3 2" xfId="21604" xr:uid="{B05138AA-A0DB-4C39-9F10-B4139FEDADB0}"/>
    <cellStyle name="Standard 6 4 2 5 2 6 4" xfId="21601" xr:uid="{2C439DE8-3D58-4F9D-80AF-5F7A83BFBF8B}"/>
    <cellStyle name="Standard 6 4 2 5 2 7" xfId="9644" xr:uid="{00000000-0005-0000-0000-0000B3250000}"/>
    <cellStyle name="Standard 6 4 2 5 2 7 2" xfId="9645" xr:uid="{00000000-0005-0000-0000-0000B4250000}"/>
    <cellStyle name="Standard 6 4 2 5 2 7 2 2" xfId="9646" xr:uid="{00000000-0005-0000-0000-0000B5250000}"/>
    <cellStyle name="Standard 6 4 2 5 2 7 2 2 2" xfId="21607" xr:uid="{E63521B1-D038-44B4-9C2E-90CBB450B670}"/>
    <cellStyle name="Standard 6 4 2 5 2 7 2 3" xfId="21606" xr:uid="{F41E10AC-493D-4F54-AAB2-156EB9AE106C}"/>
    <cellStyle name="Standard 6 4 2 5 2 7 3" xfId="9647" xr:uid="{00000000-0005-0000-0000-0000B6250000}"/>
    <cellStyle name="Standard 6 4 2 5 2 7 3 2" xfId="21608" xr:uid="{CA30A226-6354-4900-A648-AB6DB1212345}"/>
    <cellStyle name="Standard 6 4 2 5 2 7 4" xfId="21605" xr:uid="{1A9867A6-761C-474D-9E18-885C996FEB22}"/>
    <cellStyle name="Standard 6 4 2 5 2 8" xfId="9648" xr:uid="{00000000-0005-0000-0000-0000B7250000}"/>
    <cellStyle name="Standard 6 4 2 5 2 8 2" xfId="9649" xr:uid="{00000000-0005-0000-0000-0000B8250000}"/>
    <cellStyle name="Standard 6 4 2 5 2 8 2 2" xfId="21610" xr:uid="{807B58AA-B55B-401C-813A-69773D114781}"/>
    <cellStyle name="Standard 6 4 2 5 2 8 3" xfId="21609" xr:uid="{E457DE83-61C8-4206-8461-538D6AE78FDD}"/>
    <cellStyle name="Standard 6 4 2 5 2 9" xfId="9650" xr:uid="{00000000-0005-0000-0000-0000B9250000}"/>
    <cellStyle name="Standard 6 4 2 5 2 9 2" xfId="21611" xr:uid="{F0CF2C32-9E9F-479F-B96E-C73F7A65EC22}"/>
    <cellStyle name="Standard 6 4 2 5 3" xfId="9651" xr:uid="{00000000-0005-0000-0000-0000BA250000}"/>
    <cellStyle name="Standard 6 4 2 5 3 2" xfId="9652" xr:uid="{00000000-0005-0000-0000-0000BB250000}"/>
    <cellStyle name="Standard 6 4 2 5 3 2 2" xfId="9653" xr:uid="{00000000-0005-0000-0000-0000BC250000}"/>
    <cellStyle name="Standard 6 4 2 5 3 2 2 2" xfId="21614" xr:uid="{E6401009-4DF7-457F-9F53-295EAD1FA110}"/>
    <cellStyle name="Standard 6 4 2 5 3 2 3" xfId="21613" xr:uid="{BE648CFE-F4D3-4B54-A376-18B7C60D076E}"/>
    <cellStyle name="Standard 6 4 2 5 3 3" xfId="9654" xr:uid="{00000000-0005-0000-0000-0000BD250000}"/>
    <cellStyle name="Standard 6 4 2 5 3 3 2" xfId="21615" xr:uid="{19699F01-F632-43B7-BBCF-868B4DD6B894}"/>
    <cellStyle name="Standard 6 4 2 5 3 4" xfId="21612" xr:uid="{23D8C980-F4A8-4391-81C4-CE7883F2EB88}"/>
    <cellStyle name="Standard 6 4 2 5 4" xfId="9655" xr:uid="{00000000-0005-0000-0000-0000BE250000}"/>
    <cellStyle name="Standard 6 4 2 5 4 2" xfId="9656" xr:uid="{00000000-0005-0000-0000-0000BF250000}"/>
    <cellStyle name="Standard 6 4 2 5 4 2 2" xfId="9657" xr:uid="{00000000-0005-0000-0000-0000C0250000}"/>
    <cellStyle name="Standard 6 4 2 5 4 2 2 2" xfId="21618" xr:uid="{7786601F-831F-4917-A5E7-5D5F3858D220}"/>
    <cellStyle name="Standard 6 4 2 5 4 2 3" xfId="21617" xr:uid="{2B849927-07EC-4D8C-BBD2-D7C645698F70}"/>
    <cellStyle name="Standard 6 4 2 5 4 3" xfId="9658" xr:uid="{00000000-0005-0000-0000-0000C1250000}"/>
    <cellStyle name="Standard 6 4 2 5 4 3 2" xfId="21619" xr:uid="{9F496CA6-F6AF-43F7-9C15-57DFFA98FCA1}"/>
    <cellStyle name="Standard 6 4 2 5 4 4" xfId="21616" xr:uid="{CEFE0939-A699-4C14-9FCD-7DF25CA77B8E}"/>
    <cellStyle name="Standard 6 4 2 5 5" xfId="9659" xr:uid="{00000000-0005-0000-0000-0000C2250000}"/>
    <cellStyle name="Standard 6 4 2 5 5 2" xfId="9660" xr:uid="{00000000-0005-0000-0000-0000C3250000}"/>
    <cellStyle name="Standard 6 4 2 5 5 2 2" xfId="9661" xr:uid="{00000000-0005-0000-0000-0000C4250000}"/>
    <cellStyle name="Standard 6 4 2 5 5 2 2 2" xfId="21622" xr:uid="{36963FF3-9BB7-4574-B4ED-FCDEA8591602}"/>
    <cellStyle name="Standard 6 4 2 5 5 2 3" xfId="21621" xr:uid="{D97152B4-8E88-4F11-B629-9B09F7533282}"/>
    <cellStyle name="Standard 6 4 2 5 5 3" xfId="9662" xr:uid="{00000000-0005-0000-0000-0000C5250000}"/>
    <cellStyle name="Standard 6 4 2 5 5 3 2" xfId="21623" xr:uid="{8B72E5B2-2F73-42B0-A88D-DA0BDDDC36F7}"/>
    <cellStyle name="Standard 6 4 2 5 5 4" xfId="21620" xr:uid="{D23B4394-A814-49D7-B71D-D0993BF74260}"/>
    <cellStyle name="Standard 6 4 2 5 6" xfId="9663" xr:uid="{00000000-0005-0000-0000-0000C6250000}"/>
    <cellStyle name="Standard 6 4 2 5 6 2" xfId="9664" xr:uid="{00000000-0005-0000-0000-0000C7250000}"/>
    <cellStyle name="Standard 6 4 2 5 6 2 2" xfId="9665" xr:uid="{00000000-0005-0000-0000-0000C8250000}"/>
    <cellStyle name="Standard 6 4 2 5 6 2 2 2" xfId="21626" xr:uid="{28A02828-161F-4B74-942B-3A4588330BB6}"/>
    <cellStyle name="Standard 6 4 2 5 6 2 3" xfId="21625" xr:uid="{A43B19A6-D791-453F-AFC1-C5FB0F5FC777}"/>
    <cellStyle name="Standard 6 4 2 5 6 3" xfId="9666" xr:uid="{00000000-0005-0000-0000-0000C9250000}"/>
    <cellStyle name="Standard 6 4 2 5 6 3 2" xfId="21627" xr:uid="{69809E7C-0B38-4B71-94B3-37A1B1F43F48}"/>
    <cellStyle name="Standard 6 4 2 5 6 4" xfId="21624" xr:uid="{67F689D8-313B-4682-BBC2-86435D99CDB5}"/>
    <cellStyle name="Standard 6 4 2 5 7" xfId="9667" xr:uid="{00000000-0005-0000-0000-0000CA250000}"/>
    <cellStyle name="Standard 6 4 2 5 7 2" xfId="9668" xr:uid="{00000000-0005-0000-0000-0000CB250000}"/>
    <cellStyle name="Standard 6 4 2 5 7 2 2" xfId="9669" xr:uid="{00000000-0005-0000-0000-0000CC250000}"/>
    <cellStyle name="Standard 6 4 2 5 7 2 2 2" xfId="21630" xr:uid="{2485D047-BFE8-4EE0-80BD-78C63B092D51}"/>
    <cellStyle name="Standard 6 4 2 5 7 2 3" xfId="21629" xr:uid="{4215091F-8AF6-4536-ADDF-8FA1525EFF1C}"/>
    <cellStyle name="Standard 6 4 2 5 7 3" xfId="9670" xr:uid="{00000000-0005-0000-0000-0000CD250000}"/>
    <cellStyle name="Standard 6 4 2 5 7 3 2" xfId="21631" xr:uid="{B7510431-EA83-42A3-A13A-A54E8A568E9E}"/>
    <cellStyle name="Standard 6 4 2 5 7 4" xfId="21628" xr:uid="{1F9FADD1-5D15-4CC9-8183-522BF81801CC}"/>
    <cellStyle name="Standard 6 4 2 5 8" xfId="9671" xr:uid="{00000000-0005-0000-0000-0000CE250000}"/>
    <cellStyle name="Standard 6 4 2 5 8 2" xfId="9672" xr:uid="{00000000-0005-0000-0000-0000CF250000}"/>
    <cellStyle name="Standard 6 4 2 5 8 2 2" xfId="9673" xr:uid="{00000000-0005-0000-0000-0000D0250000}"/>
    <cellStyle name="Standard 6 4 2 5 8 2 2 2" xfId="21634" xr:uid="{414D8F35-0576-4EC8-B004-D2E3F3E267FF}"/>
    <cellStyle name="Standard 6 4 2 5 8 2 3" xfId="21633" xr:uid="{20F763AE-4AE2-4A3C-9324-74F2BF5E5735}"/>
    <cellStyle name="Standard 6 4 2 5 8 3" xfId="9674" xr:uid="{00000000-0005-0000-0000-0000D1250000}"/>
    <cellStyle name="Standard 6 4 2 5 8 3 2" xfId="21635" xr:uid="{89EC7650-7A2F-4BC3-BDED-FB05DA067BFA}"/>
    <cellStyle name="Standard 6 4 2 5 8 4" xfId="21632" xr:uid="{535F7E76-8153-4167-AC6B-6BF8C57EAA9F}"/>
    <cellStyle name="Standard 6 4 2 5 9" xfId="9675" xr:uid="{00000000-0005-0000-0000-0000D2250000}"/>
    <cellStyle name="Standard 6 4 2 5 9 2" xfId="9676" xr:uid="{00000000-0005-0000-0000-0000D3250000}"/>
    <cellStyle name="Standard 6 4 2 5 9 2 2" xfId="21637" xr:uid="{D7EC7A2F-B2CB-4015-BCCD-A168760EADAC}"/>
    <cellStyle name="Standard 6 4 2 5 9 3" xfId="21636" xr:uid="{8CD54BEA-9D64-4087-B768-3A09896D6046}"/>
    <cellStyle name="Standard 6 4 2 6" xfId="9677" xr:uid="{00000000-0005-0000-0000-0000D4250000}"/>
    <cellStyle name="Standard 6 4 2 6 10" xfId="9678" xr:uid="{00000000-0005-0000-0000-0000D5250000}"/>
    <cellStyle name="Standard 6 4 2 6 10 2" xfId="21639" xr:uid="{DD9452B4-8D31-4AAB-B926-5D1238B105BB}"/>
    <cellStyle name="Standard 6 4 2 6 11" xfId="21638" xr:uid="{1DB554B9-D73F-40AE-B50E-47879BF42865}"/>
    <cellStyle name="Standard 6 4 2 6 2" xfId="9679" xr:uid="{00000000-0005-0000-0000-0000D6250000}"/>
    <cellStyle name="Standard 6 4 2 6 2 10" xfId="21640" xr:uid="{C6D0D3AA-5399-4923-842E-7578BDAD04B5}"/>
    <cellStyle name="Standard 6 4 2 6 2 2" xfId="9680" xr:uid="{00000000-0005-0000-0000-0000D7250000}"/>
    <cellStyle name="Standard 6 4 2 6 2 2 2" xfId="9681" xr:uid="{00000000-0005-0000-0000-0000D8250000}"/>
    <cellStyle name="Standard 6 4 2 6 2 2 2 2" xfId="9682" xr:uid="{00000000-0005-0000-0000-0000D9250000}"/>
    <cellStyle name="Standard 6 4 2 6 2 2 2 2 2" xfId="21643" xr:uid="{EF8CA24B-7EE5-4E1A-BEB4-03925062F957}"/>
    <cellStyle name="Standard 6 4 2 6 2 2 2 3" xfId="21642" xr:uid="{03926EAB-9814-48E9-A4AF-ADB6610C0B32}"/>
    <cellStyle name="Standard 6 4 2 6 2 2 3" xfId="9683" xr:uid="{00000000-0005-0000-0000-0000DA250000}"/>
    <cellStyle name="Standard 6 4 2 6 2 2 3 2" xfId="21644" xr:uid="{EEE8BB06-070A-4C39-B80C-477936EDF283}"/>
    <cellStyle name="Standard 6 4 2 6 2 2 4" xfId="21641" xr:uid="{59CF3CB8-2B9C-46E2-AE59-D88CA8E12245}"/>
    <cellStyle name="Standard 6 4 2 6 2 3" xfId="9684" xr:uid="{00000000-0005-0000-0000-0000DB250000}"/>
    <cellStyle name="Standard 6 4 2 6 2 3 2" xfId="9685" xr:uid="{00000000-0005-0000-0000-0000DC250000}"/>
    <cellStyle name="Standard 6 4 2 6 2 3 2 2" xfId="9686" xr:uid="{00000000-0005-0000-0000-0000DD250000}"/>
    <cellStyle name="Standard 6 4 2 6 2 3 2 2 2" xfId="21647" xr:uid="{2010009C-6353-4F47-A227-848E5CE60A41}"/>
    <cellStyle name="Standard 6 4 2 6 2 3 2 3" xfId="21646" xr:uid="{30C21D65-2F5A-4EE7-9413-FF0474A1C5D0}"/>
    <cellStyle name="Standard 6 4 2 6 2 3 3" xfId="9687" xr:uid="{00000000-0005-0000-0000-0000DE250000}"/>
    <cellStyle name="Standard 6 4 2 6 2 3 3 2" xfId="21648" xr:uid="{E9014ACD-1622-4618-B1B4-CECC68839B17}"/>
    <cellStyle name="Standard 6 4 2 6 2 3 4" xfId="21645" xr:uid="{52EF53DE-67E1-4A81-8077-C9BA793EC2AF}"/>
    <cellStyle name="Standard 6 4 2 6 2 4" xfId="9688" xr:uid="{00000000-0005-0000-0000-0000DF250000}"/>
    <cellStyle name="Standard 6 4 2 6 2 4 2" xfId="9689" xr:uid="{00000000-0005-0000-0000-0000E0250000}"/>
    <cellStyle name="Standard 6 4 2 6 2 4 2 2" xfId="9690" xr:uid="{00000000-0005-0000-0000-0000E1250000}"/>
    <cellStyle name="Standard 6 4 2 6 2 4 2 2 2" xfId="21651" xr:uid="{D5A7D17B-44FD-4BF4-9BAE-11D4B5DA6918}"/>
    <cellStyle name="Standard 6 4 2 6 2 4 2 3" xfId="21650" xr:uid="{A335F213-6247-4786-A033-6D495CE31DB5}"/>
    <cellStyle name="Standard 6 4 2 6 2 4 3" xfId="9691" xr:uid="{00000000-0005-0000-0000-0000E2250000}"/>
    <cellStyle name="Standard 6 4 2 6 2 4 3 2" xfId="21652" xr:uid="{EBD270D7-BEEE-4727-99DB-DF2621574B89}"/>
    <cellStyle name="Standard 6 4 2 6 2 4 4" xfId="21649" xr:uid="{B80E382C-D1F6-429E-9636-D67AFE160046}"/>
    <cellStyle name="Standard 6 4 2 6 2 5" xfId="9692" xr:uid="{00000000-0005-0000-0000-0000E3250000}"/>
    <cellStyle name="Standard 6 4 2 6 2 5 2" xfId="9693" xr:uid="{00000000-0005-0000-0000-0000E4250000}"/>
    <cellStyle name="Standard 6 4 2 6 2 5 2 2" xfId="9694" xr:uid="{00000000-0005-0000-0000-0000E5250000}"/>
    <cellStyle name="Standard 6 4 2 6 2 5 2 2 2" xfId="21655" xr:uid="{DF4AF42B-CDBF-46CB-B380-13320F784907}"/>
    <cellStyle name="Standard 6 4 2 6 2 5 2 3" xfId="21654" xr:uid="{04BABBF5-4CFD-412C-9A6E-024D5DBAA77E}"/>
    <cellStyle name="Standard 6 4 2 6 2 5 3" xfId="9695" xr:uid="{00000000-0005-0000-0000-0000E6250000}"/>
    <cellStyle name="Standard 6 4 2 6 2 5 3 2" xfId="21656" xr:uid="{90F86B94-278E-41CF-9D2F-DC205295252F}"/>
    <cellStyle name="Standard 6 4 2 6 2 5 4" xfId="21653" xr:uid="{F0C78CB8-B5B3-4405-ABAB-222B025375A8}"/>
    <cellStyle name="Standard 6 4 2 6 2 6" xfId="9696" xr:uid="{00000000-0005-0000-0000-0000E7250000}"/>
    <cellStyle name="Standard 6 4 2 6 2 6 2" xfId="9697" xr:uid="{00000000-0005-0000-0000-0000E8250000}"/>
    <cellStyle name="Standard 6 4 2 6 2 6 2 2" xfId="9698" xr:uid="{00000000-0005-0000-0000-0000E9250000}"/>
    <cellStyle name="Standard 6 4 2 6 2 6 2 2 2" xfId="21659" xr:uid="{91F493B5-BEF5-4B79-A230-07ABDCF6651D}"/>
    <cellStyle name="Standard 6 4 2 6 2 6 2 3" xfId="21658" xr:uid="{E8A7865E-8CF7-4743-AA4B-E97113AC0290}"/>
    <cellStyle name="Standard 6 4 2 6 2 6 3" xfId="9699" xr:uid="{00000000-0005-0000-0000-0000EA250000}"/>
    <cellStyle name="Standard 6 4 2 6 2 6 3 2" xfId="21660" xr:uid="{D1E04E3B-041A-4B4A-B25F-D70AADB1CB8B}"/>
    <cellStyle name="Standard 6 4 2 6 2 6 4" xfId="21657" xr:uid="{770475F4-B493-490F-9995-0A397E823852}"/>
    <cellStyle name="Standard 6 4 2 6 2 7" xfId="9700" xr:uid="{00000000-0005-0000-0000-0000EB250000}"/>
    <cellStyle name="Standard 6 4 2 6 2 7 2" xfId="9701" xr:uid="{00000000-0005-0000-0000-0000EC250000}"/>
    <cellStyle name="Standard 6 4 2 6 2 7 2 2" xfId="9702" xr:uid="{00000000-0005-0000-0000-0000ED250000}"/>
    <cellStyle name="Standard 6 4 2 6 2 7 2 2 2" xfId="21663" xr:uid="{FCAA230B-314B-441C-A426-61471070DB47}"/>
    <cellStyle name="Standard 6 4 2 6 2 7 2 3" xfId="21662" xr:uid="{FD97CE65-570A-4E65-9B15-EB0E43EBFDF8}"/>
    <cellStyle name="Standard 6 4 2 6 2 7 3" xfId="9703" xr:uid="{00000000-0005-0000-0000-0000EE250000}"/>
    <cellStyle name="Standard 6 4 2 6 2 7 3 2" xfId="21664" xr:uid="{4709D9F3-CC58-440C-AB84-84395A1F5226}"/>
    <cellStyle name="Standard 6 4 2 6 2 7 4" xfId="21661" xr:uid="{3CC72CA8-3EFF-4265-8E27-6BC7552497B7}"/>
    <cellStyle name="Standard 6 4 2 6 2 8" xfId="9704" xr:uid="{00000000-0005-0000-0000-0000EF250000}"/>
    <cellStyle name="Standard 6 4 2 6 2 8 2" xfId="9705" xr:uid="{00000000-0005-0000-0000-0000F0250000}"/>
    <cellStyle name="Standard 6 4 2 6 2 8 2 2" xfId="21666" xr:uid="{6018D19A-9B93-42B6-802D-E9B8DF187DC6}"/>
    <cellStyle name="Standard 6 4 2 6 2 8 3" xfId="21665" xr:uid="{02C78FC7-1D71-4E16-A4EE-1B6948844CF8}"/>
    <cellStyle name="Standard 6 4 2 6 2 9" xfId="9706" xr:uid="{00000000-0005-0000-0000-0000F1250000}"/>
    <cellStyle name="Standard 6 4 2 6 2 9 2" xfId="21667" xr:uid="{A5AC881D-3B81-4B8C-AAB3-B8C23D8B8A65}"/>
    <cellStyle name="Standard 6 4 2 6 3" xfId="9707" xr:uid="{00000000-0005-0000-0000-0000F2250000}"/>
    <cellStyle name="Standard 6 4 2 6 3 2" xfId="9708" xr:uid="{00000000-0005-0000-0000-0000F3250000}"/>
    <cellStyle name="Standard 6 4 2 6 3 2 2" xfId="9709" xr:uid="{00000000-0005-0000-0000-0000F4250000}"/>
    <cellStyle name="Standard 6 4 2 6 3 2 2 2" xfId="21670" xr:uid="{7FF47094-AC71-457F-BE3C-1A7A456CF227}"/>
    <cellStyle name="Standard 6 4 2 6 3 2 3" xfId="21669" xr:uid="{5ED8DA02-02B4-4894-96C8-79617C572287}"/>
    <cellStyle name="Standard 6 4 2 6 3 3" xfId="9710" xr:uid="{00000000-0005-0000-0000-0000F5250000}"/>
    <cellStyle name="Standard 6 4 2 6 3 3 2" xfId="21671" xr:uid="{DB943048-FB66-4101-8BB4-3E0A8A7EBD9C}"/>
    <cellStyle name="Standard 6 4 2 6 3 4" xfId="21668" xr:uid="{CC592242-BA0F-4891-B7E2-7C18F6CD35BB}"/>
    <cellStyle name="Standard 6 4 2 6 4" xfId="9711" xr:uid="{00000000-0005-0000-0000-0000F6250000}"/>
    <cellStyle name="Standard 6 4 2 6 4 2" xfId="9712" xr:uid="{00000000-0005-0000-0000-0000F7250000}"/>
    <cellStyle name="Standard 6 4 2 6 4 2 2" xfId="9713" xr:uid="{00000000-0005-0000-0000-0000F8250000}"/>
    <cellStyle name="Standard 6 4 2 6 4 2 2 2" xfId="21674" xr:uid="{E57CFB5F-92E2-4B27-948C-DD5D4C251F74}"/>
    <cellStyle name="Standard 6 4 2 6 4 2 3" xfId="21673" xr:uid="{DCF5DEEC-AE13-4BE3-A7B0-AF92C0305BE7}"/>
    <cellStyle name="Standard 6 4 2 6 4 3" xfId="9714" xr:uid="{00000000-0005-0000-0000-0000F9250000}"/>
    <cellStyle name="Standard 6 4 2 6 4 3 2" xfId="21675" xr:uid="{67C0C30B-9044-4029-9496-130451E087C5}"/>
    <cellStyle name="Standard 6 4 2 6 4 4" xfId="21672" xr:uid="{C2985F4B-2CDA-4191-B95D-2E84F601CAAB}"/>
    <cellStyle name="Standard 6 4 2 6 5" xfId="9715" xr:uid="{00000000-0005-0000-0000-0000FA250000}"/>
    <cellStyle name="Standard 6 4 2 6 5 2" xfId="9716" xr:uid="{00000000-0005-0000-0000-0000FB250000}"/>
    <cellStyle name="Standard 6 4 2 6 5 2 2" xfId="9717" xr:uid="{00000000-0005-0000-0000-0000FC250000}"/>
    <cellStyle name="Standard 6 4 2 6 5 2 2 2" xfId="21678" xr:uid="{9576103A-7959-4EFC-8DA9-E9FF5700DF01}"/>
    <cellStyle name="Standard 6 4 2 6 5 2 3" xfId="21677" xr:uid="{72D0BBF0-2C77-45A2-A7BA-D35609DFCEE9}"/>
    <cellStyle name="Standard 6 4 2 6 5 3" xfId="9718" xr:uid="{00000000-0005-0000-0000-0000FD250000}"/>
    <cellStyle name="Standard 6 4 2 6 5 3 2" xfId="21679" xr:uid="{2FB724E0-7D04-4A23-990E-62D8F2F6B8F5}"/>
    <cellStyle name="Standard 6 4 2 6 5 4" xfId="21676" xr:uid="{188BE315-933C-4EAE-9A4D-F51ED85AB5C5}"/>
    <cellStyle name="Standard 6 4 2 6 6" xfId="9719" xr:uid="{00000000-0005-0000-0000-0000FE250000}"/>
    <cellStyle name="Standard 6 4 2 6 6 2" xfId="9720" xr:uid="{00000000-0005-0000-0000-0000FF250000}"/>
    <cellStyle name="Standard 6 4 2 6 6 2 2" xfId="9721" xr:uid="{00000000-0005-0000-0000-000000260000}"/>
    <cellStyle name="Standard 6 4 2 6 6 2 2 2" xfId="21682" xr:uid="{B30D220C-E475-466F-93A3-B82147C99220}"/>
    <cellStyle name="Standard 6 4 2 6 6 2 3" xfId="21681" xr:uid="{68D761E5-D68B-443E-8C75-A3DB9D722BBC}"/>
    <cellStyle name="Standard 6 4 2 6 6 3" xfId="9722" xr:uid="{00000000-0005-0000-0000-000001260000}"/>
    <cellStyle name="Standard 6 4 2 6 6 3 2" xfId="21683" xr:uid="{A20738C7-C3B3-4157-AE71-02D4BE87648C}"/>
    <cellStyle name="Standard 6 4 2 6 6 4" xfId="21680" xr:uid="{ECF6B535-FC85-4674-A3F5-064BB27D04B5}"/>
    <cellStyle name="Standard 6 4 2 6 7" xfId="9723" xr:uid="{00000000-0005-0000-0000-000002260000}"/>
    <cellStyle name="Standard 6 4 2 6 7 2" xfId="9724" xr:uid="{00000000-0005-0000-0000-000003260000}"/>
    <cellStyle name="Standard 6 4 2 6 7 2 2" xfId="9725" xr:uid="{00000000-0005-0000-0000-000004260000}"/>
    <cellStyle name="Standard 6 4 2 6 7 2 2 2" xfId="21686" xr:uid="{BA6463F4-83AE-445C-92A3-24E72F9ABE2F}"/>
    <cellStyle name="Standard 6 4 2 6 7 2 3" xfId="21685" xr:uid="{35A53BE6-3660-4B63-B119-AB174366F876}"/>
    <cellStyle name="Standard 6 4 2 6 7 3" xfId="9726" xr:uid="{00000000-0005-0000-0000-000005260000}"/>
    <cellStyle name="Standard 6 4 2 6 7 3 2" xfId="21687" xr:uid="{13A342A6-6273-4790-BA11-315AF83CE63A}"/>
    <cellStyle name="Standard 6 4 2 6 7 4" xfId="21684" xr:uid="{C0A7400C-D6F4-4983-A702-7D1B4235A4B8}"/>
    <cellStyle name="Standard 6 4 2 6 8" xfId="9727" xr:uid="{00000000-0005-0000-0000-000006260000}"/>
    <cellStyle name="Standard 6 4 2 6 8 2" xfId="9728" xr:uid="{00000000-0005-0000-0000-000007260000}"/>
    <cellStyle name="Standard 6 4 2 6 8 2 2" xfId="9729" xr:uid="{00000000-0005-0000-0000-000008260000}"/>
    <cellStyle name="Standard 6 4 2 6 8 2 2 2" xfId="21690" xr:uid="{56E04D6B-CF16-40AD-9986-C2B64BB48955}"/>
    <cellStyle name="Standard 6 4 2 6 8 2 3" xfId="21689" xr:uid="{74F81B6F-7211-41BF-80DE-43BD4A0B3206}"/>
    <cellStyle name="Standard 6 4 2 6 8 3" xfId="9730" xr:uid="{00000000-0005-0000-0000-000009260000}"/>
    <cellStyle name="Standard 6 4 2 6 8 3 2" xfId="21691" xr:uid="{53D8F183-5CE8-4486-81D0-90D133BEF74B}"/>
    <cellStyle name="Standard 6 4 2 6 8 4" xfId="21688" xr:uid="{8622F35E-3390-4ECF-B992-7CAAE803827B}"/>
    <cellStyle name="Standard 6 4 2 6 9" xfId="9731" xr:uid="{00000000-0005-0000-0000-00000A260000}"/>
    <cellStyle name="Standard 6 4 2 6 9 2" xfId="9732" xr:uid="{00000000-0005-0000-0000-00000B260000}"/>
    <cellStyle name="Standard 6 4 2 6 9 2 2" xfId="21693" xr:uid="{04F4CBC7-B0F1-4B2E-90B2-F830027D01C9}"/>
    <cellStyle name="Standard 6 4 2 6 9 3" xfId="21692" xr:uid="{F8F7F96E-B161-4DD3-9BA1-050A2F0AAA3E}"/>
    <cellStyle name="Standard 6 4 2 7" xfId="9733" xr:uid="{00000000-0005-0000-0000-00000C260000}"/>
    <cellStyle name="Standard 6 4 2 7 10" xfId="9734" xr:uid="{00000000-0005-0000-0000-00000D260000}"/>
    <cellStyle name="Standard 6 4 2 7 10 2" xfId="21695" xr:uid="{930E145E-6297-4CBD-9EF2-1165555DC932}"/>
    <cellStyle name="Standard 6 4 2 7 11" xfId="21694" xr:uid="{1A277652-B0DF-4022-A23C-9059D1B2BBC1}"/>
    <cellStyle name="Standard 6 4 2 7 2" xfId="9735" xr:uid="{00000000-0005-0000-0000-00000E260000}"/>
    <cellStyle name="Standard 6 4 2 7 2 10" xfId="21696" xr:uid="{7AA50B50-AF90-4FB7-AAE4-038D3BC81801}"/>
    <cellStyle name="Standard 6 4 2 7 2 2" xfId="9736" xr:uid="{00000000-0005-0000-0000-00000F260000}"/>
    <cellStyle name="Standard 6 4 2 7 2 2 2" xfId="9737" xr:uid="{00000000-0005-0000-0000-000010260000}"/>
    <cellStyle name="Standard 6 4 2 7 2 2 2 2" xfId="9738" xr:uid="{00000000-0005-0000-0000-000011260000}"/>
    <cellStyle name="Standard 6 4 2 7 2 2 2 2 2" xfId="21699" xr:uid="{95D7CCE1-D568-47B3-B575-88D22203027E}"/>
    <cellStyle name="Standard 6 4 2 7 2 2 2 3" xfId="21698" xr:uid="{17A6EC3C-1843-466B-A8A3-B6391087E0EF}"/>
    <cellStyle name="Standard 6 4 2 7 2 2 3" xfId="9739" xr:uid="{00000000-0005-0000-0000-000012260000}"/>
    <cellStyle name="Standard 6 4 2 7 2 2 3 2" xfId="21700" xr:uid="{46C5E8D0-3A69-4DD9-8370-B73252A63076}"/>
    <cellStyle name="Standard 6 4 2 7 2 2 4" xfId="21697" xr:uid="{5604FE06-4362-4B4C-98D5-46BC9DB9E8E3}"/>
    <cellStyle name="Standard 6 4 2 7 2 3" xfId="9740" xr:uid="{00000000-0005-0000-0000-000013260000}"/>
    <cellStyle name="Standard 6 4 2 7 2 3 2" xfId="9741" xr:uid="{00000000-0005-0000-0000-000014260000}"/>
    <cellStyle name="Standard 6 4 2 7 2 3 2 2" xfId="9742" xr:uid="{00000000-0005-0000-0000-000015260000}"/>
    <cellStyle name="Standard 6 4 2 7 2 3 2 2 2" xfId="21703" xr:uid="{770B4DBB-6B96-47B2-A914-5CA3B337466A}"/>
    <cellStyle name="Standard 6 4 2 7 2 3 2 3" xfId="21702" xr:uid="{7A5B2B6A-0C79-4F4F-8E0C-6E20D610FAC0}"/>
    <cellStyle name="Standard 6 4 2 7 2 3 3" xfId="9743" xr:uid="{00000000-0005-0000-0000-000016260000}"/>
    <cellStyle name="Standard 6 4 2 7 2 3 3 2" xfId="21704" xr:uid="{8B567FBA-54AC-4A54-94BC-E8B42E28ECD0}"/>
    <cellStyle name="Standard 6 4 2 7 2 3 4" xfId="21701" xr:uid="{3CEF0C61-1066-41A7-BC5A-0E308A76AB6E}"/>
    <cellStyle name="Standard 6 4 2 7 2 4" xfId="9744" xr:uid="{00000000-0005-0000-0000-000017260000}"/>
    <cellStyle name="Standard 6 4 2 7 2 4 2" xfId="9745" xr:uid="{00000000-0005-0000-0000-000018260000}"/>
    <cellStyle name="Standard 6 4 2 7 2 4 2 2" xfId="9746" xr:uid="{00000000-0005-0000-0000-000019260000}"/>
    <cellStyle name="Standard 6 4 2 7 2 4 2 2 2" xfId="21707" xr:uid="{435DE7B3-C590-44C5-96B2-B56404C51CB9}"/>
    <cellStyle name="Standard 6 4 2 7 2 4 2 3" xfId="21706" xr:uid="{186B5FF8-EE58-4224-AAF5-D13E36CBD24D}"/>
    <cellStyle name="Standard 6 4 2 7 2 4 3" xfId="9747" xr:uid="{00000000-0005-0000-0000-00001A260000}"/>
    <cellStyle name="Standard 6 4 2 7 2 4 3 2" xfId="21708" xr:uid="{F4786D8A-784B-4FE4-85EF-413C44F41FB5}"/>
    <cellStyle name="Standard 6 4 2 7 2 4 4" xfId="21705" xr:uid="{34810E0F-6514-45AA-9BD4-721869A71664}"/>
    <cellStyle name="Standard 6 4 2 7 2 5" xfId="9748" xr:uid="{00000000-0005-0000-0000-00001B260000}"/>
    <cellStyle name="Standard 6 4 2 7 2 5 2" xfId="9749" xr:uid="{00000000-0005-0000-0000-00001C260000}"/>
    <cellStyle name="Standard 6 4 2 7 2 5 2 2" xfId="9750" xr:uid="{00000000-0005-0000-0000-00001D260000}"/>
    <cellStyle name="Standard 6 4 2 7 2 5 2 2 2" xfId="21711" xr:uid="{34932C91-2B82-4BFE-B8FB-C11AAD69817A}"/>
    <cellStyle name="Standard 6 4 2 7 2 5 2 3" xfId="21710" xr:uid="{EDFFFF27-DAFD-457B-9404-5AC8C02DDCC1}"/>
    <cellStyle name="Standard 6 4 2 7 2 5 3" xfId="9751" xr:uid="{00000000-0005-0000-0000-00001E260000}"/>
    <cellStyle name="Standard 6 4 2 7 2 5 3 2" xfId="21712" xr:uid="{28C8CAF9-A145-422C-B575-FF4114635290}"/>
    <cellStyle name="Standard 6 4 2 7 2 5 4" xfId="21709" xr:uid="{AB3ED777-42E7-4EF1-B8C3-1C27E08E4B62}"/>
    <cellStyle name="Standard 6 4 2 7 2 6" xfId="9752" xr:uid="{00000000-0005-0000-0000-00001F260000}"/>
    <cellStyle name="Standard 6 4 2 7 2 6 2" xfId="9753" xr:uid="{00000000-0005-0000-0000-000020260000}"/>
    <cellStyle name="Standard 6 4 2 7 2 6 2 2" xfId="9754" xr:uid="{00000000-0005-0000-0000-000021260000}"/>
    <cellStyle name="Standard 6 4 2 7 2 6 2 2 2" xfId="21715" xr:uid="{CEE71A39-2399-4490-B711-08A3343BF116}"/>
    <cellStyle name="Standard 6 4 2 7 2 6 2 3" xfId="21714" xr:uid="{AA047DF9-7525-49F7-ADDA-717D18837F25}"/>
    <cellStyle name="Standard 6 4 2 7 2 6 3" xfId="9755" xr:uid="{00000000-0005-0000-0000-000022260000}"/>
    <cellStyle name="Standard 6 4 2 7 2 6 3 2" xfId="21716" xr:uid="{DF0CF80F-FF78-4F9B-83BA-E95BAB95D643}"/>
    <cellStyle name="Standard 6 4 2 7 2 6 4" xfId="21713" xr:uid="{4FAF3160-7739-48E1-A585-3B046E16FE11}"/>
    <cellStyle name="Standard 6 4 2 7 2 7" xfId="9756" xr:uid="{00000000-0005-0000-0000-000023260000}"/>
    <cellStyle name="Standard 6 4 2 7 2 7 2" xfId="9757" xr:uid="{00000000-0005-0000-0000-000024260000}"/>
    <cellStyle name="Standard 6 4 2 7 2 7 2 2" xfId="9758" xr:uid="{00000000-0005-0000-0000-000025260000}"/>
    <cellStyle name="Standard 6 4 2 7 2 7 2 2 2" xfId="21719" xr:uid="{8FF61782-397E-488E-BF97-9038EF56B68C}"/>
    <cellStyle name="Standard 6 4 2 7 2 7 2 3" xfId="21718" xr:uid="{FBCDB74A-8C90-4871-A238-9B3A1DE6CD45}"/>
    <cellStyle name="Standard 6 4 2 7 2 7 3" xfId="9759" xr:uid="{00000000-0005-0000-0000-000026260000}"/>
    <cellStyle name="Standard 6 4 2 7 2 7 3 2" xfId="21720" xr:uid="{73075830-C3C8-4042-A0E9-A0C1FCD56157}"/>
    <cellStyle name="Standard 6 4 2 7 2 7 4" xfId="21717" xr:uid="{BE0BEE75-2DEF-47A1-B884-28515E93D123}"/>
    <cellStyle name="Standard 6 4 2 7 2 8" xfId="9760" xr:uid="{00000000-0005-0000-0000-000027260000}"/>
    <cellStyle name="Standard 6 4 2 7 2 8 2" xfId="9761" xr:uid="{00000000-0005-0000-0000-000028260000}"/>
    <cellStyle name="Standard 6 4 2 7 2 8 2 2" xfId="21722" xr:uid="{6867B992-191B-4683-85EA-DDFE6B97F540}"/>
    <cellStyle name="Standard 6 4 2 7 2 8 3" xfId="21721" xr:uid="{27108100-1D9F-4B28-AD3B-2FDD25C34174}"/>
    <cellStyle name="Standard 6 4 2 7 2 9" xfId="9762" xr:uid="{00000000-0005-0000-0000-000029260000}"/>
    <cellStyle name="Standard 6 4 2 7 2 9 2" xfId="21723" xr:uid="{054E3984-BAF7-4A71-BBF7-D0018937E1E5}"/>
    <cellStyle name="Standard 6 4 2 7 3" xfId="9763" xr:uid="{00000000-0005-0000-0000-00002A260000}"/>
    <cellStyle name="Standard 6 4 2 7 3 2" xfId="9764" xr:uid="{00000000-0005-0000-0000-00002B260000}"/>
    <cellStyle name="Standard 6 4 2 7 3 2 2" xfId="9765" xr:uid="{00000000-0005-0000-0000-00002C260000}"/>
    <cellStyle name="Standard 6 4 2 7 3 2 2 2" xfId="21726" xr:uid="{CB525418-C48F-40B0-9FE7-32979E62512F}"/>
    <cellStyle name="Standard 6 4 2 7 3 2 3" xfId="21725" xr:uid="{AAC8E312-C266-4A5C-98CC-4ECF2A672F47}"/>
    <cellStyle name="Standard 6 4 2 7 3 3" xfId="9766" xr:uid="{00000000-0005-0000-0000-00002D260000}"/>
    <cellStyle name="Standard 6 4 2 7 3 3 2" xfId="21727" xr:uid="{2CF31283-A38B-4923-A77E-0CC661270983}"/>
    <cellStyle name="Standard 6 4 2 7 3 4" xfId="21724" xr:uid="{ED0CBB87-993A-4AB7-90BD-DD263C5ADA8C}"/>
    <cellStyle name="Standard 6 4 2 7 4" xfId="9767" xr:uid="{00000000-0005-0000-0000-00002E260000}"/>
    <cellStyle name="Standard 6 4 2 7 4 2" xfId="9768" xr:uid="{00000000-0005-0000-0000-00002F260000}"/>
    <cellStyle name="Standard 6 4 2 7 4 2 2" xfId="9769" xr:uid="{00000000-0005-0000-0000-000030260000}"/>
    <cellStyle name="Standard 6 4 2 7 4 2 2 2" xfId="21730" xr:uid="{6C6C6F94-14B7-41A9-9C2A-7FF86F4752C9}"/>
    <cellStyle name="Standard 6 4 2 7 4 2 3" xfId="21729" xr:uid="{08DC3118-E4C8-4E46-A229-185B357B66B0}"/>
    <cellStyle name="Standard 6 4 2 7 4 3" xfId="9770" xr:uid="{00000000-0005-0000-0000-000031260000}"/>
    <cellStyle name="Standard 6 4 2 7 4 3 2" xfId="21731" xr:uid="{63FB9257-B16C-460A-BEDD-C173CDBD56BA}"/>
    <cellStyle name="Standard 6 4 2 7 4 4" xfId="21728" xr:uid="{E8CE8B70-B88B-4922-B164-273DF77A2556}"/>
    <cellStyle name="Standard 6 4 2 7 5" xfId="9771" xr:uid="{00000000-0005-0000-0000-000032260000}"/>
    <cellStyle name="Standard 6 4 2 7 5 2" xfId="9772" xr:uid="{00000000-0005-0000-0000-000033260000}"/>
    <cellStyle name="Standard 6 4 2 7 5 2 2" xfId="9773" xr:uid="{00000000-0005-0000-0000-000034260000}"/>
    <cellStyle name="Standard 6 4 2 7 5 2 2 2" xfId="21734" xr:uid="{8548BEB1-EE9E-4C69-B3B0-544CE28A4B81}"/>
    <cellStyle name="Standard 6 4 2 7 5 2 3" xfId="21733" xr:uid="{B42AD881-71E9-44EA-A590-4D21056F81B5}"/>
    <cellStyle name="Standard 6 4 2 7 5 3" xfId="9774" xr:uid="{00000000-0005-0000-0000-000035260000}"/>
    <cellStyle name="Standard 6 4 2 7 5 3 2" xfId="21735" xr:uid="{BF2F8E95-2B99-4A7F-BF34-B835597D8016}"/>
    <cellStyle name="Standard 6 4 2 7 5 4" xfId="21732" xr:uid="{26FC45FF-4E0B-40D6-AAFE-CE37141AE8D2}"/>
    <cellStyle name="Standard 6 4 2 7 6" xfId="9775" xr:uid="{00000000-0005-0000-0000-000036260000}"/>
    <cellStyle name="Standard 6 4 2 7 6 2" xfId="9776" xr:uid="{00000000-0005-0000-0000-000037260000}"/>
    <cellStyle name="Standard 6 4 2 7 6 2 2" xfId="9777" xr:uid="{00000000-0005-0000-0000-000038260000}"/>
    <cellStyle name="Standard 6 4 2 7 6 2 2 2" xfId="21738" xr:uid="{296235D5-C655-4FB8-B3B4-B048800CE3CB}"/>
    <cellStyle name="Standard 6 4 2 7 6 2 3" xfId="21737" xr:uid="{9FEC105C-F3EE-407D-83EB-CBEB1639A5AE}"/>
    <cellStyle name="Standard 6 4 2 7 6 3" xfId="9778" xr:uid="{00000000-0005-0000-0000-000039260000}"/>
    <cellStyle name="Standard 6 4 2 7 6 3 2" xfId="21739" xr:uid="{B55399D9-5CF9-4B0B-B72E-277CAC420BE4}"/>
    <cellStyle name="Standard 6 4 2 7 6 4" xfId="21736" xr:uid="{184D1371-EC49-4F70-98E1-3E5B15EC16CD}"/>
    <cellStyle name="Standard 6 4 2 7 7" xfId="9779" xr:uid="{00000000-0005-0000-0000-00003A260000}"/>
    <cellStyle name="Standard 6 4 2 7 7 2" xfId="9780" xr:uid="{00000000-0005-0000-0000-00003B260000}"/>
    <cellStyle name="Standard 6 4 2 7 7 2 2" xfId="9781" xr:uid="{00000000-0005-0000-0000-00003C260000}"/>
    <cellStyle name="Standard 6 4 2 7 7 2 2 2" xfId="21742" xr:uid="{E879E350-759A-4E07-A2CA-BE40CAEFC3FC}"/>
    <cellStyle name="Standard 6 4 2 7 7 2 3" xfId="21741" xr:uid="{B3AB5A50-DD28-42D1-9177-B4A808F4EA9A}"/>
    <cellStyle name="Standard 6 4 2 7 7 3" xfId="9782" xr:uid="{00000000-0005-0000-0000-00003D260000}"/>
    <cellStyle name="Standard 6 4 2 7 7 3 2" xfId="21743" xr:uid="{BFD90CCC-7A2A-44FD-B80E-C8A475B0F584}"/>
    <cellStyle name="Standard 6 4 2 7 7 4" xfId="21740" xr:uid="{E6A9480F-6862-4C55-AE21-63FB4D0F2B0B}"/>
    <cellStyle name="Standard 6 4 2 7 8" xfId="9783" xr:uid="{00000000-0005-0000-0000-00003E260000}"/>
    <cellStyle name="Standard 6 4 2 7 8 2" xfId="9784" xr:uid="{00000000-0005-0000-0000-00003F260000}"/>
    <cellStyle name="Standard 6 4 2 7 8 2 2" xfId="9785" xr:uid="{00000000-0005-0000-0000-000040260000}"/>
    <cellStyle name="Standard 6 4 2 7 8 2 2 2" xfId="21746" xr:uid="{C1049412-E43D-46BA-958B-ADB22BC636C2}"/>
    <cellStyle name="Standard 6 4 2 7 8 2 3" xfId="21745" xr:uid="{6E04B522-865B-4C3A-A6CC-DEA6D68DAFB9}"/>
    <cellStyle name="Standard 6 4 2 7 8 3" xfId="9786" xr:uid="{00000000-0005-0000-0000-000041260000}"/>
    <cellStyle name="Standard 6 4 2 7 8 3 2" xfId="21747" xr:uid="{4CFC73B7-37A0-4E54-9B63-1A63ECC864C4}"/>
    <cellStyle name="Standard 6 4 2 7 8 4" xfId="21744" xr:uid="{026B3C73-C644-4079-B43B-897E34E0A0BF}"/>
    <cellStyle name="Standard 6 4 2 7 9" xfId="9787" xr:uid="{00000000-0005-0000-0000-000042260000}"/>
    <cellStyle name="Standard 6 4 2 7 9 2" xfId="9788" xr:uid="{00000000-0005-0000-0000-000043260000}"/>
    <cellStyle name="Standard 6 4 2 7 9 2 2" xfId="21749" xr:uid="{4445678C-5620-4292-9342-7416371B4488}"/>
    <cellStyle name="Standard 6 4 2 7 9 3" xfId="21748" xr:uid="{CD8C1B20-D3EB-441B-84A2-B47884B2C77C}"/>
    <cellStyle name="Standard 6 4 2 8" xfId="9789" xr:uid="{00000000-0005-0000-0000-000044260000}"/>
    <cellStyle name="Standard 6 4 2 8 10" xfId="21750" xr:uid="{333C38F0-52DA-458C-9912-F303D45F897D}"/>
    <cellStyle name="Standard 6 4 2 8 2" xfId="9790" xr:uid="{00000000-0005-0000-0000-000045260000}"/>
    <cellStyle name="Standard 6 4 2 8 2 2" xfId="9791" xr:uid="{00000000-0005-0000-0000-000046260000}"/>
    <cellStyle name="Standard 6 4 2 8 2 2 2" xfId="9792" xr:uid="{00000000-0005-0000-0000-000047260000}"/>
    <cellStyle name="Standard 6 4 2 8 2 2 2 2" xfId="21753" xr:uid="{EE8AA95F-E83B-449F-82DE-AAF4BF0F07D4}"/>
    <cellStyle name="Standard 6 4 2 8 2 2 3" xfId="21752" xr:uid="{E7975F39-1445-4784-A5CF-ACBFBD1702A8}"/>
    <cellStyle name="Standard 6 4 2 8 2 3" xfId="9793" xr:uid="{00000000-0005-0000-0000-000048260000}"/>
    <cellStyle name="Standard 6 4 2 8 2 3 2" xfId="21754" xr:uid="{8C6F4188-CD0D-4464-9B0A-505E2F9F534C}"/>
    <cellStyle name="Standard 6 4 2 8 2 4" xfId="21751" xr:uid="{3AE978D4-ED52-4652-B383-33EE229A72F0}"/>
    <cellStyle name="Standard 6 4 2 8 3" xfId="9794" xr:uid="{00000000-0005-0000-0000-000049260000}"/>
    <cellStyle name="Standard 6 4 2 8 3 2" xfId="9795" xr:uid="{00000000-0005-0000-0000-00004A260000}"/>
    <cellStyle name="Standard 6 4 2 8 3 2 2" xfId="9796" xr:uid="{00000000-0005-0000-0000-00004B260000}"/>
    <cellStyle name="Standard 6 4 2 8 3 2 2 2" xfId="21757" xr:uid="{412A0833-F03F-4494-9B1F-92224C35DF67}"/>
    <cellStyle name="Standard 6 4 2 8 3 2 3" xfId="21756" xr:uid="{EC42AB21-7C5B-4152-962F-665C45FAC9FA}"/>
    <cellStyle name="Standard 6 4 2 8 3 3" xfId="9797" xr:uid="{00000000-0005-0000-0000-00004C260000}"/>
    <cellStyle name="Standard 6 4 2 8 3 3 2" xfId="21758" xr:uid="{5A134F2C-3E32-4DC8-A0AD-E8A8F1C438EA}"/>
    <cellStyle name="Standard 6 4 2 8 3 4" xfId="21755" xr:uid="{579F8710-E28B-47FA-8A30-69B44E2192EC}"/>
    <cellStyle name="Standard 6 4 2 8 4" xfId="9798" xr:uid="{00000000-0005-0000-0000-00004D260000}"/>
    <cellStyle name="Standard 6 4 2 8 4 2" xfId="9799" xr:uid="{00000000-0005-0000-0000-00004E260000}"/>
    <cellStyle name="Standard 6 4 2 8 4 2 2" xfId="9800" xr:uid="{00000000-0005-0000-0000-00004F260000}"/>
    <cellStyle name="Standard 6 4 2 8 4 2 2 2" xfId="21761" xr:uid="{D2E064AC-1AB0-49D2-B5F0-ACFA8813929F}"/>
    <cellStyle name="Standard 6 4 2 8 4 2 3" xfId="21760" xr:uid="{A5086FEC-C144-468B-86D0-E39A904D4C2B}"/>
    <cellStyle name="Standard 6 4 2 8 4 3" xfId="9801" xr:uid="{00000000-0005-0000-0000-000050260000}"/>
    <cellStyle name="Standard 6 4 2 8 4 3 2" xfId="21762" xr:uid="{6627C9DD-E496-47FF-9880-10E6B240988E}"/>
    <cellStyle name="Standard 6 4 2 8 4 4" xfId="21759" xr:uid="{77F766E9-D213-4149-A025-20FA69DADCFD}"/>
    <cellStyle name="Standard 6 4 2 8 5" xfId="9802" xr:uid="{00000000-0005-0000-0000-000051260000}"/>
    <cellStyle name="Standard 6 4 2 8 5 2" xfId="9803" xr:uid="{00000000-0005-0000-0000-000052260000}"/>
    <cellStyle name="Standard 6 4 2 8 5 2 2" xfId="9804" xr:uid="{00000000-0005-0000-0000-000053260000}"/>
    <cellStyle name="Standard 6 4 2 8 5 2 2 2" xfId="21765" xr:uid="{1A01BB5B-72F8-49CC-B429-EAB0A01E914C}"/>
    <cellStyle name="Standard 6 4 2 8 5 2 3" xfId="21764" xr:uid="{2288A1CA-D293-4E90-9685-9442D1B4BAB1}"/>
    <cellStyle name="Standard 6 4 2 8 5 3" xfId="9805" xr:uid="{00000000-0005-0000-0000-000054260000}"/>
    <cellStyle name="Standard 6 4 2 8 5 3 2" xfId="21766" xr:uid="{BC7C9A6E-DC03-4097-9FB5-CC6095214011}"/>
    <cellStyle name="Standard 6 4 2 8 5 4" xfId="21763" xr:uid="{30F24A38-879B-4090-9F4B-A65B07412025}"/>
    <cellStyle name="Standard 6 4 2 8 6" xfId="9806" xr:uid="{00000000-0005-0000-0000-000055260000}"/>
    <cellStyle name="Standard 6 4 2 8 6 2" xfId="9807" xr:uid="{00000000-0005-0000-0000-000056260000}"/>
    <cellStyle name="Standard 6 4 2 8 6 2 2" xfId="9808" xr:uid="{00000000-0005-0000-0000-000057260000}"/>
    <cellStyle name="Standard 6 4 2 8 6 2 2 2" xfId="21769" xr:uid="{8EA06646-D922-47C5-AF0C-377EB28FA197}"/>
    <cellStyle name="Standard 6 4 2 8 6 2 3" xfId="21768" xr:uid="{961C89FF-9AF6-4CF3-8051-2D8C6367D0D0}"/>
    <cellStyle name="Standard 6 4 2 8 6 3" xfId="9809" xr:uid="{00000000-0005-0000-0000-000058260000}"/>
    <cellStyle name="Standard 6 4 2 8 6 3 2" xfId="21770" xr:uid="{F589D9F7-3506-48FF-A525-F0E5D5B0F171}"/>
    <cellStyle name="Standard 6 4 2 8 6 4" xfId="21767" xr:uid="{FB39A6A3-C5C8-47D2-9E73-4E2924C9F5BA}"/>
    <cellStyle name="Standard 6 4 2 8 7" xfId="9810" xr:uid="{00000000-0005-0000-0000-000059260000}"/>
    <cellStyle name="Standard 6 4 2 8 7 2" xfId="9811" xr:uid="{00000000-0005-0000-0000-00005A260000}"/>
    <cellStyle name="Standard 6 4 2 8 7 2 2" xfId="9812" xr:uid="{00000000-0005-0000-0000-00005B260000}"/>
    <cellStyle name="Standard 6 4 2 8 7 2 2 2" xfId="21773" xr:uid="{3B87E111-9963-489C-A588-AD646922F07F}"/>
    <cellStyle name="Standard 6 4 2 8 7 2 3" xfId="21772" xr:uid="{83B99B33-8751-41D6-BD24-366207C37C03}"/>
    <cellStyle name="Standard 6 4 2 8 7 3" xfId="9813" xr:uid="{00000000-0005-0000-0000-00005C260000}"/>
    <cellStyle name="Standard 6 4 2 8 7 3 2" xfId="21774" xr:uid="{1726AB9C-9189-46F6-A863-01D8B747CCC5}"/>
    <cellStyle name="Standard 6 4 2 8 7 4" xfId="21771" xr:uid="{960D0403-BCBC-4127-94C4-08265E221DBF}"/>
    <cellStyle name="Standard 6 4 2 8 8" xfId="9814" xr:uid="{00000000-0005-0000-0000-00005D260000}"/>
    <cellStyle name="Standard 6 4 2 8 8 2" xfId="9815" xr:uid="{00000000-0005-0000-0000-00005E260000}"/>
    <cellStyle name="Standard 6 4 2 8 8 2 2" xfId="21776" xr:uid="{0C6AF4D5-C944-4125-A095-03A444F9D0E9}"/>
    <cellStyle name="Standard 6 4 2 8 8 3" xfId="21775" xr:uid="{43CB4450-8AF1-49E9-9DA3-69FF2AAD7FBF}"/>
    <cellStyle name="Standard 6 4 2 8 9" xfId="9816" xr:uid="{00000000-0005-0000-0000-00005F260000}"/>
    <cellStyle name="Standard 6 4 2 8 9 2" xfId="21777" xr:uid="{323C68EF-4DD3-4812-A42E-19664CC4D3D9}"/>
    <cellStyle name="Standard 6 4 2 9" xfId="9817" xr:uid="{00000000-0005-0000-0000-000060260000}"/>
    <cellStyle name="Standard 6 4 2 9 2" xfId="9818" xr:uid="{00000000-0005-0000-0000-000061260000}"/>
    <cellStyle name="Standard 6 4 2 9 2 2" xfId="9819" xr:uid="{00000000-0005-0000-0000-000062260000}"/>
    <cellStyle name="Standard 6 4 2 9 2 2 2" xfId="9820" xr:uid="{00000000-0005-0000-0000-000063260000}"/>
    <cellStyle name="Standard 6 4 2 9 2 2 2 2" xfId="21781" xr:uid="{7F6C16DA-80E2-41DD-A3B7-44AD041951FF}"/>
    <cellStyle name="Standard 6 4 2 9 2 2 3" xfId="21780" xr:uid="{B8D4516F-8AFE-45CF-B35F-207E5F17E6B2}"/>
    <cellStyle name="Standard 6 4 2 9 2 3" xfId="9821" xr:uid="{00000000-0005-0000-0000-000064260000}"/>
    <cellStyle name="Standard 6 4 2 9 2 3 2" xfId="21782" xr:uid="{EC24BBD2-5BFC-42F3-A1A1-FFC7301335F2}"/>
    <cellStyle name="Standard 6 4 2 9 2 4" xfId="21779" xr:uid="{7CD0C3CE-1BEB-43AF-A01A-A9E7F55836EA}"/>
    <cellStyle name="Standard 6 4 2 9 3" xfId="9822" xr:uid="{00000000-0005-0000-0000-000065260000}"/>
    <cellStyle name="Standard 6 4 2 9 3 2" xfId="9823" xr:uid="{00000000-0005-0000-0000-000066260000}"/>
    <cellStyle name="Standard 6 4 2 9 3 2 2" xfId="9824" xr:uid="{00000000-0005-0000-0000-000067260000}"/>
    <cellStyle name="Standard 6 4 2 9 3 2 2 2" xfId="21785" xr:uid="{BC79AE71-8D8D-4E99-B118-F4B3661C61D9}"/>
    <cellStyle name="Standard 6 4 2 9 3 2 3" xfId="21784" xr:uid="{C900FF54-0DF9-4229-9B09-C8DC9D730240}"/>
    <cellStyle name="Standard 6 4 2 9 3 3" xfId="9825" xr:uid="{00000000-0005-0000-0000-000068260000}"/>
    <cellStyle name="Standard 6 4 2 9 3 3 2" xfId="21786" xr:uid="{666BDCDB-A474-49BE-8C20-3B8340610DD4}"/>
    <cellStyle name="Standard 6 4 2 9 3 4" xfId="21783" xr:uid="{7DE8C22C-87FC-46CA-ADF3-8AB62809760C}"/>
    <cellStyle name="Standard 6 4 2 9 4" xfId="9826" xr:uid="{00000000-0005-0000-0000-000069260000}"/>
    <cellStyle name="Standard 6 4 2 9 4 2" xfId="9827" xr:uid="{00000000-0005-0000-0000-00006A260000}"/>
    <cellStyle name="Standard 6 4 2 9 4 2 2" xfId="9828" xr:uid="{00000000-0005-0000-0000-00006B260000}"/>
    <cellStyle name="Standard 6 4 2 9 4 2 2 2" xfId="21789" xr:uid="{26C1B7FF-EF15-4B0E-B57F-A99DAAE7A15D}"/>
    <cellStyle name="Standard 6 4 2 9 4 2 3" xfId="21788" xr:uid="{BD14DBEB-DBCA-4B12-9EBC-0647D32D3C3C}"/>
    <cellStyle name="Standard 6 4 2 9 4 3" xfId="9829" xr:uid="{00000000-0005-0000-0000-00006C260000}"/>
    <cellStyle name="Standard 6 4 2 9 4 3 2" xfId="21790" xr:uid="{60EE15F3-AEB7-494A-8665-D91DBC44C832}"/>
    <cellStyle name="Standard 6 4 2 9 4 4" xfId="21787" xr:uid="{9B5BC1DE-9365-43FC-9A93-AC445CAA03EE}"/>
    <cellStyle name="Standard 6 4 2 9 5" xfId="9830" xr:uid="{00000000-0005-0000-0000-00006D260000}"/>
    <cellStyle name="Standard 6 4 2 9 5 2" xfId="9831" xr:uid="{00000000-0005-0000-0000-00006E260000}"/>
    <cellStyle name="Standard 6 4 2 9 5 2 2" xfId="9832" xr:uid="{00000000-0005-0000-0000-00006F260000}"/>
    <cellStyle name="Standard 6 4 2 9 5 2 2 2" xfId="21793" xr:uid="{FCF75E2F-453B-4684-8174-D119E8FEE6D3}"/>
    <cellStyle name="Standard 6 4 2 9 5 2 3" xfId="21792" xr:uid="{E1D45FF5-EE17-4095-8960-CBD1DC7675FD}"/>
    <cellStyle name="Standard 6 4 2 9 5 3" xfId="9833" xr:uid="{00000000-0005-0000-0000-000070260000}"/>
    <cellStyle name="Standard 6 4 2 9 5 3 2" xfId="21794" xr:uid="{597F3C93-5B66-4121-B106-5447B44D1071}"/>
    <cellStyle name="Standard 6 4 2 9 5 4" xfId="21791" xr:uid="{81055678-CE46-4908-B090-2005956C3D80}"/>
    <cellStyle name="Standard 6 4 2 9 6" xfId="9834" xr:uid="{00000000-0005-0000-0000-000071260000}"/>
    <cellStyle name="Standard 6 4 2 9 6 2" xfId="9835" xr:uid="{00000000-0005-0000-0000-000072260000}"/>
    <cellStyle name="Standard 6 4 2 9 6 2 2" xfId="9836" xr:uid="{00000000-0005-0000-0000-000073260000}"/>
    <cellStyle name="Standard 6 4 2 9 6 2 2 2" xfId="21797" xr:uid="{20F71B97-ED4C-4533-8C54-4746B10C8486}"/>
    <cellStyle name="Standard 6 4 2 9 6 2 3" xfId="21796" xr:uid="{B87C22D1-6D2E-42CC-9FB6-76CEB910A0D2}"/>
    <cellStyle name="Standard 6 4 2 9 6 3" xfId="9837" xr:uid="{00000000-0005-0000-0000-000074260000}"/>
    <cellStyle name="Standard 6 4 2 9 6 3 2" xfId="21798" xr:uid="{BF1F8CDF-0248-434D-90DE-9C33B73DF911}"/>
    <cellStyle name="Standard 6 4 2 9 6 4" xfId="21795" xr:uid="{102E9844-3321-490F-B605-26C1D6600B51}"/>
    <cellStyle name="Standard 6 4 2 9 7" xfId="9838" xr:uid="{00000000-0005-0000-0000-000075260000}"/>
    <cellStyle name="Standard 6 4 2 9 7 2" xfId="9839" xr:uid="{00000000-0005-0000-0000-000076260000}"/>
    <cellStyle name="Standard 6 4 2 9 7 2 2" xfId="21800" xr:uid="{9412F4C1-A479-41CA-B926-F5325C3FADDA}"/>
    <cellStyle name="Standard 6 4 2 9 7 3" xfId="21799" xr:uid="{3B12AC29-7A0B-4F3F-BE51-9E6D53EC7F46}"/>
    <cellStyle name="Standard 6 4 2 9 8" xfId="9840" xr:uid="{00000000-0005-0000-0000-000077260000}"/>
    <cellStyle name="Standard 6 4 2 9 8 2" xfId="21801" xr:uid="{540D5E12-0584-4CA2-9A96-1EA3964FF8E3}"/>
    <cellStyle name="Standard 6 4 2 9 9" xfId="21778" xr:uid="{CA04FE09-BE46-4E1C-B1C7-F99965D5B592}"/>
    <cellStyle name="Standard 6 4 20" xfId="9841" xr:uid="{00000000-0005-0000-0000-000078260000}"/>
    <cellStyle name="Standard 6 4 20 2" xfId="9842" xr:uid="{00000000-0005-0000-0000-000079260000}"/>
    <cellStyle name="Standard 6 4 20 2 2" xfId="9843" xr:uid="{00000000-0005-0000-0000-00007A260000}"/>
    <cellStyle name="Standard 6 4 20 2 2 2" xfId="21804" xr:uid="{C8E9349C-DC26-4083-B9C0-67C22D6EF139}"/>
    <cellStyle name="Standard 6 4 20 2 3" xfId="21803" xr:uid="{081A65E8-0D7C-4A26-A8C0-C9EA4D5D70AD}"/>
    <cellStyle name="Standard 6 4 20 3" xfId="9844" xr:uid="{00000000-0005-0000-0000-00007B260000}"/>
    <cellStyle name="Standard 6 4 20 3 2" xfId="21805" xr:uid="{57BFE9A8-654D-4C38-8233-194D8A923EF2}"/>
    <cellStyle name="Standard 6 4 20 4" xfId="21802" xr:uid="{ED8CD47D-FDCA-4D48-9BDA-7CC46EFE56A0}"/>
    <cellStyle name="Standard 6 4 21" xfId="9845" xr:uid="{00000000-0005-0000-0000-00007C260000}"/>
    <cellStyle name="Standard 6 4 21 2" xfId="9846" xr:uid="{00000000-0005-0000-0000-00007D260000}"/>
    <cellStyle name="Standard 6 4 21 2 2" xfId="9847" xr:uid="{00000000-0005-0000-0000-00007E260000}"/>
    <cellStyle name="Standard 6 4 21 2 2 2" xfId="21808" xr:uid="{101A47B1-BBC7-4D8A-AC16-5510330E56EC}"/>
    <cellStyle name="Standard 6 4 21 2 3" xfId="21807" xr:uid="{CE4C9F60-1EBC-43BD-AD98-0C4325D85387}"/>
    <cellStyle name="Standard 6 4 21 3" xfId="9848" xr:uid="{00000000-0005-0000-0000-00007F260000}"/>
    <cellStyle name="Standard 6 4 21 3 2" xfId="21809" xr:uid="{262A6B95-1174-4E71-908F-5DBB4152206D}"/>
    <cellStyle name="Standard 6 4 21 4" xfId="21806" xr:uid="{2B31AD7C-37F2-4A2B-BA28-3393482C11C7}"/>
    <cellStyle name="Standard 6 4 22" xfId="9849" xr:uid="{00000000-0005-0000-0000-000080260000}"/>
    <cellStyle name="Standard 6 4 22 2" xfId="9850" xr:uid="{00000000-0005-0000-0000-000081260000}"/>
    <cellStyle name="Standard 6 4 22 2 2" xfId="21811" xr:uid="{EA52CD0F-C118-419E-81F2-DC99CBC70394}"/>
    <cellStyle name="Standard 6 4 22 3" xfId="21810" xr:uid="{D8FE7E05-0949-4B04-87E0-61140AA0258A}"/>
    <cellStyle name="Standard 6 4 23" xfId="9851" xr:uid="{00000000-0005-0000-0000-000082260000}"/>
    <cellStyle name="Standard 6 4 23 2" xfId="21812" xr:uid="{954D60AC-8B0A-484D-AA8A-15CA77DA5745}"/>
    <cellStyle name="Standard 6 4 24" xfId="9852" xr:uid="{00000000-0005-0000-0000-000083260000}"/>
    <cellStyle name="Standard 6 4 24 2" xfId="21813" xr:uid="{85A3B208-5296-42ED-B830-5BBB3602136F}"/>
    <cellStyle name="Standard 6 4 25" xfId="21228" xr:uid="{4D231C8A-15D3-41CA-BECE-87871928FB21}"/>
    <cellStyle name="Standard 6 4 3" xfId="9853" xr:uid="{00000000-0005-0000-0000-000084260000}"/>
    <cellStyle name="Standard 6 4 3 10" xfId="9854" xr:uid="{00000000-0005-0000-0000-000085260000}"/>
    <cellStyle name="Standard 6 4 3 10 2" xfId="9855" xr:uid="{00000000-0005-0000-0000-000086260000}"/>
    <cellStyle name="Standard 6 4 3 10 2 2" xfId="9856" xr:uid="{00000000-0005-0000-0000-000087260000}"/>
    <cellStyle name="Standard 6 4 3 10 2 2 2" xfId="21817" xr:uid="{F2AA7E18-0CA2-4A4F-9734-FADEF2353528}"/>
    <cellStyle name="Standard 6 4 3 10 2 3" xfId="21816" xr:uid="{E245B40D-B248-481F-B0E6-12F274C50E9E}"/>
    <cellStyle name="Standard 6 4 3 10 3" xfId="9857" xr:uid="{00000000-0005-0000-0000-000088260000}"/>
    <cellStyle name="Standard 6 4 3 10 3 2" xfId="21818" xr:uid="{2C7C3A81-84F9-4DE1-9EA8-D569E528849C}"/>
    <cellStyle name="Standard 6 4 3 10 4" xfId="21815" xr:uid="{73FAA612-B6BD-4B14-A031-7307D5C63D4C}"/>
    <cellStyle name="Standard 6 4 3 11" xfId="9858" xr:uid="{00000000-0005-0000-0000-000089260000}"/>
    <cellStyle name="Standard 6 4 3 11 2" xfId="9859" xr:uid="{00000000-0005-0000-0000-00008A260000}"/>
    <cellStyle name="Standard 6 4 3 11 2 2" xfId="9860" xr:uid="{00000000-0005-0000-0000-00008B260000}"/>
    <cellStyle name="Standard 6 4 3 11 2 2 2" xfId="21821" xr:uid="{7B0BF9C4-FA06-4000-A084-B5912678D319}"/>
    <cellStyle name="Standard 6 4 3 11 2 3" xfId="21820" xr:uid="{6FFF0A83-45C0-4399-8867-FF70FE1A4D23}"/>
    <cellStyle name="Standard 6 4 3 11 3" xfId="9861" xr:uid="{00000000-0005-0000-0000-00008C260000}"/>
    <cellStyle name="Standard 6 4 3 11 3 2" xfId="21822" xr:uid="{FBF905CB-5B35-4084-896E-47E5D050FB9E}"/>
    <cellStyle name="Standard 6 4 3 11 4" xfId="21819" xr:uid="{46EDBCCE-08A1-4EB8-8D9D-1F9CA9204F13}"/>
    <cellStyle name="Standard 6 4 3 12" xfId="9862" xr:uid="{00000000-0005-0000-0000-00008D260000}"/>
    <cellStyle name="Standard 6 4 3 12 2" xfId="9863" xr:uid="{00000000-0005-0000-0000-00008E260000}"/>
    <cellStyle name="Standard 6 4 3 12 2 2" xfId="9864" xr:uid="{00000000-0005-0000-0000-00008F260000}"/>
    <cellStyle name="Standard 6 4 3 12 2 2 2" xfId="21825" xr:uid="{9CD10719-0E19-4CB0-AE1C-13B97B8551F7}"/>
    <cellStyle name="Standard 6 4 3 12 2 3" xfId="21824" xr:uid="{BDFDD969-EDD3-4C9A-956C-1D874BA0F883}"/>
    <cellStyle name="Standard 6 4 3 12 3" xfId="9865" xr:uid="{00000000-0005-0000-0000-000090260000}"/>
    <cellStyle name="Standard 6 4 3 12 3 2" xfId="21826" xr:uid="{77989B2D-C9DD-49C7-BFBF-D7669664E5DE}"/>
    <cellStyle name="Standard 6 4 3 12 4" xfId="21823" xr:uid="{7FC9F6BB-42CB-4937-B70E-BF916BC7CCC2}"/>
    <cellStyle name="Standard 6 4 3 13" xfId="9866" xr:uid="{00000000-0005-0000-0000-000091260000}"/>
    <cellStyle name="Standard 6 4 3 13 2" xfId="9867" xr:uid="{00000000-0005-0000-0000-000092260000}"/>
    <cellStyle name="Standard 6 4 3 13 2 2" xfId="9868" xr:uid="{00000000-0005-0000-0000-000093260000}"/>
    <cellStyle name="Standard 6 4 3 13 2 2 2" xfId="21829" xr:uid="{C2C85AD6-09E9-42CA-8715-03CD9F6BFC1E}"/>
    <cellStyle name="Standard 6 4 3 13 2 3" xfId="21828" xr:uid="{53C188F2-4677-478F-8309-D612DB91EDE3}"/>
    <cellStyle name="Standard 6 4 3 13 3" xfId="9869" xr:uid="{00000000-0005-0000-0000-000094260000}"/>
    <cellStyle name="Standard 6 4 3 13 3 2" xfId="21830" xr:uid="{C22CE863-9E1E-4FBC-AF3D-DD567FE472EE}"/>
    <cellStyle name="Standard 6 4 3 13 4" xfId="21827" xr:uid="{80882421-9501-49CA-8663-02CCD94059FF}"/>
    <cellStyle name="Standard 6 4 3 14" xfId="9870" xr:uid="{00000000-0005-0000-0000-000095260000}"/>
    <cellStyle name="Standard 6 4 3 14 2" xfId="9871" xr:uid="{00000000-0005-0000-0000-000096260000}"/>
    <cellStyle name="Standard 6 4 3 14 2 2" xfId="9872" xr:uid="{00000000-0005-0000-0000-000097260000}"/>
    <cellStyle name="Standard 6 4 3 14 2 2 2" xfId="21833" xr:uid="{57F8F975-A2EE-42D3-842E-84A943260AB9}"/>
    <cellStyle name="Standard 6 4 3 14 2 3" xfId="21832" xr:uid="{017C5D8C-D2FE-4896-B16E-4EA2861E51BB}"/>
    <cellStyle name="Standard 6 4 3 14 3" xfId="9873" xr:uid="{00000000-0005-0000-0000-000098260000}"/>
    <cellStyle name="Standard 6 4 3 14 3 2" xfId="21834" xr:uid="{01E46961-2F0C-465B-B06C-08FEAA662028}"/>
    <cellStyle name="Standard 6 4 3 14 4" xfId="21831" xr:uid="{3275D29F-6AF2-4DB2-8F5F-491EF3028026}"/>
    <cellStyle name="Standard 6 4 3 15" xfId="9874" xr:uid="{00000000-0005-0000-0000-000099260000}"/>
    <cellStyle name="Standard 6 4 3 15 2" xfId="9875" xr:uid="{00000000-0005-0000-0000-00009A260000}"/>
    <cellStyle name="Standard 6 4 3 15 2 2" xfId="9876" xr:uid="{00000000-0005-0000-0000-00009B260000}"/>
    <cellStyle name="Standard 6 4 3 15 2 2 2" xfId="21837" xr:uid="{A1035E93-D12D-44C6-B164-43061B68B6BC}"/>
    <cellStyle name="Standard 6 4 3 15 2 3" xfId="21836" xr:uid="{E85FB8CC-6362-4A67-909E-B29785ED80AB}"/>
    <cellStyle name="Standard 6 4 3 15 3" xfId="9877" xr:uid="{00000000-0005-0000-0000-00009C260000}"/>
    <cellStyle name="Standard 6 4 3 15 3 2" xfId="21838" xr:uid="{082EDC74-BD71-4507-BEC1-B457DCD35F50}"/>
    <cellStyle name="Standard 6 4 3 15 4" xfId="21835" xr:uid="{39AFE0DD-2BDD-4E2B-A5F8-25788FC1DB37}"/>
    <cellStyle name="Standard 6 4 3 16" xfId="9878" xr:uid="{00000000-0005-0000-0000-00009D260000}"/>
    <cellStyle name="Standard 6 4 3 16 2" xfId="9879" xr:uid="{00000000-0005-0000-0000-00009E260000}"/>
    <cellStyle name="Standard 6 4 3 16 2 2" xfId="9880" xr:uid="{00000000-0005-0000-0000-00009F260000}"/>
    <cellStyle name="Standard 6 4 3 16 2 2 2" xfId="21841" xr:uid="{774DE863-D272-492C-8AB6-78A8324BDFFB}"/>
    <cellStyle name="Standard 6 4 3 16 2 3" xfId="21840" xr:uid="{62F75237-324B-48B7-9716-614A8E1DC350}"/>
    <cellStyle name="Standard 6 4 3 16 3" xfId="9881" xr:uid="{00000000-0005-0000-0000-0000A0260000}"/>
    <cellStyle name="Standard 6 4 3 16 3 2" xfId="21842" xr:uid="{10701106-2A2D-4BFF-9BEF-F462075B399E}"/>
    <cellStyle name="Standard 6 4 3 16 4" xfId="21839" xr:uid="{67502056-C8B4-4A3D-B512-A594D22503D7}"/>
    <cellStyle name="Standard 6 4 3 17" xfId="9882" xr:uid="{00000000-0005-0000-0000-0000A1260000}"/>
    <cellStyle name="Standard 6 4 3 17 2" xfId="9883" xr:uid="{00000000-0005-0000-0000-0000A2260000}"/>
    <cellStyle name="Standard 6 4 3 17 2 2" xfId="9884" xr:uid="{00000000-0005-0000-0000-0000A3260000}"/>
    <cellStyle name="Standard 6 4 3 17 2 2 2" xfId="21845" xr:uid="{7734A2AF-59C6-4B87-92D8-A7B0CDB4C981}"/>
    <cellStyle name="Standard 6 4 3 17 2 3" xfId="21844" xr:uid="{9848CC1C-C6CC-458C-A5D5-FB8AD4C919ED}"/>
    <cellStyle name="Standard 6 4 3 17 3" xfId="9885" xr:uid="{00000000-0005-0000-0000-0000A4260000}"/>
    <cellStyle name="Standard 6 4 3 17 3 2" xfId="21846" xr:uid="{6925E102-3A6D-4803-B767-6220CE048C95}"/>
    <cellStyle name="Standard 6 4 3 17 4" xfId="21843" xr:uid="{8D5923AC-A5EE-4088-9D6B-53203B9B1D1A}"/>
    <cellStyle name="Standard 6 4 3 18" xfId="9886" xr:uid="{00000000-0005-0000-0000-0000A5260000}"/>
    <cellStyle name="Standard 6 4 3 18 2" xfId="9887" xr:uid="{00000000-0005-0000-0000-0000A6260000}"/>
    <cellStyle name="Standard 6 4 3 18 2 2" xfId="9888" xr:uid="{00000000-0005-0000-0000-0000A7260000}"/>
    <cellStyle name="Standard 6 4 3 18 2 2 2" xfId="21849" xr:uid="{67C2E1D1-C9DC-4083-A63F-295159CF42AB}"/>
    <cellStyle name="Standard 6 4 3 18 2 3" xfId="21848" xr:uid="{838397A5-6179-4576-A68A-686FD864606B}"/>
    <cellStyle name="Standard 6 4 3 18 3" xfId="9889" xr:uid="{00000000-0005-0000-0000-0000A8260000}"/>
    <cellStyle name="Standard 6 4 3 18 3 2" xfId="21850" xr:uid="{4319AB17-CC1A-4E7F-AA05-859F71550607}"/>
    <cellStyle name="Standard 6 4 3 18 4" xfId="21847" xr:uid="{38F6C386-F6F7-4D0F-AB2E-E8AFDCB03255}"/>
    <cellStyle name="Standard 6 4 3 19" xfId="9890" xr:uid="{00000000-0005-0000-0000-0000A9260000}"/>
    <cellStyle name="Standard 6 4 3 19 2" xfId="9891" xr:uid="{00000000-0005-0000-0000-0000AA260000}"/>
    <cellStyle name="Standard 6 4 3 19 2 2" xfId="9892" xr:uid="{00000000-0005-0000-0000-0000AB260000}"/>
    <cellStyle name="Standard 6 4 3 19 2 2 2" xfId="21853" xr:uid="{2F5BA1FD-C8F6-4F3C-8E98-1B1F71FD45D7}"/>
    <cellStyle name="Standard 6 4 3 19 2 3" xfId="21852" xr:uid="{EC3B33C1-4AF6-4F12-9E4E-9BD08DD277FD}"/>
    <cellStyle name="Standard 6 4 3 19 3" xfId="9893" xr:uid="{00000000-0005-0000-0000-0000AC260000}"/>
    <cellStyle name="Standard 6 4 3 19 3 2" xfId="21854" xr:uid="{88374F6F-6183-4EBA-9885-FD106A95751C}"/>
    <cellStyle name="Standard 6 4 3 19 4" xfId="21851" xr:uid="{6D4CEE91-64C3-4D69-BA1F-09C5CC2B5E17}"/>
    <cellStyle name="Standard 6 4 3 2" xfId="9894" xr:uid="{00000000-0005-0000-0000-0000AD260000}"/>
    <cellStyle name="Standard 6 4 3 2 10" xfId="9895" xr:uid="{00000000-0005-0000-0000-0000AE260000}"/>
    <cellStyle name="Standard 6 4 3 2 10 2" xfId="9896" xr:uid="{00000000-0005-0000-0000-0000AF260000}"/>
    <cellStyle name="Standard 6 4 3 2 10 2 2" xfId="21857" xr:uid="{931EA085-8639-4B5E-AA14-21D28FCA249A}"/>
    <cellStyle name="Standard 6 4 3 2 10 3" xfId="21856" xr:uid="{B1FAFA26-BF86-4C82-9FA2-7BD15DBC3B69}"/>
    <cellStyle name="Standard 6 4 3 2 11" xfId="9897" xr:uid="{00000000-0005-0000-0000-0000B0260000}"/>
    <cellStyle name="Standard 6 4 3 2 11 2" xfId="21858" xr:uid="{15830771-90B7-4BF8-B8A0-434744577993}"/>
    <cellStyle name="Standard 6 4 3 2 12" xfId="21855" xr:uid="{EDF4E41A-0D8C-4EA3-9B35-7FDF19E1F17F}"/>
    <cellStyle name="Standard 6 4 3 2 2" xfId="9898" xr:uid="{00000000-0005-0000-0000-0000B1260000}"/>
    <cellStyle name="Standard 6 4 3 2 2 10" xfId="9899" xr:uid="{00000000-0005-0000-0000-0000B2260000}"/>
    <cellStyle name="Standard 6 4 3 2 2 10 2" xfId="21860" xr:uid="{224CD269-2D6A-4CC7-B867-8F22DD78DA92}"/>
    <cellStyle name="Standard 6 4 3 2 2 11" xfId="21859" xr:uid="{8F0DFAEC-D51C-441E-AC3B-86FA1945DF1F}"/>
    <cellStyle name="Standard 6 4 3 2 2 2" xfId="9900" xr:uid="{00000000-0005-0000-0000-0000B3260000}"/>
    <cellStyle name="Standard 6 4 3 2 2 2 10" xfId="21861" xr:uid="{A46EB5A7-631F-445C-A2B9-23A8095E17F3}"/>
    <cellStyle name="Standard 6 4 3 2 2 2 2" xfId="9901" xr:uid="{00000000-0005-0000-0000-0000B4260000}"/>
    <cellStyle name="Standard 6 4 3 2 2 2 2 2" xfId="9902" xr:uid="{00000000-0005-0000-0000-0000B5260000}"/>
    <cellStyle name="Standard 6 4 3 2 2 2 2 2 2" xfId="9903" xr:uid="{00000000-0005-0000-0000-0000B6260000}"/>
    <cellStyle name="Standard 6 4 3 2 2 2 2 2 2 2" xfId="21864" xr:uid="{001B2BE7-B665-4736-A248-569FB3577265}"/>
    <cellStyle name="Standard 6 4 3 2 2 2 2 2 3" xfId="21863" xr:uid="{62D79C2A-911D-4609-8838-1391CA3781DA}"/>
    <cellStyle name="Standard 6 4 3 2 2 2 2 3" xfId="9904" xr:uid="{00000000-0005-0000-0000-0000B7260000}"/>
    <cellStyle name="Standard 6 4 3 2 2 2 2 3 2" xfId="21865" xr:uid="{F07EBACB-D598-496C-BF0B-F52B018AF877}"/>
    <cellStyle name="Standard 6 4 3 2 2 2 2 4" xfId="21862" xr:uid="{94509D5B-DB91-4248-BDBB-7D77CB0FBE55}"/>
    <cellStyle name="Standard 6 4 3 2 2 2 3" xfId="9905" xr:uid="{00000000-0005-0000-0000-0000B8260000}"/>
    <cellStyle name="Standard 6 4 3 2 2 2 3 2" xfId="9906" xr:uid="{00000000-0005-0000-0000-0000B9260000}"/>
    <cellStyle name="Standard 6 4 3 2 2 2 3 2 2" xfId="9907" xr:uid="{00000000-0005-0000-0000-0000BA260000}"/>
    <cellStyle name="Standard 6 4 3 2 2 2 3 2 2 2" xfId="21868" xr:uid="{E48C5BA5-9C0D-4E81-9B50-3669522EC143}"/>
    <cellStyle name="Standard 6 4 3 2 2 2 3 2 3" xfId="21867" xr:uid="{2F9855DA-5AB1-48BA-ADE1-B135DF69C7CA}"/>
    <cellStyle name="Standard 6 4 3 2 2 2 3 3" xfId="9908" xr:uid="{00000000-0005-0000-0000-0000BB260000}"/>
    <cellStyle name="Standard 6 4 3 2 2 2 3 3 2" xfId="21869" xr:uid="{17F87158-D165-40DB-BBD6-9FB8FE5E7048}"/>
    <cellStyle name="Standard 6 4 3 2 2 2 3 4" xfId="21866" xr:uid="{7E7B867B-D868-4A6C-BD80-C97749E7BC06}"/>
    <cellStyle name="Standard 6 4 3 2 2 2 4" xfId="9909" xr:uid="{00000000-0005-0000-0000-0000BC260000}"/>
    <cellStyle name="Standard 6 4 3 2 2 2 4 2" xfId="9910" xr:uid="{00000000-0005-0000-0000-0000BD260000}"/>
    <cellStyle name="Standard 6 4 3 2 2 2 4 2 2" xfId="9911" xr:uid="{00000000-0005-0000-0000-0000BE260000}"/>
    <cellStyle name="Standard 6 4 3 2 2 2 4 2 2 2" xfId="21872" xr:uid="{DFE912D5-C6E5-40BE-8EC3-0B07CEB0A6CA}"/>
    <cellStyle name="Standard 6 4 3 2 2 2 4 2 3" xfId="21871" xr:uid="{188A1FDC-01BC-4966-B291-42205A45D07C}"/>
    <cellStyle name="Standard 6 4 3 2 2 2 4 3" xfId="9912" xr:uid="{00000000-0005-0000-0000-0000BF260000}"/>
    <cellStyle name="Standard 6 4 3 2 2 2 4 3 2" xfId="21873" xr:uid="{A65D65D7-ECC1-42C1-9155-90912B3B03BF}"/>
    <cellStyle name="Standard 6 4 3 2 2 2 4 4" xfId="21870" xr:uid="{B4FA34C6-0C15-4848-B69E-0C4A82A3DBB2}"/>
    <cellStyle name="Standard 6 4 3 2 2 2 5" xfId="9913" xr:uid="{00000000-0005-0000-0000-0000C0260000}"/>
    <cellStyle name="Standard 6 4 3 2 2 2 5 2" xfId="9914" xr:uid="{00000000-0005-0000-0000-0000C1260000}"/>
    <cellStyle name="Standard 6 4 3 2 2 2 5 2 2" xfId="9915" xr:uid="{00000000-0005-0000-0000-0000C2260000}"/>
    <cellStyle name="Standard 6 4 3 2 2 2 5 2 2 2" xfId="21876" xr:uid="{B4D5835E-6767-48D3-8BAE-0E5C5FFEC1A1}"/>
    <cellStyle name="Standard 6 4 3 2 2 2 5 2 3" xfId="21875" xr:uid="{53F72D80-80D1-442E-A555-33A9467C3DF1}"/>
    <cellStyle name="Standard 6 4 3 2 2 2 5 3" xfId="9916" xr:uid="{00000000-0005-0000-0000-0000C3260000}"/>
    <cellStyle name="Standard 6 4 3 2 2 2 5 3 2" xfId="21877" xr:uid="{D4EEA345-D09A-45F9-8A81-924F9A7F3971}"/>
    <cellStyle name="Standard 6 4 3 2 2 2 5 4" xfId="21874" xr:uid="{120450DF-A0AB-4E35-B41E-D298F912DF6A}"/>
    <cellStyle name="Standard 6 4 3 2 2 2 6" xfId="9917" xr:uid="{00000000-0005-0000-0000-0000C4260000}"/>
    <cellStyle name="Standard 6 4 3 2 2 2 6 2" xfId="9918" xr:uid="{00000000-0005-0000-0000-0000C5260000}"/>
    <cellStyle name="Standard 6 4 3 2 2 2 6 2 2" xfId="9919" xr:uid="{00000000-0005-0000-0000-0000C6260000}"/>
    <cellStyle name="Standard 6 4 3 2 2 2 6 2 2 2" xfId="21880" xr:uid="{B010552F-9DEA-4F4A-AA7E-D0CB5589B1A5}"/>
    <cellStyle name="Standard 6 4 3 2 2 2 6 2 3" xfId="21879" xr:uid="{5F200E0A-4544-4340-9CA6-ADC0338DE6DA}"/>
    <cellStyle name="Standard 6 4 3 2 2 2 6 3" xfId="9920" xr:uid="{00000000-0005-0000-0000-0000C7260000}"/>
    <cellStyle name="Standard 6 4 3 2 2 2 6 3 2" xfId="21881" xr:uid="{46112378-A061-43C8-BEAE-98D5B36FAB38}"/>
    <cellStyle name="Standard 6 4 3 2 2 2 6 4" xfId="21878" xr:uid="{059D889C-8393-4FBB-AD1E-0194E6FDA2B6}"/>
    <cellStyle name="Standard 6 4 3 2 2 2 7" xfId="9921" xr:uid="{00000000-0005-0000-0000-0000C8260000}"/>
    <cellStyle name="Standard 6 4 3 2 2 2 7 2" xfId="9922" xr:uid="{00000000-0005-0000-0000-0000C9260000}"/>
    <cellStyle name="Standard 6 4 3 2 2 2 7 2 2" xfId="9923" xr:uid="{00000000-0005-0000-0000-0000CA260000}"/>
    <cellStyle name="Standard 6 4 3 2 2 2 7 2 2 2" xfId="21884" xr:uid="{5DBA4D60-E709-4455-9F2D-75B601398909}"/>
    <cellStyle name="Standard 6 4 3 2 2 2 7 2 3" xfId="21883" xr:uid="{88BBFF97-7098-417A-937F-A7A9B52D51A5}"/>
    <cellStyle name="Standard 6 4 3 2 2 2 7 3" xfId="9924" xr:uid="{00000000-0005-0000-0000-0000CB260000}"/>
    <cellStyle name="Standard 6 4 3 2 2 2 7 3 2" xfId="21885" xr:uid="{A6825F75-6B9A-4A41-9741-49AD71C49850}"/>
    <cellStyle name="Standard 6 4 3 2 2 2 7 4" xfId="21882" xr:uid="{F2A40916-316F-4C2D-A844-E1F002A9A0BC}"/>
    <cellStyle name="Standard 6 4 3 2 2 2 8" xfId="9925" xr:uid="{00000000-0005-0000-0000-0000CC260000}"/>
    <cellStyle name="Standard 6 4 3 2 2 2 8 2" xfId="9926" xr:uid="{00000000-0005-0000-0000-0000CD260000}"/>
    <cellStyle name="Standard 6 4 3 2 2 2 8 2 2" xfId="21887" xr:uid="{71DFD34E-9DC3-461F-BCE4-470B51D861A8}"/>
    <cellStyle name="Standard 6 4 3 2 2 2 8 3" xfId="21886" xr:uid="{693630FD-5E04-4FEC-8513-CD54ED72268C}"/>
    <cellStyle name="Standard 6 4 3 2 2 2 9" xfId="9927" xr:uid="{00000000-0005-0000-0000-0000CE260000}"/>
    <cellStyle name="Standard 6 4 3 2 2 2 9 2" xfId="21888" xr:uid="{35AFF4B4-3174-4B46-8209-0589E41F0070}"/>
    <cellStyle name="Standard 6 4 3 2 2 3" xfId="9928" xr:uid="{00000000-0005-0000-0000-0000CF260000}"/>
    <cellStyle name="Standard 6 4 3 2 2 3 2" xfId="9929" xr:uid="{00000000-0005-0000-0000-0000D0260000}"/>
    <cellStyle name="Standard 6 4 3 2 2 3 2 2" xfId="9930" xr:uid="{00000000-0005-0000-0000-0000D1260000}"/>
    <cellStyle name="Standard 6 4 3 2 2 3 2 2 2" xfId="21891" xr:uid="{A928063A-FFED-460D-8D19-DD1E4B284E63}"/>
    <cellStyle name="Standard 6 4 3 2 2 3 2 3" xfId="21890" xr:uid="{9E69E122-85BC-4D2B-949A-33B63AEB5920}"/>
    <cellStyle name="Standard 6 4 3 2 2 3 3" xfId="9931" xr:uid="{00000000-0005-0000-0000-0000D2260000}"/>
    <cellStyle name="Standard 6 4 3 2 2 3 3 2" xfId="21892" xr:uid="{2EC2121F-8480-4E65-897B-1E9DAE205AD1}"/>
    <cellStyle name="Standard 6 4 3 2 2 3 4" xfId="21889" xr:uid="{6836562D-2269-4E27-AFB7-582313B2AC29}"/>
    <cellStyle name="Standard 6 4 3 2 2 4" xfId="9932" xr:uid="{00000000-0005-0000-0000-0000D3260000}"/>
    <cellStyle name="Standard 6 4 3 2 2 4 2" xfId="9933" xr:uid="{00000000-0005-0000-0000-0000D4260000}"/>
    <cellStyle name="Standard 6 4 3 2 2 4 2 2" xfId="9934" xr:uid="{00000000-0005-0000-0000-0000D5260000}"/>
    <cellStyle name="Standard 6 4 3 2 2 4 2 2 2" xfId="21895" xr:uid="{638BC0C1-B011-4A91-8E42-315154DA0411}"/>
    <cellStyle name="Standard 6 4 3 2 2 4 2 3" xfId="21894" xr:uid="{FE7F2363-BA47-49D4-9E66-AA8F0D9A654D}"/>
    <cellStyle name="Standard 6 4 3 2 2 4 3" xfId="9935" xr:uid="{00000000-0005-0000-0000-0000D6260000}"/>
    <cellStyle name="Standard 6 4 3 2 2 4 3 2" xfId="21896" xr:uid="{FDCEC44D-FB0A-4C4F-97CD-038417E54386}"/>
    <cellStyle name="Standard 6 4 3 2 2 4 4" xfId="21893" xr:uid="{38E06D6C-AE9D-421A-8B66-7017BD9C9776}"/>
    <cellStyle name="Standard 6 4 3 2 2 5" xfId="9936" xr:uid="{00000000-0005-0000-0000-0000D7260000}"/>
    <cellStyle name="Standard 6 4 3 2 2 5 2" xfId="9937" xr:uid="{00000000-0005-0000-0000-0000D8260000}"/>
    <cellStyle name="Standard 6 4 3 2 2 5 2 2" xfId="9938" xr:uid="{00000000-0005-0000-0000-0000D9260000}"/>
    <cellStyle name="Standard 6 4 3 2 2 5 2 2 2" xfId="21899" xr:uid="{4D5B91F2-991A-45D7-98D7-C21FA405A895}"/>
    <cellStyle name="Standard 6 4 3 2 2 5 2 3" xfId="21898" xr:uid="{5930E307-1878-4431-B755-4469AFEBF580}"/>
    <cellStyle name="Standard 6 4 3 2 2 5 3" xfId="9939" xr:uid="{00000000-0005-0000-0000-0000DA260000}"/>
    <cellStyle name="Standard 6 4 3 2 2 5 3 2" xfId="21900" xr:uid="{57447203-25FC-40D2-B82C-8FE992158DEB}"/>
    <cellStyle name="Standard 6 4 3 2 2 5 4" xfId="21897" xr:uid="{CD380A4F-B2CE-44DA-A807-3480B07DA7D6}"/>
    <cellStyle name="Standard 6 4 3 2 2 6" xfId="9940" xr:uid="{00000000-0005-0000-0000-0000DB260000}"/>
    <cellStyle name="Standard 6 4 3 2 2 6 2" xfId="9941" xr:uid="{00000000-0005-0000-0000-0000DC260000}"/>
    <cellStyle name="Standard 6 4 3 2 2 6 2 2" xfId="9942" xr:uid="{00000000-0005-0000-0000-0000DD260000}"/>
    <cellStyle name="Standard 6 4 3 2 2 6 2 2 2" xfId="21903" xr:uid="{E8628A03-844B-449D-94BB-B8F072E3757C}"/>
    <cellStyle name="Standard 6 4 3 2 2 6 2 3" xfId="21902" xr:uid="{5B92EDC9-5B2B-4391-9C64-8F3C92BA58BD}"/>
    <cellStyle name="Standard 6 4 3 2 2 6 3" xfId="9943" xr:uid="{00000000-0005-0000-0000-0000DE260000}"/>
    <cellStyle name="Standard 6 4 3 2 2 6 3 2" xfId="21904" xr:uid="{1E2D0FCD-A734-4B5A-A54C-199FF0411894}"/>
    <cellStyle name="Standard 6 4 3 2 2 6 4" xfId="21901" xr:uid="{41E7E733-A84F-4AD5-85D9-C02CD672198C}"/>
    <cellStyle name="Standard 6 4 3 2 2 7" xfId="9944" xr:uid="{00000000-0005-0000-0000-0000DF260000}"/>
    <cellStyle name="Standard 6 4 3 2 2 7 2" xfId="9945" xr:uid="{00000000-0005-0000-0000-0000E0260000}"/>
    <cellStyle name="Standard 6 4 3 2 2 7 2 2" xfId="9946" xr:uid="{00000000-0005-0000-0000-0000E1260000}"/>
    <cellStyle name="Standard 6 4 3 2 2 7 2 2 2" xfId="21907" xr:uid="{4B4E3F31-B621-4F6D-AB92-5649A4711830}"/>
    <cellStyle name="Standard 6 4 3 2 2 7 2 3" xfId="21906" xr:uid="{7576F8E2-CE18-4ED8-AECF-834C54104B0B}"/>
    <cellStyle name="Standard 6 4 3 2 2 7 3" xfId="9947" xr:uid="{00000000-0005-0000-0000-0000E2260000}"/>
    <cellStyle name="Standard 6 4 3 2 2 7 3 2" xfId="21908" xr:uid="{45780AF0-B478-4607-B5D1-9677CAF7C1BE}"/>
    <cellStyle name="Standard 6 4 3 2 2 7 4" xfId="21905" xr:uid="{62053904-438A-46D2-A328-AA565C0F5182}"/>
    <cellStyle name="Standard 6 4 3 2 2 8" xfId="9948" xr:uid="{00000000-0005-0000-0000-0000E3260000}"/>
    <cellStyle name="Standard 6 4 3 2 2 8 2" xfId="9949" xr:uid="{00000000-0005-0000-0000-0000E4260000}"/>
    <cellStyle name="Standard 6 4 3 2 2 8 2 2" xfId="9950" xr:uid="{00000000-0005-0000-0000-0000E5260000}"/>
    <cellStyle name="Standard 6 4 3 2 2 8 2 2 2" xfId="21911" xr:uid="{6ACB83C0-2FA5-4A6F-B1B6-66101993EB9A}"/>
    <cellStyle name="Standard 6 4 3 2 2 8 2 3" xfId="21910" xr:uid="{BE9858A2-3C42-476B-97EA-D68383725BD2}"/>
    <cellStyle name="Standard 6 4 3 2 2 8 3" xfId="9951" xr:uid="{00000000-0005-0000-0000-0000E6260000}"/>
    <cellStyle name="Standard 6 4 3 2 2 8 3 2" xfId="21912" xr:uid="{1DE96C9E-886D-4A05-9BD4-FB6959B0F2E5}"/>
    <cellStyle name="Standard 6 4 3 2 2 8 4" xfId="21909" xr:uid="{6A9F89F9-68B8-4B7F-A4CB-07BE19D5B34C}"/>
    <cellStyle name="Standard 6 4 3 2 2 9" xfId="9952" xr:uid="{00000000-0005-0000-0000-0000E7260000}"/>
    <cellStyle name="Standard 6 4 3 2 2 9 2" xfId="9953" xr:uid="{00000000-0005-0000-0000-0000E8260000}"/>
    <cellStyle name="Standard 6 4 3 2 2 9 2 2" xfId="21914" xr:uid="{87AB1379-2DCD-4443-B54E-47F2FEB0D3B6}"/>
    <cellStyle name="Standard 6 4 3 2 2 9 3" xfId="21913" xr:uid="{29A3A51D-9FC5-4888-9DB1-D209947CF113}"/>
    <cellStyle name="Standard 6 4 3 2 3" xfId="9954" xr:uid="{00000000-0005-0000-0000-0000E9260000}"/>
    <cellStyle name="Standard 6 4 3 2 3 10" xfId="21915" xr:uid="{BCA22B20-AF88-4175-A329-D77BE43FD8B8}"/>
    <cellStyle name="Standard 6 4 3 2 3 2" xfId="9955" xr:uid="{00000000-0005-0000-0000-0000EA260000}"/>
    <cellStyle name="Standard 6 4 3 2 3 2 2" xfId="9956" xr:uid="{00000000-0005-0000-0000-0000EB260000}"/>
    <cellStyle name="Standard 6 4 3 2 3 2 2 2" xfId="9957" xr:uid="{00000000-0005-0000-0000-0000EC260000}"/>
    <cellStyle name="Standard 6 4 3 2 3 2 2 2 2" xfId="21918" xr:uid="{1089AFEB-AB6E-45F5-BBCE-B80F69DCA594}"/>
    <cellStyle name="Standard 6 4 3 2 3 2 2 3" xfId="21917" xr:uid="{F9673E1F-98BC-49E0-ACA3-65AAE7C0EE0A}"/>
    <cellStyle name="Standard 6 4 3 2 3 2 3" xfId="9958" xr:uid="{00000000-0005-0000-0000-0000ED260000}"/>
    <cellStyle name="Standard 6 4 3 2 3 2 3 2" xfId="21919" xr:uid="{0FC87B19-F36E-4B2E-B37E-0989E5CEB534}"/>
    <cellStyle name="Standard 6 4 3 2 3 2 4" xfId="21916" xr:uid="{A9D3859B-A0AE-4F69-B6B1-9598B6B16796}"/>
    <cellStyle name="Standard 6 4 3 2 3 3" xfId="9959" xr:uid="{00000000-0005-0000-0000-0000EE260000}"/>
    <cellStyle name="Standard 6 4 3 2 3 3 2" xfId="9960" xr:uid="{00000000-0005-0000-0000-0000EF260000}"/>
    <cellStyle name="Standard 6 4 3 2 3 3 2 2" xfId="9961" xr:uid="{00000000-0005-0000-0000-0000F0260000}"/>
    <cellStyle name="Standard 6 4 3 2 3 3 2 2 2" xfId="21922" xr:uid="{8EA3106E-372D-4B17-93DC-B43C9CD18A79}"/>
    <cellStyle name="Standard 6 4 3 2 3 3 2 3" xfId="21921" xr:uid="{CD0DD911-2301-4468-9CAF-5914373F0488}"/>
    <cellStyle name="Standard 6 4 3 2 3 3 3" xfId="9962" xr:uid="{00000000-0005-0000-0000-0000F1260000}"/>
    <cellStyle name="Standard 6 4 3 2 3 3 3 2" xfId="21923" xr:uid="{DB58427E-6352-4B59-80EB-B7941244BBC6}"/>
    <cellStyle name="Standard 6 4 3 2 3 3 4" xfId="21920" xr:uid="{F709925D-C18D-44BA-94F3-F9EA8096EF08}"/>
    <cellStyle name="Standard 6 4 3 2 3 4" xfId="9963" xr:uid="{00000000-0005-0000-0000-0000F2260000}"/>
    <cellStyle name="Standard 6 4 3 2 3 4 2" xfId="9964" xr:uid="{00000000-0005-0000-0000-0000F3260000}"/>
    <cellStyle name="Standard 6 4 3 2 3 4 2 2" xfId="9965" xr:uid="{00000000-0005-0000-0000-0000F4260000}"/>
    <cellStyle name="Standard 6 4 3 2 3 4 2 2 2" xfId="21926" xr:uid="{9B751719-9691-468B-A0B3-D6D9C4B65E42}"/>
    <cellStyle name="Standard 6 4 3 2 3 4 2 3" xfId="21925" xr:uid="{B8C9FECB-6968-488A-9B4E-266A25F0BA2F}"/>
    <cellStyle name="Standard 6 4 3 2 3 4 3" xfId="9966" xr:uid="{00000000-0005-0000-0000-0000F5260000}"/>
    <cellStyle name="Standard 6 4 3 2 3 4 3 2" xfId="21927" xr:uid="{7DF744E2-0F3B-4113-8C62-E540B215D92B}"/>
    <cellStyle name="Standard 6 4 3 2 3 4 4" xfId="21924" xr:uid="{EE95E9D8-81B7-48CC-BB75-59D336AD94F4}"/>
    <cellStyle name="Standard 6 4 3 2 3 5" xfId="9967" xr:uid="{00000000-0005-0000-0000-0000F6260000}"/>
    <cellStyle name="Standard 6 4 3 2 3 5 2" xfId="9968" xr:uid="{00000000-0005-0000-0000-0000F7260000}"/>
    <cellStyle name="Standard 6 4 3 2 3 5 2 2" xfId="9969" xr:uid="{00000000-0005-0000-0000-0000F8260000}"/>
    <cellStyle name="Standard 6 4 3 2 3 5 2 2 2" xfId="21930" xr:uid="{D2388F9A-FD0C-4D49-9EC3-86D750B34084}"/>
    <cellStyle name="Standard 6 4 3 2 3 5 2 3" xfId="21929" xr:uid="{DE1DF1DC-2A57-4387-98C4-DE6EA2E669E1}"/>
    <cellStyle name="Standard 6 4 3 2 3 5 3" xfId="9970" xr:uid="{00000000-0005-0000-0000-0000F9260000}"/>
    <cellStyle name="Standard 6 4 3 2 3 5 3 2" xfId="21931" xr:uid="{DCA3759F-DC9A-4769-9BB3-2BC31A623821}"/>
    <cellStyle name="Standard 6 4 3 2 3 5 4" xfId="21928" xr:uid="{03658FF5-EDFD-4EAD-983A-CB11067EB5FF}"/>
    <cellStyle name="Standard 6 4 3 2 3 6" xfId="9971" xr:uid="{00000000-0005-0000-0000-0000FA260000}"/>
    <cellStyle name="Standard 6 4 3 2 3 6 2" xfId="9972" xr:uid="{00000000-0005-0000-0000-0000FB260000}"/>
    <cellStyle name="Standard 6 4 3 2 3 6 2 2" xfId="9973" xr:uid="{00000000-0005-0000-0000-0000FC260000}"/>
    <cellStyle name="Standard 6 4 3 2 3 6 2 2 2" xfId="21934" xr:uid="{8522A506-E9A5-4D3E-A6BF-41FFAF6BA5B4}"/>
    <cellStyle name="Standard 6 4 3 2 3 6 2 3" xfId="21933" xr:uid="{A8DF615C-6D96-4753-B744-01465FEEA958}"/>
    <cellStyle name="Standard 6 4 3 2 3 6 3" xfId="9974" xr:uid="{00000000-0005-0000-0000-0000FD260000}"/>
    <cellStyle name="Standard 6 4 3 2 3 6 3 2" xfId="21935" xr:uid="{973E78A1-80C0-4425-A558-A4D2563241E2}"/>
    <cellStyle name="Standard 6 4 3 2 3 6 4" xfId="21932" xr:uid="{4C32BF82-2C66-4376-A62E-FE7B4C61E972}"/>
    <cellStyle name="Standard 6 4 3 2 3 7" xfId="9975" xr:uid="{00000000-0005-0000-0000-0000FE260000}"/>
    <cellStyle name="Standard 6 4 3 2 3 7 2" xfId="9976" xr:uid="{00000000-0005-0000-0000-0000FF260000}"/>
    <cellStyle name="Standard 6 4 3 2 3 7 2 2" xfId="9977" xr:uid="{00000000-0005-0000-0000-000000270000}"/>
    <cellStyle name="Standard 6 4 3 2 3 7 2 2 2" xfId="21938" xr:uid="{46CC9057-C2E6-4520-9EF6-D1C13E374509}"/>
    <cellStyle name="Standard 6 4 3 2 3 7 2 3" xfId="21937" xr:uid="{476627F7-F6FD-434C-9707-772C38E009B5}"/>
    <cellStyle name="Standard 6 4 3 2 3 7 3" xfId="9978" xr:uid="{00000000-0005-0000-0000-000001270000}"/>
    <cellStyle name="Standard 6 4 3 2 3 7 3 2" xfId="21939" xr:uid="{1914624D-F017-4FD2-A83E-DFD710EB5FFB}"/>
    <cellStyle name="Standard 6 4 3 2 3 7 4" xfId="21936" xr:uid="{4DABB550-2FCF-4E35-A630-0FEF9A4C27C3}"/>
    <cellStyle name="Standard 6 4 3 2 3 8" xfId="9979" xr:uid="{00000000-0005-0000-0000-000002270000}"/>
    <cellStyle name="Standard 6 4 3 2 3 8 2" xfId="9980" xr:uid="{00000000-0005-0000-0000-000003270000}"/>
    <cellStyle name="Standard 6 4 3 2 3 8 2 2" xfId="21941" xr:uid="{A3514CE8-E446-444A-B65E-22E16DE4B769}"/>
    <cellStyle name="Standard 6 4 3 2 3 8 3" xfId="21940" xr:uid="{190E0DAF-A7B1-49E9-86FA-A27DC77B3270}"/>
    <cellStyle name="Standard 6 4 3 2 3 9" xfId="9981" xr:uid="{00000000-0005-0000-0000-000004270000}"/>
    <cellStyle name="Standard 6 4 3 2 3 9 2" xfId="21942" xr:uid="{CA5367BD-E7DE-4F10-AC10-7C98F866EC6C}"/>
    <cellStyle name="Standard 6 4 3 2 4" xfId="9982" xr:uid="{00000000-0005-0000-0000-000005270000}"/>
    <cellStyle name="Standard 6 4 3 2 4 2" xfId="9983" xr:uid="{00000000-0005-0000-0000-000006270000}"/>
    <cellStyle name="Standard 6 4 3 2 4 2 2" xfId="9984" xr:uid="{00000000-0005-0000-0000-000007270000}"/>
    <cellStyle name="Standard 6 4 3 2 4 2 2 2" xfId="21945" xr:uid="{71897B3B-E084-427E-83A9-375B0827EBC4}"/>
    <cellStyle name="Standard 6 4 3 2 4 2 3" xfId="21944" xr:uid="{C0B75439-5FEF-43FA-AED1-9E7E9D66FC64}"/>
    <cellStyle name="Standard 6 4 3 2 4 3" xfId="9985" xr:uid="{00000000-0005-0000-0000-000008270000}"/>
    <cellStyle name="Standard 6 4 3 2 4 3 2" xfId="21946" xr:uid="{43E48F2A-B17D-46EE-AF9A-11EF3E7CF0B8}"/>
    <cellStyle name="Standard 6 4 3 2 4 4" xfId="21943" xr:uid="{35325885-B0C6-4672-A680-50D942A7F6D7}"/>
    <cellStyle name="Standard 6 4 3 2 5" xfId="9986" xr:uid="{00000000-0005-0000-0000-000009270000}"/>
    <cellStyle name="Standard 6 4 3 2 5 2" xfId="9987" xr:uid="{00000000-0005-0000-0000-00000A270000}"/>
    <cellStyle name="Standard 6 4 3 2 5 2 2" xfId="9988" xr:uid="{00000000-0005-0000-0000-00000B270000}"/>
    <cellStyle name="Standard 6 4 3 2 5 2 2 2" xfId="21949" xr:uid="{0E5E9537-AEBE-4897-8377-B4A2969B94E9}"/>
    <cellStyle name="Standard 6 4 3 2 5 2 3" xfId="21948" xr:uid="{48AE0664-4621-4AD0-839A-632C5526EDF8}"/>
    <cellStyle name="Standard 6 4 3 2 5 3" xfId="9989" xr:uid="{00000000-0005-0000-0000-00000C270000}"/>
    <cellStyle name="Standard 6 4 3 2 5 3 2" xfId="21950" xr:uid="{A5E7D59E-548E-49BA-A854-A1CBFD512715}"/>
    <cellStyle name="Standard 6 4 3 2 5 4" xfId="21947" xr:uid="{5EF87A0D-1566-444C-A024-543B4BC82A01}"/>
    <cellStyle name="Standard 6 4 3 2 6" xfId="9990" xr:uid="{00000000-0005-0000-0000-00000D270000}"/>
    <cellStyle name="Standard 6 4 3 2 6 2" xfId="9991" xr:uid="{00000000-0005-0000-0000-00000E270000}"/>
    <cellStyle name="Standard 6 4 3 2 6 2 2" xfId="9992" xr:uid="{00000000-0005-0000-0000-00000F270000}"/>
    <cellStyle name="Standard 6 4 3 2 6 2 2 2" xfId="21953" xr:uid="{A812CBE6-861C-4481-8991-9E8363541D46}"/>
    <cellStyle name="Standard 6 4 3 2 6 2 3" xfId="21952" xr:uid="{6BEBDB2D-76FF-47F5-A35D-FF56FC20EC89}"/>
    <cellStyle name="Standard 6 4 3 2 6 3" xfId="9993" xr:uid="{00000000-0005-0000-0000-000010270000}"/>
    <cellStyle name="Standard 6 4 3 2 6 3 2" xfId="21954" xr:uid="{32E30176-3A01-432F-9043-D53E193685BA}"/>
    <cellStyle name="Standard 6 4 3 2 6 4" xfId="21951" xr:uid="{DE74FA8E-870D-4296-A1AC-E3A0ED1EA58C}"/>
    <cellStyle name="Standard 6 4 3 2 7" xfId="9994" xr:uid="{00000000-0005-0000-0000-000011270000}"/>
    <cellStyle name="Standard 6 4 3 2 7 2" xfId="9995" xr:uid="{00000000-0005-0000-0000-000012270000}"/>
    <cellStyle name="Standard 6 4 3 2 7 2 2" xfId="9996" xr:uid="{00000000-0005-0000-0000-000013270000}"/>
    <cellStyle name="Standard 6 4 3 2 7 2 2 2" xfId="21957" xr:uid="{2683E95B-4312-4EBA-8586-5AFB0A787D0D}"/>
    <cellStyle name="Standard 6 4 3 2 7 2 3" xfId="21956" xr:uid="{F5D5D8B7-D29D-4515-9372-4D125AA62625}"/>
    <cellStyle name="Standard 6 4 3 2 7 3" xfId="9997" xr:uid="{00000000-0005-0000-0000-000014270000}"/>
    <cellStyle name="Standard 6 4 3 2 7 3 2" xfId="21958" xr:uid="{DC7E773E-F3B1-4F58-8B4B-B59EA2BEA7E1}"/>
    <cellStyle name="Standard 6 4 3 2 7 4" xfId="21955" xr:uid="{B8E4AED5-ACAE-44E0-B6DA-94B236D0E1E9}"/>
    <cellStyle name="Standard 6 4 3 2 8" xfId="9998" xr:uid="{00000000-0005-0000-0000-000015270000}"/>
    <cellStyle name="Standard 6 4 3 2 8 2" xfId="9999" xr:uid="{00000000-0005-0000-0000-000016270000}"/>
    <cellStyle name="Standard 6 4 3 2 8 2 2" xfId="10000" xr:uid="{00000000-0005-0000-0000-000017270000}"/>
    <cellStyle name="Standard 6 4 3 2 8 2 2 2" xfId="21961" xr:uid="{275F69D8-60D7-4DF0-B18C-5AC2FD4606A8}"/>
    <cellStyle name="Standard 6 4 3 2 8 2 3" xfId="21960" xr:uid="{219D6914-718A-4AA8-961B-9379338E0AAA}"/>
    <cellStyle name="Standard 6 4 3 2 8 3" xfId="10001" xr:uid="{00000000-0005-0000-0000-000018270000}"/>
    <cellStyle name="Standard 6 4 3 2 8 3 2" xfId="21962" xr:uid="{CFBA65C8-8167-42C2-9026-95F020990D61}"/>
    <cellStyle name="Standard 6 4 3 2 8 4" xfId="21959" xr:uid="{B66E19A5-94CB-4DA2-A369-7DDE166FA274}"/>
    <cellStyle name="Standard 6 4 3 2 9" xfId="10002" xr:uid="{00000000-0005-0000-0000-000019270000}"/>
    <cellStyle name="Standard 6 4 3 2 9 2" xfId="10003" xr:uid="{00000000-0005-0000-0000-00001A270000}"/>
    <cellStyle name="Standard 6 4 3 2 9 2 2" xfId="10004" xr:uid="{00000000-0005-0000-0000-00001B270000}"/>
    <cellStyle name="Standard 6 4 3 2 9 2 2 2" xfId="21965" xr:uid="{C6C294DB-0D92-4A98-ABA9-9A6D3114C894}"/>
    <cellStyle name="Standard 6 4 3 2 9 2 3" xfId="21964" xr:uid="{11950A04-410A-4671-BE31-E0FCA9DE0585}"/>
    <cellStyle name="Standard 6 4 3 2 9 3" xfId="10005" xr:uid="{00000000-0005-0000-0000-00001C270000}"/>
    <cellStyle name="Standard 6 4 3 2 9 3 2" xfId="21966" xr:uid="{B9E5E784-8A3D-46DE-9706-D319771A1CC9}"/>
    <cellStyle name="Standard 6 4 3 2 9 4" xfId="21963" xr:uid="{C20A5070-8F27-457D-80DF-825017EC36F2}"/>
    <cellStyle name="Standard 6 4 3 20" xfId="10006" xr:uid="{00000000-0005-0000-0000-00001D270000}"/>
    <cellStyle name="Standard 6 4 3 20 2" xfId="10007" xr:uid="{00000000-0005-0000-0000-00001E270000}"/>
    <cellStyle name="Standard 6 4 3 20 2 2" xfId="21968" xr:uid="{D4BF2212-8131-4A49-9451-D137A3807BB4}"/>
    <cellStyle name="Standard 6 4 3 20 3" xfId="21967" xr:uid="{E5CBBF1C-656C-43D0-A6A7-615AFAB06EF0}"/>
    <cellStyle name="Standard 6 4 3 21" xfId="10008" xr:uid="{00000000-0005-0000-0000-00001F270000}"/>
    <cellStyle name="Standard 6 4 3 21 2" xfId="21969" xr:uid="{EE961118-8B2D-4429-A868-433D17ACF4DA}"/>
    <cellStyle name="Standard 6 4 3 22" xfId="10009" xr:uid="{00000000-0005-0000-0000-000020270000}"/>
    <cellStyle name="Standard 6 4 3 22 2" xfId="21970" xr:uid="{357B2224-1462-47A0-B564-8C8EA4F6A462}"/>
    <cellStyle name="Standard 6 4 3 23" xfId="21814" xr:uid="{717CF9F3-1F34-4F80-9903-91BDB6E4B3B8}"/>
    <cellStyle name="Standard 6 4 3 3" xfId="10010" xr:uid="{00000000-0005-0000-0000-000021270000}"/>
    <cellStyle name="Standard 6 4 3 3 10" xfId="10011" xr:uid="{00000000-0005-0000-0000-000022270000}"/>
    <cellStyle name="Standard 6 4 3 3 10 2" xfId="21972" xr:uid="{1C503608-FDC0-40F6-B0E4-13FC3CA72181}"/>
    <cellStyle name="Standard 6 4 3 3 11" xfId="21971" xr:uid="{1D49D183-7631-4F8A-B60C-B358EA5342B5}"/>
    <cellStyle name="Standard 6 4 3 3 2" xfId="10012" xr:uid="{00000000-0005-0000-0000-000023270000}"/>
    <cellStyle name="Standard 6 4 3 3 2 10" xfId="21973" xr:uid="{B601E753-9387-45F9-95C2-9E9CE824613A}"/>
    <cellStyle name="Standard 6 4 3 3 2 2" xfId="10013" xr:uid="{00000000-0005-0000-0000-000024270000}"/>
    <cellStyle name="Standard 6 4 3 3 2 2 2" xfId="10014" xr:uid="{00000000-0005-0000-0000-000025270000}"/>
    <cellStyle name="Standard 6 4 3 3 2 2 2 2" xfId="10015" xr:uid="{00000000-0005-0000-0000-000026270000}"/>
    <cellStyle name="Standard 6 4 3 3 2 2 2 2 2" xfId="21976" xr:uid="{2C079C19-66AA-4E81-8784-5D34AE3DE82D}"/>
    <cellStyle name="Standard 6 4 3 3 2 2 2 3" xfId="21975" xr:uid="{721BC1E2-1A88-4D71-97FC-40C40BC574BB}"/>
    <cellStyle name="Standard 6 4 3 3 2 2 3" xfId="10016" xr:uid="{00000000-0005-0000-0000-000027270000}"/>
    <cellStyle name="Standard 6 4 3 3 2 2 3 2" xfId="21977" xr:uid="{5EC3BE9D-1F42-400F-B757-298632E65CB0}"/>
    <cellStyle name="Standard 6 4 3 3 2 2 4" xfId="21974" xr:uid="{5807481B-DD25-4906-B993-C4875D003A9B}"/>
    <cellStyle name="Standard 6 4 3 3 2 3" xfId="10017" xr:uid="{00000000-0005-0000-0000-000028270000}"/>
    <cellStyle name="Standard 6 4 3 3 2 3 2" xfId="10018" xr:uid="{00000000-0005-0000-0000-000029270000}"/>
    <cellStyle name="Standard 6 4 3 3 2 3 2 2" xfId="10019" xr:uid="{00000000-0005-0000-0000-00002A270000}"/>
    <cellStyle name="Standard 6 4 3 3 2 3 2 2 2" xfId="21980" xr:uid="{B2EFDB5F-23CD-48D0-914D-325238C29112}"/>
    <cellStyle name="Standard 6 4 3 3 2 3 2 3" xfId="21979" xr:uid="{B851542E-9C10-42DB-B357-E739DB28E33F}"/>
    <cellStyle name="Standard 6 4 3 3 2 3 3" xfId="10020" xr:uid="{00000000-0005-0000-0000-00002B270000}"/>
    <cellStyle name="Standard 6 4 3 3 2 3 3 2" xfId="21981" xr:uid="{A91F9EF5-9A32-4D9A-BD2B-8F4C571EF767}"/>
    <cellStyle name="Standard 6 4 3 3 2 3 4" xfId="21978" xr:uid="{1D788A5B-7862-4CB8-9DF4-AEF79415A004}"/>
    <cellStyle name="Standard 6 4 3 3 2 4" xfId="10021" xr:uid="{00000000-0005-0000-0000-00002C270000}"/>
    <cellStyle name="Standard 6 4 3 3 2 4 2" xfId="10022" xr:uid="{00000000-0005-0000-0000-00002D270000}"/>
    <cellStyle name="Standard 6 4 3 3 2 4 2 2" xfId="10023" xr:uid="{00000000-0005-0000-0000-00002E270000}"/>
    <cellStyle name="Standard 6 4 3 3 2 4 2 2 2" xfId="21984" xr:uid="{D688B2BF-5201-4774-9108-16F85A2CB282}"/>
    <cellStyle name="Standard 6 4 3 3 2 4 2 3" xfId="21983" xr:uid="{6EC77421-41BA-4F21-A93C-7AFE2D572E7A}"/>
    <cellStyle name="Standard 6 4 3 3 2 4 3" xfId="10024" xr:uid="{00000000-0005-0000-0000-00002F270000}"/>
    <cellStyle name="Standard 6 4 3 3 2 4 3 2" xfId="21985" xr:uid="{A42760C8-129B-4E0C-B4C9-4E0CE09774F5}"/>
    <cellStyle name="Standard 6 4 3 3 2 4 4" xfId="21982" xr:uid="{34F9B911-D62F-4B94-A849-CAD315E65B38}"/>
    <cellStyle name="Standard 6 4 3 3 2 5" xfId="10025" xr:uid="{00000000-0005-0000-0000-000030270000}"/>
    <cellStyle name="Standard 6 4 3 3 2 5 2" xfId="10026" xr:uid="{00000000-0005-0000-0000-000031270000}"/>
    <cellStyle name="Standard 6 4 3 3 2 5 2 2" xfId="10027" xr:uid="{00000000-0005-0000-0000-000032270000}"/>
    <cellStyle name="Standard 6 4 3 3 2 5 2 2 2" xfId="21988" xr:uid="{36BF0200-E62C-4330-B8E9-ADF6DCDA9924}"/>
    <cellStyle name="Standard 6 4 3 3 2 5 2 3" xfId="21987" xr:uid="{1039A8F5-A47B-485D-939B-E50E967C6321}"/>
    <cellStyle name="Standard 6 4 3 3 2 5 3" xfId="10028" xr:uid="{00000000-0005-0000-0000-000033270000}"/>
    <cellStyle name="Standard 6 4 3 3 2 5 3 2" xfId="21989" xr:uid="{200E5392-04AE-4323-BB2C-63C402A95417}"/>
    <cellStyle name="Standard 6 4 3 3 2 5 4" xfId="21986" xr:uid="{697E001A-42D7-4B83-A6FF-457C550534C6}"/>
    <cellStyle name="Standard 6 4 3 3 2 6" xfId="10029" xr:uid="{00000000-0005-0000-0000-000034270000}"/>
    <cellStyle name="Standard 6 4 3 3 2 6 2" xfId="10030" xr:uid="{00000000-0005-0000-0000-000035270000}"/>
    <cellStyle name="Standard 6 4 3 3 2 6 2 2" xfId="10031" xr:uid="{00000000-0005-0000-0000-000036270000}"/>
    <cellStyle name="Standard 6 4 3 3 2 6 2 2 2" xfId="21992" xr:uid="{0B4ECD12-DA73-4F86-B9ED-7895BE810CE9}"/>
    <cellStyle name="Standard 6 4 3 3 2 6 2 3" xfId="21991" xr:uid="{DFAB30B5-B186-4D6C-8E47-C499F9C8917D}"/>
    <cellStyle name="Standard 6 4 3 3 2 6 3" xfId="10032" xr:uid="{00000000-0005-0000-0000-000037270000}"/>
    <cellStyle name="Standard 6 4 3 3 2 6 3 2" xfId="21993" xr:uid="{88DE301C-1FE4-45F6-A12A-267575935536}"/>
    <cellStyle name="Standard 6 4 3 3 2 6 4" xfId="21990" xr:uid="{6B8B83AB-FA97-4240-B37D-3AD5AC1900EB}"/>
    <cellStyle name="Standard 6 4 3 3 2 7" xfId="10033" xr:uid="{00000000-0005-0000-0000-000038270000}"/>
    <cellStyle name="Standard 6 4 3 3 2 7 2" xfId="10034" xr:uid="{00000000-0005-0000-0000-000039270000}"/>
    <cellStyle name="Standard 6 4 3 3 2 7 2 2" xfId="10035" xr:uid="{00000000-0005-0000-0000-00003A270000}"/>
    <cellStyle name="Standard 6 4 3 3 2 7 2 2 2" xfId="21996" xr:uid="{B3CE3148-A221-4422-B634-EF030A807C73}"/>
    <cellStyle name="Standard 6 4 3 3 2 7 2 3" xfId="21995" xr:uid="{2D3A2BA8-8571-446E-A441-DB3C30947DEA}"/>
    <cellStyle name="Standard 6 4 3 3 2 7 3" xfId="10036" xr:uid="{00000000-0005-0000-0000-00003B270000}"/>
    <cellStyle name="Standard 6 4 3 3 2 7 3 2" xfId="21997" xr:uid="{35208CBC-2E86-4B5A-ADA3-EA6210530E3B}"/>
    <cellStyle name="Standard 6 4 3 3 2 7 4" xfId="21994" xr:uid="{2FD08FDF-C3C8-4A0D-97BA-8E276B1B700A}"/>
    <cellStyle name="Standard 6 4 3 3 2 8" xfId="10037" xr:uid="{00000000-0005-0000-0000-00003C270000}"/>
    <cellStyle name="Standard 6 4 3 3 2 8 2" xfId="10038" xr:uid="{00000000-0005-0000-0000-00003D270000}"/>
    <cellStyle name="Standard 6 4 3 3 2 8 2 2" xfId="21999" xr:uid="{286F99DD-3E65-45C3-9A43-4D0FBE17AA98}"/>
    <cellStyle name="Standard 6 4 3 3 2 8 3" xfId="21998" xr:uid="{919D2A4E-043A-4F7A-9C22-83C287999B29}"/>
    <cellStyle name="Standard 6 4 3 3 2 9" xfId="10039" xr:uid="{00000000-0005-0000-0000-00003E270000}"/>
    <cellStyle name="Standard 6 4 3 3 2 9 2" xfId="22000" xr:uid="{495D5CC5-0B87-4A45-8B9B-01E59566FA10}"/>
    <cellStyle name="Standard 6 4 3 3 3" xfId="10040" xr:uid="{00000000-0005-0000-0000-00003F270000}"/>
    <cellStyle name="Standard 6 4 3 3 3 2" xfId="10041" xr:uid="{00000000-0005-0000-0000-000040270000}"/>
    <cellStyle name="Standard 6 4 3 3 3 2 2" xfId="10042" xr:uid="{00000000-0005-0000-0000-000041270000}"/>
    <cellStyle name="Standard 6 4 3 3 3 2 2 2" xfId="22003" xr:uid="{266D1024-15E1-4803-9D48-1578982EBD52}"/>
    <cellStyle name="Standard 6 4 3 3 3 2 3" xfId="22002" xr:uid="{BDE4A1F5-6CFB-4370-8226-C3C6EBA89430}"/>
    <cellStyle name="Standard 6 4 3 3 3 3" xfId="10043" xr:uid="{00000000-0005-0000-0000-000042270000}"/>
    <cellStyle name="Standard 6 4 3 3 3 3 2" xfId="22004" xr:uid="{4DDB4316-53C4-46CA-8099-0133ACF99B00}"/>
    <cellStyle name="Standard 6 4 3 3 3 4" xfId="22001" xr:uid="{33397B37-F0B8-4E82-BEE2-E76A90BF6640}"/>
    <cellStyle name="Standard 6 4 3 3 4" xfId="10044" xr:uid="{00000000-0005-0000-0000-000043270000}"/>
    <cellStyle name="Standard 6 4 3 3 4 2" xfId="10045" xr:uid="{00000000-0005-0000-0000-000044270000}"/>
    <cellStyle name="Standard 6 4 3 3 4 2 2" xfId="10046" xr:uid="{00000000-0005-0000-0000-000045270000}"/>
    <cellStyle name="Standard 6 4 3 3 4 2 2 2" xfId="22007" xr:uid="{66BA0A6C-426B-4623-B584-D8F334ED47C1}"/>
    <cellStyle name="Standard 6 4 3 3 4 2 3" xfId="22006" xr:uid="{EFA53965-6424-43A9-8CDD-083AAADC3B9C}"/>
    <cellStyle name="Standard 6 4 3 3 4 3" xfId="10047" xr:uid="{00000000-0005-0000-0000-000046270000}"/>
    <cellStyle name="Standard 6 4 3 3 4 3 2" xfId="22008" xr:uid="{D987B239-4CD5-4591-BB1E-BF42086A70D5}"/>
    <cellStyle name="Standard 6 4 3 3 4 4" xfId="22005" xr:uid="{06C331CD-345F-4866-9A2A-E557164F09F6}"/>
    <cellStyle name="Standard 6 4 3 3 5" xfId="10048" xr:uid="{00000000-0005-0000-0000-000047270000}"/>
    <cellStyle name="Standard 6 4 3 3 5 2" xfId="10049" xr:uid="{00000000-0005-0000-0000-000048270000}"/>
    <cellStyle name="Standard 6 4 3 3 5 2 2" xfId="10050" xr:uid="{00000000-0005-0000-0000-000049270000}"/>
    <cellStyle name="Standard 6 4 3 3 5 2 2 2" xfId="22011" xr:uid="{0872C5A7-6848-4BFE-A0CB-818BB64118DC}"/>
    <cellStyle name="Standard 6 4 3 3 5 2 3" xfId="22010" xr:uid="{7FE9764E-B2DB-49F9-9D83-D65CBB3E38B9}"/>
    <cellStyle name="Standard 6 4 3 3 5 3" xfId="10051" xr:uid="{00000000-0005-0000-0000-00004A270000}"/>
    <cellStyle name="Standard 6 4 3 3 5 3 2" xfId="22012" xr:uid="{97E732D7-6167-4BA0-8038-0D3620192C74}"/>
    <cellStyle name="Standard 6 4 3 3 5 4" xfId="22009" xr:uid="{D0F2C35B-C47F-4068-8D0C-4BE3C8B380BB}"/>
    <cellStyle name="Standard 6 4 3 3 6" xfId="10052" xr:uid="{00000000-0005-0000-0000-00004B270000}"/>
    <cellStyle name="Standard 6 4 3 3 6 2" xfId="10053" xr:uid="{00000000-0005-0000-0000-00004C270000}"/>
    <cellStyle name="Standard 6 4 3 3 6 2 2" xfId="10054" xr:uid="{00000000-0005-0000-0000-00004D270000}"/>
    <cellStyle name="Standard 6 4 3 3 6 2 2 2" xfId="22015" xr:uid="{2067B52F-2D2E-47DA-A77A-3649FDD361EA}"/>
    <cellStyle name="Standard 6 4 3 3 6 2 3" xfId="22014" xr:uid="{47F9AB09-B600-4F34-8C99-407D381928ED}"/>
    <cellStyle name="Standard 6 4 3 3 6 3" xfId="10055" xr:uid="{00000000-0005-0000-0000-00004E270000}"/>
    <cellStyle name="Standard 6 4 3 3 6 3 2" xfId="22016" xr:uid="{024FC844-7E9C-4175-A82F-8DC9A6255DF1}"/>
    <cellStyle name="Standard 6 4 3 3 6 4" xfId="22013" xr:uid="{D299AB6D-46CA-40E5-8CAC-F7968E746821}"/>
    <cellStyle name="Standard 6 4 3 3 7" xfId="10056" xr:uid="{00000000-0005-0000-0000-00004F270000}"/>
    <cellStyle name="Standard 6 4 3 3 7 2" xfId="10057" xr:uid="{00000000-0005-0000-0000-000050270000}"/>
    <cellStyle name="Standard 6 4 3 3 7 2 2" xfId="10058" xr:uid="{00000000-0005-0000-0000-000051270000}"/>
    <cellStyle name="Standard 6 4 3 3 7 2 2 2" xfId="22019" xr:uid="{58F0EAF7-75F7-4670-9A79-ACFF18C84B93}"/>
    <cellStyle name="Standard 6 4 3 3 7 2 3" xfId="22018" xr:uid="{68146E86-6880-4131-80B5-5EF744246585}"/>
    <cellStyle name="Standard 6 4 3 3 7 3" xfId="10059" xr:uid="{00000000-0005-0000-0000-000052270000}"/>
    <cellStyle name="Standard 6 4 3 3 7 3 2" xfId="22020" xr:uid="{A5C8A72D-4FF0-41EB-8693-0D186B348A00}"/>
    <cellStyle name="Standard 6 4 3 3 7 4" xfId="22017" xr:uid="{2CE085FE-26CF-4CE3-B951-780C7A8B8369}"/>
    <cellStyle name="Standard 6 4 3 3 8" xfId="10060" xr:uid="{00000000-0005-0000-0000-000053270000}"/>
    <cellStyle name="Standard 6 4 3 3 8 2" xfId="10061" xr:uid="{00000000-0005-0000-0000-000054270000}"/>
    <cellStyle name="Standard 6 4 3 3 8 2 2" xfId="10062" xr:uid="{00000000-0005-0000-0000-000055270000}"/>
    <cellStyle name="Standard 6 4 3 3 8 2 2 2" xfId="22023" xr:uid="{081B2678-B533-4D0B-BBFC-558523558A8D}"/>
    <cellStyle name="Standard 6 4 3 3 8 2 3" xfId="22022" xr:uid="{209E3AE0-8E8C-467F-AD8D-EEA99F52AC17}"/>
    <cellStyle name="Standard 6 4 3 3 8 3" xfId="10063" xr:uid="{00000000-0005-0000-0000-000056270000}"/>
    <cellStyle name="Standard 6 4 3 3 8 3 2" xfId="22024" xr:uid="{BA3CDFAA-79F9-48CE-AE9C-37611FC249F3}"/>
    <cellStyle name="Standard 6 4 3 3 8 4" xfId="22021" xr:uid="{D2874827-E2D5-4307-9BA4-84B40A38CD07}"/>
    <cellStyle name="Standard 6 4 3 3 9" xfId="10064" xr:uid="{00000000-0005-0000-0000-000057270000}"/>
    <cellStyle name="Standard 6 4 3 3 9 2" xfId="10065" xr:uid="{00000000-0005-0000-0000-000058270000}"/>
    <cellStyle name="Standard 6 4 3 3 9 2 2" xfId="22026" xr:uid="{D74A380F-3458-4A60-8510-607FEE2DED94}"/>
    <cellStyle name="Standard 6 4 3 3 9 3" xfId="22025" xr:uid="{EBB29950-217F-4FAB-9632-78C4388BD847}"/>
    <cellStyle name="Standard 6 4 3 4" xfId="10066" xr:uid="{00000000-0005-0000-0000-000059270000}"/>
    <cellStyle name="Standard 6 4 3 4 10" xfId="10067" xr:uid="{00000000-0005-0000-0000-00005A270000}"/>
    <cellStyle name="Standard 6 4 3 4 10 2" xfId="22028" xr:uid="{72D18501-63D4-4301-AE3A-29F2A592E26B}"/>
    <cellStyle name="Standard 6 4 3 4 11" xfId="22027" xr:uid="{DDAF6F23-2572-4D3A-AFE0-69814FF82DA4}"/>
    <cellStyle name="Standard 6 4 3 4 2" xfId="10068" xr:uid="{00000000-0005-0000-0000-00005B270000}"/>
    <cellStyle name="Standard 6 4 3 4 2 10" xfId="22029" xr:uid="{809AB04E-48AB-4657-9924-2DF4DB14B22C}"/>
    <cellStyle name="Standard 6 4 3 4 2 2" xfId="10069" xr:uid="{00000000-0005-0000-0000-00005C270000}"/>
    <cellStyle name="Standard 6 4 3 4 2 2 2" xfId="10070" xr:uid="{00000000-0005-0000-0000-00005D270000}"/>
    <cellStyle name="Standard 6 4 3 4 2 2 2 2" xfId="10071" xr:uid="{00000000-0005-0000-0000-00005E270000}"/>
    <cellStyle name="Standard 6 4 3 4 2 2 2 2 2" xfId="22032" xr:uid="{89E3E1A4-510F-4F43-AF82-0D90B93A6189}"/>
    <cellStyle name="Standard 6 4 3 4 2 2 2 3" xfId="22031" xr:uid="{7616B78C-DA54-4B8A-B6CE-07724C66860A}"/>
    <cellStyle name="Standard 6 4 3 4 2 2 3" xfId="10072" xr:uid="{00000000-0005-0000-0000-00005F270000}"/>
    <cellStyle name="Standard 6 4 3 4 2 2 3 2" xfId="22033" xr:uid="{B92128FB-0006-4E32-9EFC-5140F5BA988E}"/>
    <cellStyle name="Standard 6 4 3 4 2 2 4" xfId="22030" xr:uid="{41110F44-166D-4A33-BE5D-A4BE624045C2}"/>
    <cellStyle name="Standard 6 4 3 4 2 3" xfId="10073" xr:uid="{00000000-0005-0000-0000-000060270000}"/>
    <cellStyle name="Standard 6 4 3 4 2 3 2" xfId="10074" xr:uid="{00000000-0005-0000-0000-000061270000}"/>
    <cellStyle name="Standard 6 4 3 4 2 3 2 2" xfId="10075" xr:uid="{00000000-0005-0000-0000-000062270000}"/>
    <cellStyle name="Standard 6 4 3 4 2 3 2 2 2" xfId="22036" xr:uid="{E1DE052C-D231-40E1-87E7-DAF01DC93035}"/>
    <cellStyle name="Standard 6 4 3 4 2 3 2 3" xfId="22035" xr:uid="{05194A19-7321-4DF4-8F94-DC18DF7C73BF}"/>
    <cellStyle name="Standard 6 4 3 4 2 3 3" xfId="10076" xr:uid="{00000000-0005-0000-0000-000063270000}"/>
    <cellStyle name="Standard 6 4 3 4 2 3 3 2" xfId="22037" xr:uid="{1F478D9E-F14B-452E-BCE4-F0B5A5152FA6}"/>
    <cellStyle name="Standard 6 4 3 4 2 3 4" xfId="22034" xr:uid="{22B1FAEC-90A1-4658-9C6D-D0F3764EE61B}"/>
    <cellStyle name="Standard 6 4 3 4 2 4" xfId="10077" xr:uid="{00000000-0005-0000-0000-000064270000}"/>
    <cellStyle name="Standard 6 4 3 4 2 4 2" xfId="10078" xr:uid="{00000000-0005-0000-0000-000065270000}"/>
    <cellStyle name="Standard 6 4 3 4 2 4 2 2" xfId="10079" xr:uid="{00000000-0005-0000-0000-000066270000}"/>
    <cellStyle name="Standard 6 4 3 4 2 4 2 2 2" xfId="22040" xr:uid="{8D09695F-5D4B-4261-B3BE-463EEDA7800C}"/>
    <cellStyle name="Standard 6 4 3 4 2 4 2 3" xfId="22039" xr:uid="{59BD8827-779D-43C2-B6D2-BA47C94C8EA8}"/>
    <cellStyle name="Standard 6 4 3 4 2 4 3" xfId="10080" xr:uid="{00000000-0005-0000-0000-000067270000}"/>
    <cellStyle name="Standard 6 4 3 4 2 4 3 2" xfId="22041" xr:uid="{AD2968C6-B3EF-4585-8F7D-E96751EEA425}"/>
    <cellStyle name="Standard 6 4 3 4 2 4 4" xfId="22038" xr:uid="{55E181A2-44CC-4F0E-9677-4502658A8242}"/>
    <cellStyle name="Standard 6 4 3 4 2 5" xfId="10081" xr:uid="{00000000-0005-0000-0000-000068270000}"/>
    <cellStyle name="Standard 6 4 3 4 2 5 2" xfId="10082" xr:uid="{00000000-0005-0000-0000-000069270000}"/>
    <cellStyle name="Standard 6 4 3 4 2 5 2 2" xfId="10083" xr:uid="{00000000-0005-0000-0000-00006A270000}"/>
    <cellStyle name="Standard 6 4 3 4 2 5 2 2 2" xfId="22044" xr:uid="{22BF9B19-21C2-4FFB-A53D-4D0869483624}"/>
    <cellStyle name="Standard 6 4 3 4 2 5 2 3" xfId="22043" xr:uid="{D2B50C2C-084C-4926-9932-0616992AC408}"/>
    <cellStyle name="Standard 6 4 3 4 2 5 3" xfId="10084" xr:uid="{00000000-0005-0000-0000-00006B270000}"/>
    <cellStyle name="Standard 6 4 3 4 2 5 3 2" xfId="22045" xr:uid="{C8E9567D-DC47-439B-A275-FDFFF1CD4FD0}"/>
    <cellStyle name="Standard 6 4 3 4 2 5 4" xfId="22042" xr:uid="{825EB234-97B5-4038-95C6-EE57C422ED0A}"/>
    <cellStyle name="Standard 6 4 3 4 2 6" xfId="10085" xr:uid="{00000000-0005-0000-0000-00006C270000}"/>
    <cellStyle name="Standard 6 4 3 4 2 6 2" xfId="10086" xr:uid="{00000000-0005-0000-0000-00006D270000}"/>
    <cellStyle name="Standard 6 4 3 4 2 6 2 2" xfId="10087" xr:uid="{00000000-0005-0000-0000-00006E270000}"/>
    <cellStyle name="Standard 6 4 3 4 2 6 2 2 2" xfId="22048" xr:uid="{E44DD8AD-9C1E-46BF-A0B4-A84D129264DA}"/>
    <cellStyle name="Standard 6 4 3 4 2 6 2 3" xfId="22047" xr:uid="{27C51859-8B7C-4780-BB8C-5B7B77430D19}"/>
    <cellStyle name="Standard 6 4 3 4 2 6 3" xfId="10088" xr:uid="{00000000-0005-0000-0000-00006F270000}"/>
    <cellStyle name="Standard 6 4 3 4 2 6 3 2" xfId="22049" xr:uid="{33792D81-3E08-46E1-9220-448C77B97028}"/>
    <cellStyle name="Standard 6 4 3 4 2 6 4" xfId="22046" xr:uid="{B2182939-4471-456D-90DE-1C4A98E65270}"/>
    <cellStyle name="Standard 6 4 3 4 2 7" xfId="10089" xr:uid="{00000000-0005-0000-0000-000070270000}"/>
    <cellStyle name="Standard 6 4 3 4 2 7 2" xfId="10090" xr:uid="{00000000-0005-0000-0000-000071270000}"/>
    <cellStyle name="Standard 6 4 3 4 2 7 2 2" xfId="10091" xr:uid="{00000000-0005-0000-0000-000072270000}"/>
    <cellStyle name="Standard 6 4 3 4 2 7 2 2 2" xfId="22052" xr:uid="{E9560C0B-BEBE-4A40-8A71-5FE6696A72B4}"/>
    <cellStyle name="Standard 6 4 3 4 2 7 2 3" xfId="22051" xr:uid="{26A155A6-821C-43DD-9BD0-6023ECAF7D9A}"/>
    <cellStyle name="Standard 6 4 3 4 2 7 3" xfId="10092" xr:uid="{00000000-0005-0000-0000-000073270000}"/>
    <cellStyle name="Standard 6 4 3 4 2 7 3 2" xfId="22053" xr:uid="{36AAA2BD-9E8A-4883-BE55-CF32154F64F2}"/>
    <cellStyle name="Standard 6 4 3 4 2 7 4" xfId="22050" xr:uid="{215EC4A5-5F30-4A5D-B6AA-137149165958}"/>
    <cellStyle name="Standard 6 4 3 4 2 8" xfId="10093" xr:uid="{00000000-0005-0000-0000-000074270000}"/>
    <cellStyle name="Standard 6 4 3 4 2 8 2" xfId="10094" xr:uid="{00000000-0005-0000-0000-000075270000}"/>
    <cellStyle name="Standard 6 4 3 4 2 8 2 2" xfId="22055" xr:uid="{F71FDBC3-F3BF-4328-821D-0561EF0A85C5}"/>
    <cellStyle name="Standard 6 4 3 4 2 8 3" xfId="22054" xr:uid="{95B0A474-A9F1-4AAD-ACAD-F584722F0D7E}"/>
    <cellStyle name="Standard 6 4 3 4 2 9" xfId="10095" xr:uid="{00000000-0005-0000-0000-000076270000}"/>
    <cellStyle name="Standard 6 4 3 4 2 9 2" xfId="22056" xr:uid="{7BD060A4-C2DE-499D-A995-04C2B23D8BBC}"/>
    <cellStyle name="Standard 6 4 3 4 3" xfId="10096" xr:uid="{00000000-0005-0000-0000-000077270000}"/>
    <cellStyle name="Standard 6 4 3 4 3 2" xfId="10097" xr:uid="{00000000-0005-0000-0000-000078270000}"/>
    <cellStyle name="Standard 6 4 3 4 3 2 2" xfId="10098" xr:uid="{00000000-0005-0000-0000-000079270000}"/>
    <cellStyle name="Standard 6 4 3 4 3 2 2 2" xfId="22059" xr:uid="{54302E75-3848-482B-9B18-F3A4F8759AB8}"/>
    <cellStyle name="Standard 6 4 3 4 3 2 3" xfId="22058" xr:uid="{B1E37EEC-D285-444F-A2E7-A8614EDC5105}"/>
    <cellStyle name="Standard 6 4 3 4 3 3" xfId="10099" xr:uid="{00000000-0005-0000-0000-00007A270000}"/>
    <cellStyle name="Standard 6 4 3 4 3 3 2" xfId="22060" xr:uid="{FAD61AEE-1407-4F2E-BB6B-B4DA37467174}"/>
    <cellStyle name="Standard 6 4 3 4 3 4" xfId="22057" xr:uid="{DC04A7E7-A21C-4BCF-8078-145FDA6921CB}"/>
    <cellStyle name="Standard 6 4 3 4 4" xfId="10100" xr:uid="{00000000-0005-0000-0000-00007B270000}"/>
    <cellStyle name="Standard 6 4 3 4 4 2" xfId="10101" xr:uid="{00000000-0005-0000-0000-00007C270000}"/>
    <cellStyle name="Standard 6 4 3 4 4 2 2" xfId="10102" xr:uid="{00000000-0005-0000-0000-00007D270000}"/>
    <cellStyle name="Standard 6 4 3 4 4 2 2 2" xfId="22063" xr:uid="{DE920D8B-2D05-4BCA-A3D4-4071391635AF}"/>
    <cellStyle name="Standard 6 4 3 4 4 2 3" xfId="22062" xr:uid="{B6B0F5F2-DBD6-4420-8FFC-5359C4667807}"/>
    <cellStyle name="Standard 6 4 3 4 4 3" xfId="10103" xr:uid="{00000000-0005-0000-0000-00007E270000}"/>
    <cellStyle name="Standard 6 4 3 4 4 3 2" xfId="22064" xr:uid="{384DEECB-B961-471C-AFCA-294E915B171E}"/>
    <cellStyle name="Standard 6 4 3 4 4 4" xfId="22061" xr:uid="{76D29750-A714-4E43-84C2-6A0EC1455558}"/>
    <cellStyle name="Standard 6 4 3 4 5" xfId="10104" xr:uid="{00000000-0005-0000-0000-00007F270000}"/>
    <cellStyle name="Standard 6 4 3 4 5 2" xfId="10105" xr:uid="{00000000-0005-0000-0000-000080270000}"/>
    <cellStyle name="Standard 6 4 3 4 5 2 2" xfId="10106" xr:uid="{00000000-0005-0000-0000-000081270000}"/>
    <cellStyle name="Standard 6 4 3 4 5 2 2 2" xfId="22067" xr:uid="{9A9D046C-7B1E-4B76-8E87-E25BF3F3DDB0}"/>
    <cellStyle name="Standard 6 4 3 4 5 2 3" xfId="22066" xr:uid="{1B1C793F-8276-44C9-BA18-5B4DED00A3C8}"/>
    <cellStyle name="Standard 6 4 3 4 5 3" xfId="10107" xr:uid="{00000000-0005-0000-0000-000082270000}"/>
    <cellStyle name="Standard 6 4 3 4 5 3 2" xfId="22068" xr:uid="{54E41356-03F0-40A7-9EF0-8015D18F79F3}"/>
    <cellStyle name="Standard 6 4 3 4 5 4" xfId="22065" xr:uid="{017DFCC7-31DE-4439-BAA0-CC5C44E0F397}"/>
    <cellStyle name="Standard 6 4 3 4 6" xfId="10108" xr:uid="{00000000-0005-0000-0000-000083270000}"/>
    <cellStyle name="Standard 6 4 3 4 6 2" xfId="10109" xr:uid="{00000000-0005-0000-0000-000084270000}"/>
    <cellStyle name="Standard 6 4 3 4 6 2 2" xfId="10110" xr:uid="{00000000-0005-0000-0000-000085270000}"/>
    <cellStyle name="Standard 6 4 3 4 6 2 2 2" xfId="22071" xr:uid="{5903FCB5-015A-436A-A2C1-464F1BEF434C}"/>
    <cellStyle name="Standard 6 4 3 4 6 2 3" xfId="22070" xr:uid="{BAE52257-94FA-474C-8A6D-E6C20AB9A733}"/>
    <cellStyle name="Standard 6 4 3 4 6 3" xfId="10111" xr:uid="{00000000-0005-0000-0000-000086270000}"/>
    <cellStyle name="Standard 6 4 3 4 6 3 2" xfId="22072" xr:uid="{D95E1C53-E632-40A3-8EDD-050851CEB080}"/>
    <cellStyle name="Standard 6 4 3 4 6 4" xfId="22069" xr:uid="{FAE099C5-5B3E-4C56-8850-2513C94E8277}"/>
    <cellStyle name="Standard 6 4 3 4 7" xfId="10112" xr:uid="{00000000-0005-0000-0000-000087270000}"/>
    <cellStyle name="Standard 6 4 3 4 7 2" xfId="10113" xr:uid="{00000000-0005-0000-0000-000088270000}"/>
    <cellStyle name="Standard 6 4 3 4 7 2 2" xfId="10114" xr:uid="{00000000-0005-0000-0000-000089270000}"/>
    <cellStyle name="Standard 6 4 3 4 7 2 2 2" xfId="22075" xr:uid="{1D15C49B-C978-425B-BBD7-BBC729BD847B}"/>
    <cellStyle name="Standard 6 4 3 4 7 2 3" xfId="22074" xr:uid="{6EF2FF72-EC20-47EF-9951-15C4DBA928FA}"/>
    <cellStyle name="Standard 6 4 3 4 7 3" xfId="10115" xr:uid="{00000000-0005-0000-0000-00008A270000}"/>
    <cellStyle name="Standard 6 4 3 4 7 3 2" xfId="22076" xr:uid="{CDE8BABC-9AB1-4A01-A98A-9574ECAC4ECF}"/>
    <cellStyle name="Standard 6 4 3 4 7 4" xfId="22073" xr:uid="{88654E00-EF85-4F31-A95D-3D033BB3A7B3}"/>
    <cellStyle name="Standard 6 4 3 4 8" xfId="10116" xr:uid="{00000000-0005-0000-0000-00008B270000}"/>
    <cellStyle name="Standard 6 4 3 4 8 2" xfId="10117" xr:uid="{00000000-0005-0000-0000-00008C270000}"/>
    <cellStyle name="Standard 6 4 3 4 8 2 2" xfId="10118" xr:uid="{00000000-0005-0000-0000-00008D270000}"/>
    <cellStyle name="Standard 6 4 3 4 8 2 2 2" xfId="22079" xr:uid="{64E3D8BE-6F56-495C-9C87-9101D116ABB4}"/>
    <cellStyle name="Standard 6 4 3 4 8 2 3" xfId="22078" xr:uid="{2A4029E2-4D46-4015-BD27-66291EDD0B18}"/>
    <cellStyle name="Standard 6 4 3 4 8 3" xfId="10119" xr:uid="{00000000-0005-0000-0000-00008E270000}"/>
    <cellStyle name="Standard 6 4 3 4 8 3 2" xfId="22080" xr:uid="{D343D2F3-81F6-4602-AC8B-2763890CA578}"/>
    <cellStyle name="Standard 6 4 3 4 8 4" xfId="22077" xr:uid="{24CE7DB2-32E5-4BCD-A86A-A2660C0B0BD1}"/>
    <cellStyle name="Standard 6 4 3 4 9" xfId="10120" xr:uid="{00000000-0005-0000-0000-00008F270000}"/>
    <cellStyle name="Standard 6 4 3 4 9 2" xfId="10121" xr:uid="{00000000-0005-0000-0000-000090270000}"/>
    <cellStyle name="Standard 6 4 3 4 9 2 2" xfId="22082" xr:uid="{12776810-EE92-4232-AC99-7850A07FB35F}"/>
    <cellStyle name="Standard 6 4 3 4 9 3" xfId="22081" xr:uid="{0F5F377B-222B-4B91-B4EB-FE351EC45217}"/>
    <cellStyle name="Standard 6 4 3 5" xfId="10122" xr:uid="{00000000-0005-0000-0000-000091270000}"/>
    <cellStyle name="Standard 6 4 3 5 10" xfId="10123" xr:uid="{00000000-0005-0000-0000-000092270000}"/>
    <cellStyle name="Standard 6 4 3 5 10 2" xfId="22084" xr:uid="{8B2BDBEB-754A-4B99-B2D5-70B8E64C9052}"/>
    <cellStyle name="Standard 6 4 3 5 11" xfId="22083" xr:uid="{5260B24E-14E8-46E5-8780-63028B55C6EE}"/>
    <cellStyle name="Standard 6 4 3 5 2" xfId="10124" xr:uid="{00000000-0005-0000-0000-000093270000}"/>
    <cellStyle name="Standard 6 4 3 5 2 10" xfId="22085" xr:uid="{BE27BDD6-40AF-41C7-8046-624B509ECA65}"/>
    <cellStyle name="Standard 6 4 3 5 2 2" xfId="10125" xr:uid="{00000000-0005-0000-0000-000094270000}"/>
    <cellStyle name="Standard 6 4 3 5 2 2 2" xfId="10126" xr:uid="{00000000-0005-0000-0000-000095270000}"/>
    <cellStyle name="Standard 6 4 3 5 2 2 2 2" xfId="10127" xr:uid="{00000000-0005-0000-0000-000096270000}"/>
    <cellStyle name="Standard 6 4 3 5 2 2 2 2 2" xfId="22088" xr:uid="{14FF282C-7F76-49B6-87AB-707346CB39F2}"/>
    <cellStyle name="Standard 6 4 3 5 2 2 2 3" xfId="22087" xr:uid="{72AC5DA3-A267-4636-B5FC-A5A04B663962}"/>
    <cellStyle name="Standard 6 4 3 5 2 2 3" xfId="10128" xr:uid="{00000000-0005-0000-0000-000097270000}"/>
    <cellStyle name="Standard 6 4 3 5 2 2 3 2" xfId="22089" xr:uid="{15C94E2A-94E5-404A-9E41-50D0D1FE265B}"/>
    <cellStyle name="Standard 6 4 3 5 2 2 4" xfId="22086" xr:uid="{0DCF5572-89AC-4930-B100-394562AE002F}"/>
    <cellStyle name="Standard 6 4 3 5 2 3" xfId="10129" xr:uid="{00000000-0005-0000-0000-000098270000}"/>
    <cellStyle name="Standard 6 4 3 5 2 3 2" xfId="10130" xr:uid="{00000000-0005-0000-0000-000099270000}"/>
    <cellStyle name="Standard 6 4 3 5 2 3 2 2" xfId="10131" xr:uid="{00000000-0005-0000-0000-00009A270000}"/>
    <cellStyle name="Standard 6 4 3 5 2 3 2 2 2" xfId="22092" xr:uid="{1787E364-1B50-45A9-AD96-A08DCDDD8901}"/>
    <cellStyle name="Standard 6 4 3 5 2 3 2 3" xfId="22091" xr:uid="{F786FA59-059B-4BE0-85C8-6F121C5DDC46}"/>
    <cellStyle name="Standard 6 4 3 5 2 3 3" xfId="10132" xr:uid="{00000000-0005-0000-0000-00009B270000}"/>
    <cellStyle name="Standard 6 4 3 5 2 3 3 2" xfId="22093" xr:uid="{33DB748C-7E0E-4EBF-9DE8-22B4238C8B5A}"/>
    <cellStyle name="Standard 6 4 3 5 2 3 4" xfId="22090" xr:uid="{D2D8CD3B-768B-45FF-A0C6-E48DA810E0A8}"/>
    <cellStyle name="Standard 6 4 3 5 2 4" xfId="10133" xr:uid="{00000000-0005-0000-0000-00009C270000}"/>
    <cellStyle name="Standard 6 4 3 5 2 4 2" xfId="10134" xr:uid="{00000000-0005-0000-0000-00009D270000}"/>
    <cellStyle name="Standard 6 4 3 5 2 4 2 2" xfId="10135" xr:uid="{00000000-0005-0000-0000-00009E270000}"/>
    <cellStyle name="Standard 6 4 3 5 2 4 2 2 2" xfId="22096" xr:uid="{8826DAD7-A648-463D-92AF-7159938621FC}"/>
    <cellStyle name="Standard 6 4 3 5 2 4 2 3" xfId="22095" xr:uid="{F3AFD01C-3758-43ED-BA1D-7E120AF801B3}"/>
    <cellStyle name="Standard 6 4 3 5 2 4 3" xfId="10136" xr:uid="{00000000-0005-0000-0000-00009F270000}"/>
    <cellStyle name="Standard 6 4 3 5 2 4 3 2" xfId="22097" xr:uid="{622AFCED-AB25-41CA-8FF3-748A1F76C6D3}"/>
    <cellStyle name="Standard 6 4 3 5 2 4 4" xfId="22094" xr:uid="{3062A170-A83B-46D5-8609-FB56E874B164}"/>
    <cellStyle name="Standard 6 4 3 5 2 5" xfId="10137" xr:uid="{00000000-0005-0000-0000-0000A0270000}"/>
    <cellStyle name="Standard 6 4 3 5 2 5 2" xfId="10138" xr:uid="{00000000-0005-0000-0000-0000A1270000}"/>
    <cellStyle name="Standard 6 4 3 5 2 5 2 2" xfId="10139" xr:uid="{00000000-0005-0000-0000-0000A2270000}"/>
    <cellStyle name="Standard 6 4 3 5 2 5 2 2 2" xfId="22100" xr:uid="{45FCFF2F-CF35-44C3-9D96-5E89CB8A46BD}"/>
    <cellStyle name="Standard 6 4 3 5 2 5 2 3" xfId="22099" xr:uid="{019FE2EC-DDDA-449C-B1B0-B6977C598D4B}"/>
    <cellStyle name="Standard 6 4 3 5 2 5 3" xfId="10140" xr:uid="{00000000-0005-0000-0000-0000A3270000}"/>
    <cellStyle name="Standard 6 4 3 5 2 5 3 2" xfId="22101" xr:uid="{261D6CB2-7FDC-4508-BF6E-0595D955EF3A}"/>
    <cellStyle name="Standard 6 4 3 5 2 5 4" xfId="22098" xr:uid="{BA9E6014-A5E9-4AE7-A9DC-6A038591C68E}"/>
    <cellStyle name="Standard 6 4 3 5 2 6" xfId="10141" xr:uid="{00000000-0005-0000-0000-0000A4270000}"/>
    <cellStyle name="Standard 6 4 3 5 2 6 2" xfId="10142" xr:uid="{00000000-0005-0000-0000-0000A5270000}"/>
    <cellStyle name="Standard 6 4 3 5 2 6 2 2" xfId="10143" xr:uid="{00000000-0005-0000-0000-0000A6270000}"/>
    <cellStyle name="Standard 6 4 3 5 2 6 2 2 2" xfId="22104" xr:uid="{045300D2-BD63-4F0B-B410-D3CADA38ED32}"/>
    <cellStyle name="Standard 6 4 3 5 2 6 2 3" xfId="22103" xr:uid="{A33B655E-E990-4065-9E9E-F62535E5E134}"/>
    <cellStyle name="Standard 6 4 3 5 2 6 3" xfId="10144" xr:uid="{00000000-0005-0000-0000-0000A7270000}"/>
    <cellStyle name="Standard 6 4 3 5 2 6 3 2" xfId="22105" xr:uid="{8986693E-52EC-4915-B034-8CBC2A58E424}"/>
    <cellStyle name="Standard 6 4 3 5 2 6 4" xfId="22102" xr:uid="{A2B88830-8765-4749-8BA7-219C8D526198}"/>
    <cellStyle name="Standard 6 4 3 5 2 7" xfId="10145" xr:uid="{00000000-0005-0000-0000-0000A8270000}"/>
    <cellStyle name="Standard 6 4 3 5 2 7 2" xfId="10146" xr:uid="{00000000-0005-0000-0000-0000A9270000}"/>
    <cellStyle name="Standard 6 4 3 5 2 7 2 2" xfId="10147" xr:uid="{00000000-0005-0000-0000-0000AA270000}"/>
    <cellStyle name="Standard 6 4 3 5 2 7 2 2 2" xfId="22108" xr:uid="{3BA20A7B-6BE5-4248-9456-068E46D24FE7}"/>
    <cellStyle name="Standard 6 4 3 5 2 7 2 3" xfId="22107" xr:uid="{024E6D61-59E3-4552-B113-D5FC5CE6FB51}"/>
    <cellStyle name="Standard 6 4 3 5 2 7 3" xfId="10148" xr:uid="{00000000-0005-0000-0000-0000AB270000}"/>
    <cellStyle name="Standard 6 4 3 5 2 7 3 2" xfId="22109" xr:uid="{A7E40259-5E93-41C7-91F9-5FD15BC057BC}"/>
    <cellStyle name="Standard 6 4 3 5 2 7 4" xfId="22106" xr:uid="{9B0BC8EE-5A8C-47BC-9190-D38CBAFE4A92}"/>
    <cellStyle name="Standard 6 4 3 5 2 8" xfId="10149" xr:uid="{00000000-0005-0000-0000-0000AC270000}"/>
    <cellStyle name="Standard 6 4 3 5 2 8 2" xfId="10150" xr:uid="{00000000-0005-0000-0000-0000AD270000}"/>
    <cellStyle name="Standard 6 4 3 5 2 8 2 2" xfId="22111" xr:uid="{529683CB-4986-43B3-AB60-DFBC4F919D5D}"/>
    <cellStyle name="Standard 6 4 3 5 2 8 3" xfId="22110" xr:uid="{F710EF83-4BE7-49CA-9D8B-2169BDD0CFA8}"/>
    <cellStyle name="Standard 6 4 3 5 2 9" xfId="10151" xr:uid="{00000000-0005-0000-0000-0000AE270000}"/>
    <cellStyle name="Standard 6 4 3 5 2 9 2" xfId="22112" xr:uid="{BA48B518-6536-420C-B8A4-4679C496E3FC}"/>
    <cellStyle name="Standard 6 4 3 5 3" xfId="10152" xr:uid="{00000000-0005-0000-0000-0000AF270000}"/>
    <cellStyle name="Standard 6 4 3 5 3 2" xfId="10153" xr:uid="{00000000-0005-0000-0000-0000B0270000}"/>
    <cellStyle name="Standard 6 4 3 5 3 2 2" xfId="10154" xr:uid="{00000000-0005-0000-0000-0000B1270000}"/>
    <cellStyle name="Standard 6 4 3 5 3 2 2 2" xfId="22115" xr:uid="{76A22DAC-3B89-46BA-BE88-C3AD8F774951}"/>
    <cellStyle name="Standard 6 4 3 5 3 2 3" xfId="22114" xr:uid="{75ECF130-6B79-4390-BE7E-9A3A045B86E3}"/>
    <cellStyle name="Standard 6 4 3 5 3 3" xfId="10155" xr:uid="{00000000-0005-0000-0000-0000B2270000}"/>
    <cellStyle name="Standard 6 4 3 5 3 3 2" xfId="22116" xr:uid="{016AE88F-4C81-4BC2-84E6-C54492FE73A4}"/>
    <cellStyle name="Standard 6 4 3 5 3 4" xfId="22113" xr:uid="{A67B4D4C-48B8-4E4E-9B06-D128150B705E}"/>
    <cellStyle name="Standard 6 4 3 5 4" xfId="10156" xr:uid="{00000000-0005-0000-0000-0000B3270000}"/>
    <cellStyle name="Standard 6 4 3 5 4 2" xfId="10157" xr:uid="{00000000-0005-0000-0000-0000B4270000}"/>
    <cellStyle name="Standard 6 4 3 5 4 2 2" xfId="10158" xr:uid="{00000000-0005-0000-0000-0000B5270000}"/>
    <cellStyle name="Standard 6 4 3 5 4 2 2 2" xfId="22119" xr:uid="{AD01A7E9-E89B-4EA9-A61A-D656C63E5796}"/>
    <cellStyle name="Standard 6 4 3 5 4 2 3" xfId="22118" xr:uid="{B55CF322-A7B0-4B69-A349-81693267BFBC}"/>
    <cellStyle name="Standard 6 4 3 5 4 3" xfId="10159" xr:uid="{00000000-0005-0000-0000-0000B6270000}"/>
    <cellStyle name="Standard 6 4 3 5 4 3 2" xfId="22120" xr:uid="{F254951F-7B72-4097-B289-7C212C1D9924}"/>
    <cellStyle name="Standard 6 4 3 5 4 4" xfId="22117" xr:uid="{3DAD6AC4-C8D4-496F-8FE2-29D4F45E7ECE}"/>
    <cellStyle name="Standard 6 4 3 5 5" xfId="10160" xr:uid="{00000000-0005-0000-0000-0000B7270000}"/>
    <cellStyle name="Standard 6 4 3 5 5 2" xfId="10161" xr:uid="{00000000-0005-0000-0000-0000B8270000}"/>
    <cellStyle name="Standard 6 4 3 5 5 2 2" xfId="10162" xr:uid="{00000000-0005-0000-0000-0000B9270000}"/>
    <cellStyle name="Standard 6 4 3 5 5 2 2 2" xfId="22123" xr:uid="{BFAC4854-A1A5-476E-BD85-D25DB9AC1D80}"/>
    <cellStyle name="Standard 6 4 3 5 5 2 3" xfId="22122" xr:uid="{BBA97517-9182-4D15-BC8D-3F33A8783185}"/>
    <cellStyle name="Standard 6 4 3 5 5 3" xfId="10163" xr:uid="{00000000-0005-0000-0000-0000BA270000}"/>
    <cellStyle name="Standard 6 4 3 5 5 3 2" xfId="22124" xr:uid="{5F0A6D26-94DF-4504-9102-B1DB62B9518E}"/>
    <cellStyle name="Standard 6 4 3 5 5 4" xfId="22121" xr:uid="{E3EEDEB8-9C89-45DF-AA8B-6FBE007E5463}"/>
    <cellStyle name="Standard 6 4 3 5 6" xfId="10164" xr:uid="{00000000-0005-0000-0000-0000BB270000}"/>
    <cellStyle name="Standard 6 4 3 5 6 2" xfId="10165" xr:uid="{00000000-0005-0000-0000-0000BC270000}"/>
    <cellStyle name="Standard 6 4 3 5 6 2 2" xfId="10166" xr:uid="{00000000-0005-0000-0000-0000BD270000}"/>
    <cellStyle name="Standard 6 4 3 5 6 2 2 2" xfId="22127" xr:uid="{249CAD91-C181-4C17-AC25-C0DB602CB0BB}"/>
    <cellStyle name="Standard 6 4 3 5 6 2 3" xfId="22126" xr:uid="{36911D73-48C8-4E4F-B7EB-4521D57D131C}"/>
    <cellStyle name="Standard 6 4 3 5 6 3" xfId="10167" xr:uid="{00000000-0005-0000-0000-0000BE270000}"/>
    <cellStyle name="Standard 6 4 3 5 6 3 2" xfId="22128" xr:uid="{B1BFD8BA-3E2E-487F-A084-78AA42CBBF46}"/>
    <cellStyle name="Standard 6 4 3 5 6 4" xfId="22125" xr:uid="{73357A65-69C5-4761-B66D-F8065D55D341}"/>
    <cellStyle name="Standard 6 4 3 5 7" xfId="10168" xr:uid="{00000000-0005-0000-0000-0000BF270000}"/>
    <cellStyle name="Standard 6 4 3 5 7 2" xfId="10169" xr:uid="{00000000-0005-0000-0000-0000C0270000}"/>
    <cellStyle name="Standard 6 4 3 5 7 2 2" xfId="10170" xr:uid="{00000000-0005-0000-0000-0000C1270000}"/>
    <cellStyle name="Standard 6 4 3 5 7 2 2 2" xfId="22131" xr:uid="{CC99D270-40AC-4B8C-88FD-3DEDAA09DD74}"/>
    <cellStyle name="Standard 6 4 3 5 7 2 3" xfId="22130" xr:uid="{86FE315A-0213-40A8-AD2F-F301081A9394}"/>
    <cellStyle name="Standard 6 4 3 5 7 3" xfId="10171" xr:uid="{00000000-0005-0000-0000-0000C2270000}"/>
    <cellStyle name="Standard 6 4 3 5 7 3 2" xfId="22132" xr:uid="{CEAE3DEE-DDB4-4124-92A0-13606D9C8240}"/>
    <cellStyle name="Standard 6 4 3 5 7 4" xfId="22129" xr:uid="{C6A93719-C7AD-4664-A5E9-8AADB45D11CE}"/>
    <cellStyle name="Standard 6 4 3 5 8" xfId="10172" xr:uid="{00000000-0005-0000-0000-0000C3270000}"/>
    <cellStyle name="Standard 6 4 3 5 8 2" xfId="10173" xr:uid="{00000000-0005-0000-0000-0000C4270000}"/>
    <cellStyle name="Standard 6 4 3 5 8 2 2" xfId="10174" xr:uid="{00000000-0005-0000-0000-0000C5270000}"/>
    <cellStyle name="Standard 6 4 3 5 8 2 2 2" xfId="22135" xr:uid="{8F5CF5EE-1FA9-4F18-8916-1F6EE1CF4768}"/>
    <cellStyle name="Standard 6 4 3 5 8 2 3" xfId="22134" xr:uid="{81353A57-79FC-4FF7-A953-1F1DE5ABC87F}"/>
    <cellStyle name="Standard 6 4 3 5 8 3" xfId="10175" xr:uid="{00000000-0005-0000-0000-0000C6270000}"/>
    <cellStyle name="Standard 6 4 3 5 8 3 2" xfId="22136" xr:uid="{28EB0CB0-DD23-4C18-B483-A856B5E50019}"/>
    <cellStyle name="Standard 6 4 3 5 8 4" xfId="22133" xr:uid="{CA55F9DD-BD04-41A4-A922-DA0C6635ED74}"/>
    <cellStyle name="Standard 6 4 3 5 9" xfId="10176" xr:uid="{00000000-0005-0000-0000-0000C7270000}"/>
    <cellStyle name="Standard 6 4 3 5 9 2" xfId="10177" xr:uid="{00000000-0005-0000-0000-0000C8270000}"/>
    <cellStyle name="Standard 6 4 3 5 9 2 2" xfId="22138" xr:uid="{E5FBEA38-076E-4826-8D75-BC9D3B71BA82}"/>
    <cellStyle name="Standard 6 4 3 5 9 3" xfId="22137" xr:uid="{580DD081-1EC2-4416-BCA2-18EBF131A946}"/>
    <cellStyle name="Standard 6 4 3 6" xfId="10178" xr:uid="{00000000-0005-0000-0000-0000C9270000}"/>
    <cellStyle name="Standard 6 4 3 6 10" xfId="10179" xr:uid="{00000000-0005-0000-0000-0000CA270000}"/>
    <cellStyle name="Standard 6 4 3 6 10 2" xfId="22140" xr:uid="{FB2DEC72-A067-42A8-9BD6-873880DCD238}"/>
    <cellStyle name="Standard 6 4 3 6 11" xfId="22139" xr:uid="{BE7BC968-1B7A-4125-A959-72CD3594F231}"/>
    <cellStyle name="Standard 6 4 3 6 2" xfId="10180" xr:uid="{00000000-0005-0000-0000-0000CB270000}"/>
    <cellStyle name="Standard 6 4 3 6 2 10" xfId="22141" xr:uid="{56BE55DE-B5C2-4EF4-9AF8-59DC9A5F5475}"/>
    <cellStyle name="Standard 6 4 3 6 2 2" xfId="10181" xr:uid="{00000000-0005-0000-0000-0000CC270000}"/>
    <cellStyle name="Standard 6 4 3 6 2 2 2" xfId="10182" xr:uid="{00000000-0005-0000-0000-0000CD270000}"/>
    <cellStyle name="Standard 6 4 3 6 2 2 2 2" xfId="10183" xr:uid="{00000000-0005-0000-0000-0000CE270000}"/>
    <cellStyle name="Standard 6 4 3 6 2 2 2 2 2" xfId="22144" xr:uid="{373552A5-D6BB-45E9-BC77-B6939ABFEC1C}"/>
    <cellStyle name="Standard 6 4 3 6 2 2 2 3" xfId="22143" xr:uid="{E8871CC8-26F7-460C-BAA9-B66D2AD2DA8E}"/>
    <cellStyle name="Standard 6 4 3 6 2 2 3" xfId="10184" xr:uid="{00000000-0005-0000-0000-0000CF270000}"/>
    <cellStyle name="Standard 6 4 3 6 2 2 3 2" xfId="22145" xr:uid="{0CDBA802-94F4-4C41-9839-6A1641E22862}"/>
    <cellStyle name="Standard 6 4 3 6 2 2 4" xfId="22142" xr:uid="{A2BB5E38-8057-428C-B3A3-E95837E22BC6}"/>
    <cellStyle name="Standard 6 4 3 6 2 3" xfId="10185" xr:uid="{00000000-0005-0000-0000-0000D0270000}"/>
    <cellStyle name="Standard 6 4 3 6 2 3 2" xfId="10186" xr:uid="{00000000-0005-0000-0000-0000D1270000}"/>
    <cellStyle name="Standard 6 4 3 6 2 3 2 2" xfId="10187" xr:uid="{00000000-0005-0000-0000-0000D2270000}"/>
    <cellStyle name="Standard 6 4 3 6 2 3 2 2 2" xfId="22148" xr:uid="{AB7753D1-D290-42DB-B2D8-BF9681E16E48}"/>
    <cellStyle name="Standard 6 4 3 6 2 3 2 3" xfId="22147" xr:uid="{F3FD25F1-77B6-4826-885B-71026FB43EA4}"/>
    <cellStyle name="Standard 6 4 3 6 2 3 3" xfId="10188" xr:uid="{00000000-0005-0000-0000-0000D3270000}"/>
    <cellStyle name="Standard 6 4 3 6 2 3 3 2" xfId="22149" xr:uid="{929C7DB4-A3DB-4F4F-A5CF-EDEC12890EF8}"/>
    <cellStyle name="Standard 6 4 3 6 2 3 4" xfId="22146" xr:uid="{C63BBDCF-2E6D-432A-A213-7F833ED3BBFC}"/>
    <cellStyle name="Standard 6 4 3 6 2 4" xfId="10189" xr:uid="{00000000-0005-0000-0000-0000D4270000}"/>
    <cellStyle name="Standard 6 4 3 6 2 4 2" xfId="10190" xr:uid="{00000000-0005-0000-0000-0000D5270000}"/>
    <cellStyle name="Standard 6 4 3 6 2 4 2 2" xfId="10191" xr:uid="{00000000-0005-0000-0000-0000D6270000}"/>
    <cellStyle name="Standard 6 4 3 6 2 4 2 2 2" xfId="22152" xr:uid="{4A6B822C-7317-4418-92F3-0D5F267F8A7A}"/>
    <cellStyle name="Standard 6 4 3 6 2 4 2 3" xfId="22151" xr:uid="{3B767957-B808-44A2-8A9A-F0ED81D78A65}"/>
    <cellStyle name="Standard 6 4 3 6 2 4 3" xfId="10192" xr:uid="{00000000-0005-0000-0000-0000D7270000}"/>
    <cellStyle name="Standard 6 4 3 6 2 4 3 2" xfId="22153" xr:uid="{58965568-BB8F-4C6C-B40E-DA1F2A3CF605}"/>
    <cellStyle name="Standard 6 4 3 6 2 4 4" xfId="22150" xr:uid="{8C1705A8-CFA8-4A40-934A-080A132DB467}"/>
    <cellStyle name="Standard 6 4 3 6 2 5" xfId="10193" xr:uid="{00000000-0005-0000-0000-0000D8270000}"/>
    <cellStyle name="Standard 6 4 3 6 2 5 2" xfId="10194" xr:uid="{00000000-0005-0000-0000-0000D9270000}"/>
    <cellStyle name="Standard 6 4 3 6 2 5 2 2" xfId="10195" xr:uid="{00000000-0005-0000-0000-0000DA270000}"/>
    <cellStyle name="Standard 6 4 3 6 2 5 2 2 2" xfId="22156" xr:uid="{BBDB6BB6-92FE-4ECA-B4D5-6653FA89440A}"/>
    <cellStyle name="Standard 6 4 3 6 2 5 2 3" xfId="22155" xr:uid="{B8CC2134-0BC9-40F6-947C-2A852E6784B3}"/>
    <cellStyle name="Standard 6 4 3 6 2 5 3" xfId="10196" xr:uid="{00000000-0005-0000-0000-0000DB270000}"/>
    <cellStyle name="Standard 6 4 3 6 2 5 3 2" xfId="22157" xr:uid="{D4DA4B92-91E4-4DEE-A065-2DF1B9C3FC72}"/>
    <cellStyle name="Standard 6 4 3 6 2 5 4" xfId="22154" xr:uid="{4D5218A7-42A2-416A-8B33-B71122991BB5}"/>
    <cellStyle name="Standard 6 4 3 6 2 6" xfId="10197" xr:uid="{00000000-0005-0000-0000-0000DC270000}"/>
    <cellStyle name="Standard 6 4 3 6 2 6 2" xfId="10198" xr:uid="{00000000-0005-0000-0000-0000DD270000}"/>
    <cellStyle name="Standard 6 4 3 6 2 6 2 2" xfId="10199" xr:uid="{00000000-0005-0000-0000-0000DE270000}"/>
    <cellStyle name="Standard 6 4 3 6 2 6 2 2 2" xfId="22160" xr:uid="{D233BBC2-160C-4F24-8CF8-B3A668A9E227}"/>
    <cellStyle name="Standard 6 4 3 6 2 6 2 3" xfId="22159" xr:uid="{0FF15621-E561-46F8-95E2-62235CD75253}"/>
    <cellStyle name="Standard 6 4 3 6 2 6 3" xfId="10200" xr:uid="{00000000-0005-0000-0000-0000DF270000}"/>
    <cellStyle name="Standard 6 4 3 6 2 6 3 2" xfId="22161" xr:uid="{846A2881-B74F-4159-8EC3-1A759B07B891}"/>
    <cellStyle name="Standard 6 4 3 6 2 6 4" xfId="22158" xr:uid="{835D99C8-91B6-4585-82B0-0E75D28D16F8}"/>
    <cellStyle name="Standard 6 4 3 6 2 7" xfId="10201" xr:uid="{00000000-0005-0000-0000-0000E0270000}"/>
    <cellStyle name="Standard 6 4 3 6 2 7 2" xfId="10202" xr:uid="{00000000-0005-0000-0000-0000E1270000}"/>
    <cellStyle name="Standard 6 4 3 6 2 7 2 2" xfId="10203" xr:uid="{00000000-0005-0000-0000-0000E2270000}"/>
    <cellStyle name="Standard 6 4 3 6 2 7 2 2 2" xfId="22164" xr:uid="{F9572384-4706-4879-B297-DA1AE87BC5E0}"/>
    <cellStyle name="Standard 6 4 3 6 2 7 2 3" xfId="22163" xr:uid="{24714389-82EB-412F-BF05-938F762ADFF8}"/>
    <cellStyle name="Standard 6 4 3 6 2 7 3" xfId="10204" xr:uid="{00000000-0005-0000-0000-0000E3270000}"/>
    <cellStyle name="Standard 6 4 3 6 2 7 3 2" xfId="22165" xr:uid="{629447BE-140B-4B9E-8A45-2412B8528901}"/>
    <cellStyle name="Standard 6 4 3 6 2 7 4" xfId="22162" xr:uid="{13C683A0-13C1-4B62-86B0-93B57CC124C1}"/>
    <cellStyle name="Standard 6 4 3 6 2 8" xfId="10205" xr:uid="{00000000-0005-0000-0000-0000E4270000}"/>
    <cellStyle name="Standard 6 4 3 6 2 8 2" xfId="10206" xr:uid="{00000000-0005-0000-0000-0000E5270000}"/>
    <cellStyle name="Standard 6 4 3 6 2 8 2 2" xfId="22167" xr:uid="{60808D71-CEF5-4435-A05F-2AF8C0A21720}"/>
    <cellStyle name="Standard 6 4 3 6 2 8 3" xfId="22166" xr:uid="{E4A034E7-756D-4881-9BBE-C006F0BA6786}"/>
    <cellStyle name="Standard 6 4 3 6 2 9" xfId="10207" xr:uid="{00000000-0005-0000-0000-0000E6270000}"/>
    <cellStyle name="Standard 6 4 3 6 2 9 2" xfId="22168" xr:uid="{71034086-A45D-444A-ACB9-54EF8C58C959}"/>
    <cellStyle name="Standard 6 4 3 6 3" xfId="10208" xr:uid="{00000000-0005-0000-0000-0000E7270000}"/>
    <cellStyle name="Standard 6 4 3 6 3 2" xfId="10209" xr:uid="{00000000-0005-0000-0000-0000E8270000}"/>
    <cellStyle name="Standard 6 4 3 6 3 2 2" xfId="10210" xr:uid="{00000000-0005-0000-0000-0000E9270000}"/>
    <cellStyle name="Standard 6 4 3 6 3 2 2 2" xfId="22171" xr:uid="{F56DD056-2C33-41C1-9A05-C3C0E190E32D}"/>
    <cellStyle name="Standard 6 4 3 6 3 2 3" xfId="22170" xr:uid="{C17A41DD-BDF2-4098-9A37-EC6515DD1021}"/>
    <cellStyle name="Standard 6 4 3 6 3 3" xfId="10211" xr:uid="{00000000-0005-0000-0000-0000EA270000}"/>
    <cellStyle name="Standard 6 4 3 6 3 3 2" xfId="22172" xr:uid="{712A5B18-743E-4C8A-BD10-C0F6D0276E8E}"/>
    <cellStyle name="Standard 6 4 3 6 3 4" xfId="22169" xr:uid="{815EACDA-9E62-4DDA-A38F-E7E97259761E}"/>
    <cellStyle name="Standard 6 4 3 6 4" xfId="10212" xr:uid="{00000000-0005-0000-0000-0000EB270000}"/>
    <cellStyle name="Standard 6 4 3 6 4 2" xfId="10213" xr:uid="{00000000-0005-0000-0000-0000EC270000}"/>
    <cellStyle name="Standard 6 4 3 6 4 2 2" xfId="10214" xr:uid="{00000000-0005-0000-0000-0000ED270000}"/>
    <cellStyle name="Standard 6 4 3 6 4 2 2 2" xfId="22175" xr:uid="{8ABF69D3-477A-40F9-A67C-74F1CFCA32EE}"/>
    <cellStyle name="Standard 6 4 3 6 4 2 3" xfId="22174" xr:uid="{EDA561ED-03B3-4946-8514-90F298E1B969}"/>
    <cellStyle name="Standard 6 4 3 6 4 3" xfId="10215" xr:uid="{00000000-0005-0000-0000-0000EE270000}"/>
    <cellStyle name="Standard 6 4 3 6 4 3 2" xfId="22176" xr:uid="{9DAB6E3E-5CE2-4F94-ADE6-4117EEA6C622}"/>
    <cellStyle name="Standard 6 4 3 6 4 4" xfId="22173" xr:uid="{E9954ECD-F112-46FF-96DA-CB5C6F8FCF92}"/>
    <cellStyle name="Standard 6 4 3 6 5" xfId="10216" xr:uid="{00000000-0005-0000-0000-0000EF270000}"/>
    <cellStyle name="Standard 6 4 3 6 5 2" xfId="10217" xr:uid="{00000000-0005-0000-0000-0000F0270000}"/>
    <cellStyle name="Standard 6 4 3 6 5 2 2" xfId="10218" xr:uid="{00000000-0005-0000-0000-0000F1270000}"/>
    <cellStyle name="Standard 6 4 3 6 5 2 2 2" xfId="22179" xr:uid="{1B9E0380-334A-4690-B6D9-D5E4CA5D7DE2}"/>
    <cellStyle name="Standard 6 4 3 6 5 2 3" xfId="22178" xr:uid="{671980E8-FBBA-49F2-B8E4-073B0A9F35C7}"/>
    <cellStyle name="Standard 6 4 3 6 5 3" xfId="10219" xr:uid="{00000000-0005-0000-0000-0000F2270000}"/>
    <cellStyle name="Standard 6 4 3 6 5 3 2" xfId="22180" xr:uid="{D12FE905-B04D-4963-9664-052D77B5AE82}"/>
    <cellStyle name="Standard 6 4 3 6 5 4" xfId="22177" xr:uid="{1F2EE7F1-565A-466B-B3A9-9EC8669D9977}"/>
    <cellStyle name="Standard 6 4 3 6 6" xfId="10220" xr:uid="{00000000-0005-0000-0000-0000F3270000}"/>
    <cellStyle name="Standard 6 4 3 6 6 2" xfId="10221" xr:uid="{00000000-0005-0000-0000-0000F4270000}"/>
    <cellStyle name="Standard 6 4 3 6 6 2 2" xfId="10222" xr:uid="{00000000-0005-0000-0000-0000F5270000}"/>
    <cellStyle name="Standard 6 4 3 6 6 2 2 2" xfId="22183" xr:uid="{D30BA54D-227F-49BD-B740-AA10A0DF78AD}"/>
    <cellStyle name="Standard 6 4 3 6 6 2 3" xfId="22182" xr:uid="{6843958B-2F9C-4A91-9487-E98AEC1F6E38}"/>
    <cellStyle name="Standard 6 4 3 6 6 3" xfId="10223" xr:uid="{00000000-0005-0000-0000-0000F6270000}"/>
    <cellStyle name="Standard 6 4 3 6 6 3 2" xfId="22184" xr:uid="{3A05D52F-446C-4CEC-B299-1CC5C0EE5CAB}"/>
    <cellStyle name="Standard 6 4 3 6 6 4" xfId="22181" xr:uid="{AFBAB228-5E80-4CC9-A066-AC4EDE64E915}"/>
    <cellStyle name="Standard 6 4 3 6 7" xfId="10224" xr:uid="{00000000-0005-0000-0000-0000F7270000}"/>
    <cellStyle name="Standard 6 4 3 6 7 2" xfId="10225" xr:uid="{00000000-0005-0000-0000-0000F8270000}"/>
    <cellStyle name="Standard 6 4 3 6 7 2 2" xfId="10226" xr:uid="{00000000-0005-0000-0000-0000F9270000}"/>
    <cellStyle name="Standard 6 4 3 6 7 2 2 2" xfId="22187" xr:uid="{E952066C-4831-41D3-BC0C-25C499003CFA}"/>
    <cellStyle name="Standard 6 4 3 6 7 2 3" xfId="22186" xr:uid="{2FBD36FB-C170-4D59-9BDB-FD932B1F863E}"/>
    <cellStyle name="Standard 6 4 3 6 7 3" xfId="10227" xr:uid="{00000000-0005-0000-0000-0000FA270000}"/>
    <cellStyle name="Standard 6 4 3 6 7 3 2" xfId="22188" xr:uid="{28E14E29-A729-4ED0-B008-AB8A6FFC7E9B}"/>
    <cellStyle name="Standard 6 4 3 6 7 4" xfId="22185" xr:uid="{F72D1345-98A8-4D5E-864A-77AEC93C1D16}"/>
    <cellStyle name="Standard 6 4 3 6 8" xfId="10228" xr:uid="{00000000-0005-0000-0000-0000FB270000}"/>
    <cellStyle name="Standard 6 4 3 6 8 2" xfId="10229" xr:uid="{00000000-0005-0000-0000-0000FC270000}"/>
    <cellStyle name="Standard 6 4 3 6 8 2 2" xfId="10230" xr:uid="{00000000-0005-0000-0000-0000FD270000}"/>
    <cellStyle name="Standard 6 4 3 6 8 2 2 2" xfId="22191" xr:uid="{05A6DAD9-C2EA-4ADB-A49B-C53693C67A26}"/>
    <cellStyle name="Standard 6 4 3 6 8 2 3" xfId="22190" xr:uid="{AA93096B-6B1C-4652-99A6-052B08BCE03E}"/>
    <cellStyle name="Standard 6 4 3 6 8 3" xfId="10231" xr:uid="{00000000-0005-0000-0000-0000FE270000}"/>
    <cellStyle name="Standard 6 4 3 6 8 3 2" xfId="22192" xr:uid="{06938C0E-FC6F-45C1-B392-14F10858CE29}"/>
    <cellStyle name="Standard 6 4 3 6 8 4" xfId="22189" xr:uid="{5D295AEF-80FC-44C9-BFE3-3542BF576DE1}"/>
    <cellStyle name="Standard 6 4 3 6 9" xfId="10232" xr:uid="{00000000-0005-0000-0000-0000FF270000}"/>
    <cellStyle name="Standard 6 4 3 6 9 2" xfId="10233" xr:uid="{00000000-0005-0000-0000-000000280000}"/>
    <cellStyle name="Standard 6 4 3 6 9 2 2" xfId="22194" xr:uid="{C0D61A8F-490B-4FC2-A1AA-06139CEB2938}"/>
    <cellStyle name="Standard 6 4 3 6 9 3" xfId="22193" xr:uid="{F00F781D-2BCB-4A8C-B5DD-D2A574E283F6}"/>
    <cellStyle name="Standard 6 4 3 7" xfId="10234" xr:uid="{00000000-0005-0000-0000-000001280000}"/>
    <cellStyle name="Standard 6 4 3 7 10" xfId="10235" xr:uid="{00000000-0005-0000-0000-000002280000}"/>
    <cellStyle name="Standard 6 4 3 7 10 2" xfId="22196" xr:uid="{751A2DF7-9300-4C9D-BC6E-214A988C6E46}"/>
    <cellStyle name="Standard 6 4 3 7 11" xfId="22195" xr:uid="{FD885DDA-3D6F-4E57-9A76-D29B4EC4636A}"/>
    <cellStyle name="Standard 6 4 3 7 2" xfId="10236" xr:uid="{00000000-0005-0000-0000-000003280000}"/>
    <cellStyle name="Standard 6 4 3 7 2 10" xfId="22197" xr:uid="{9FEF8FB5-8854-4EE7-BEB1-24638C47F3CD}"/>
    <cellStyle name="Standard 6 4 3 7 2 2" xfId="10237" xr:uid="{00000000-0005-0000-0000-000004280000}"/>
    <cellStyle name="Standard 6 4 3 7 2 2 2" xfId="10238" xr:uid="{00000000-0005-0000-0000-000005280000}"/>
    <cellStyle name="Standard 6 4 3 7 2 2 2 2" xfId="10239" xr:uid="{00000000-0005-0000-0000-000006280000}"/>
    <cellStyle name="Standard 6 4 3 7 2 2 2 2 2" xfId="22200" xr:uid="{18156D4B-28C0-49A1-8511-FE3E4ADAD505}"/>
    <cellStyle name="Standard 6 4 3 7 2 2 2 3" xfId="22199" xr:uid="{C673801F-BC57-45FA-8424-EB29D42DC07F}"/>
    <cellStyle name="Standard 6 4 3 7 2 2 3" xfId="10240" xr:uid="{00000000-0005-0000-0000-000007280000}"/>
    <cellStyle name="Standard 6 4 3 7 2 2 3 2" xfId="22201" xr:uid="{73FF5513-43B4-4FE0-B8B2-3F83D6D500AB}"/>
    <cellStyle name="Standard 6 4 3 7 2 2 4" xfId="22198" xr:uid="{14B6867F-BA89-4806-AC78-124C9E1BED97}"/>
    <cellStyle name="Standard 6 4 3 7 2 3" xfId="10241" xr:uid="{00000000-0005-0000-0000-000008280000}"/>
    <cellStyle name="Standard 6 4 3 7 2 3 2" xfId="10242" xr:uid="{00000000-0005-0000-0000-000009280000}"/>
    <cellStyle name="Standard 6 4 3 7 2 3 2 2" xfId="10243" xr:uid="{00000000-0005-0000-0000-00000A280000}"/>
    <cellStyle name="Standard 6 4 3 7 2 3 2 2 2" xfId="22204" xr:uid="{1942A870-4FB0-4EC5-AAA5-3538B35F90B0}"/>
    <cellStyle name="Standard 6 4 3 7 2 3 2 3" xfId="22203" xr:uid="{B0F658DD-B779-4082-A2E7-8C7BA473BF8E}"/>
    <cellStyle name="Standard 6 4 3 7 2 3 3" xfId="10244" xr:uid="{00000000-0005-0000-0000-00000B280000}"/>
    <cellStyle name="Standard 6 4 3 7 2 3 3 2" xfId="22205" xr:uid="{AB8313B7-1149-4BF3-BA52-614E2F2F821D}"/>
    <cellStyle name="Standard 6 4 3 7 2 3 4" xfId="22202" xr:uid="{EC7D7C5C-083A-4E74-AE7B-83CE1EAFB038}"/>
    <cellStyle name="Standard 6 4 3 7 2 4" xfId="10245" xr:uid="{00000000-0005-0000-0000-00000C280000}"/>
    <cellStyle name="Standard 6 4 3 7 2 4 2" xfId="10246" xr:uid="{00000000-0005-0000-0000-00000D280000}"/>
    <cellStyle name="Standard 6 4 3 7 2 4 2 2" xfId="10247" xr:uid="{00000000-0005-0000-0000-00000E280000}"/>
    <cellStyle name="Standard 6 4 3 7 2 4 2 2 2" xfId="22208" xr:uid="{B17F5284-CDE1-4F6E-83B4-5A20EB3CB913}"/>
    <cellStyle name="Standard 6 4 3 7 2 4 2 3" xfId="22207" xr:uid="{72958B29-0E62-4AF4-B352-A118340BE3C8}"/>
    <cellStyle name="Standard 6 4 3 7 2 4 3" xfId="10248" xr:uid="{00000000-0005-0000-0000-00000F280000}"/>
    <cellStyle name="Standard 6 4 3 7 2 4 3 2" xfId="22209" xr:uid="{7C8169C3-08AC-4A4B-BF07-6410F3BF022D}"/>
    <cellStyle name="Standard 6 4 3 7 2 4 4" xfId="22206" xr:uid="{59AD9D85-12F6-4E4D-BC78-77A7FA96806D}"/>
    <cellStyle name="Standard 6 4 3 7 2 5" xfId="10249" xr:uid="{00000000-0005-0000-0000-000010280000}"/>
    <cellStyle name="Standard 6 4 3 7 2 5 2" xfId="10250" xr:uid="{00000000-0005-0000-0000-000011280000}"/>
    <cellStyle name="Standard 6 4 3 7 2 5 2 2" xfId="10251" xr:uid="{00000000-0005-0000-0000-000012280000}"/>
    <cellStyle name="Standard 6 4 3 7 2 5 2 2 2" xfId="22212" xr:uid="{74E9F44C-8245-4B0E-8556-55977B978936}"/>
    <cellStyle name="Standard 6 4 3 7 2 5 2 3" xfId="22211" xr:uid="{E4BEB284-A36B-487B-B6B9-CCFC9B813047}"/>
    <cellStyle name="Standard 6 4 3 7 2 5 3" xfId="10252" xr:uid="{00000000-0005-0000-0000-000013280000}"/>
    <cellStyle name="Standard 6 4 3 7 2 5 3 2" xfId="22213" xr:uid="{9AF4EB7E-308B-4128-9CCD-76E4FBE777B6}"/>
    <cellStyle name="Standard 6 4 3 7 2 5 4" xfId="22210" xr:uid="{6ED2E04F-DB9F-4F39-BF89-9C2514605AD0}"/>
    <cellStyle name="Standard 6 4 3 7 2 6" xfId="10253" xr:uid="{00000000-0005-0000-0000-000014280000}"/>
    <cellStyle name="Standard 6 4 3 7 2 6 2" xfId="10254" xr:uid="{00000000-0005-0000-0000-000015280000}"/>
    <cellStyle name="Standard 6 4 3 7 2 6 2 2" xfId="10255" xr:uid="{00000000-0005-0000-0000-000016280000}"/>
    <cellStyle name="Standard 6 4 3 7 2 6 2 2 2" xfId="22216" xr:uid="{E91F74F7-F3FD-4A20-B02F-A9A612FC5353}"/>
    <cellStyle name="Standard 6 4 3 7 2 6 2 3" xfId="22215" xr:uid="{5A9F19D8-F4AB-46ED-B7C2-89AF3FC99319}"/>
    <cellStyle name="Standard 6 4 3 7 2 6 3" xfId="10256" xr:uid="{00000000-0005-0000-0000-000017280000}"/>
    <cellStyle name="Standard 6 4 3 7 2 6 3 2" xfId="22217" xr:uid="{EA0DB652-6D19-49FD-8869-CC64CE3ADADF}"/>
    <cellStyle name="Standard 6 4 3 7 2 6 4" xfId="22214" xr:uid="{630A613D-63EA-44A0-9B7B-5CF11E4785C5}"/>
    <cellStyle name="Standard 6 4 3 7 2 7" xfId="10257" xr:uid="{00000000-0005-0000-0000-000018280000}"/>
    <cellStyle name="Standard 6 4 3 7 2 7 2" xfId="10258" xr:uid="{00000000-0005-0000-0000-000019280000}"/>
    <cellStyle name="Standard 6 4 3 7 2 7 2 2" xfId="10259" xr:uid="{00000000-0005-0000-0000-00001A280000}"/>
    <cellStyle name="Standard 6 4 3 7 2 7 2 2 2" xfId="22220" xr:uid="{05AF254C-68DA-4C0D-9487-B6BC2849576E}"/>
    <cellStyle name="Standard 6 4 3 7 2 7 2 3" xfId="22219" xr:uid="{3E43C589-6F59-4F7C-803D-C5343EDA6266}"/>
    <cellStyle name="Standard 6 4 3 7 2 7 3" xfId="10260" xr:uid="{00000000-0005-0000-0000-00001B280000}"/>
    <cellStyle name="Standard 6 4 3 7 2 7 3 2" xfId="22221" xr:uid="{95932050-5F83-474B-A01A-3943C0E19D98}"/>
    <cellStyle name="Standard 6 4 3 7 2 7 4" xfId="22218" xr:uid="{8AA63879-96E3-47DA-AE8D-01C1223A4003}"/>
    <cellStyle name="Standard 6 4 3 7 2 8" xfId="10261" xr:uid="{00000000-0005-0000-0000-00001C280000}"/>
    <cellStyle name="Standard 6 4 3 7 2 8 2" xfId="10262" xr:uid="{00000000-0005-0000-0000-00001D280000}"/>
    <cellStyle name="Standard 6 4 3 7 2 8 2 2" xfId="22223" xr:uid="{67877A2A-3ECE-42F7-8DF7-6628E3DE4726}"/>
    <cellStyle name="Standard 6 4 3 7 2 8 3" xfId="22222" xr:uid="{923F09CF-20D2-4002-A6AD-75563004F8D5}"/>
    <cellStyle name="Standard 6 4 3 7 2 9" xfId="10263" xr:uid="{00000000-0005-0000-0000-00001E280000}"/>
    <cellStyle name="Standard 6 4 3 7 2 9 2" xfId="22224" xr:uid="{57594C7F-6722-464B-9F60-7EB7BE29243C}"/>
    <cellStyle name="Standard 6 4 3 7 3" xfId="10264" xr:uid="{00000000-0005-0000-0000-00001F280000}"/>
    <cellStyle name="Standard 6 4 3 7 3 2" xfId="10265" xr:uid="{00000000-0005-0000-0000-000020280000}"/>
    <cellStyle name="Standard 6 4 3 7 3 2 2" xfId="10266" xr:uid="{00000000-0005-0000-0000-000021280000}"/>
    <cellStyle name="Standard 6 4 3 7 3 2 2 2" xfId="22227" xr:uid="{03A443F2-83D7-4DFC-96C5-A7F5EB24E23E}"/>
    <cellStyle name="Standard 6 4 3 7 3 2 3" xfId="22226" xr:uid="{FAD5FF77-C348-4F61-A79D-AA5876CD914F}"/>
    <cellStyle name="Standard 6 4 3 7 3 3" xfId="10267" xr:uid="{00000000-0005-0000-0000-000022280000}"/>
    <cellStyle name="Standard 6 4 3 7 3 3 2" xfId="22228" xr:uid="{86F4DF09-D4AD-43EA-BEC3-80B7955AF432}"/>
    <cellStyle name="Standard 6 4 3 7 3 4" xfId="22225" xr:uid="{EB077C4D-60B1-4B4B-BBE1-63E21780A8B5}"/>
    <cellStyle name="Standard 6 4 3 7 4" xfId="10268" xr:uid="{00000000-0005-0000-0000-000023280000}"/>
    <cellStyle name="Standard 6 4 3 7 4 2" xfId="10269" xr:uid="{00000000-0005-0000-0000-000024280000}"/>
    <cellStyle name="Standard 6 4 3 7 4 2 2" xfId="10270" xr:uid="{00000000-0005-0000-0000-000025280000}"/>
    <cellStyle name="Standard 6 4 3 7 4 2 2 2" xfId="22231" xr:uid="{36259C75-2BA5-4611-8E4B-49CE1D1068F9}"/>
    <cellStyle name="Standard 6 4 3 7 4 2 3" xfId="22230" xr:uid="{F870DF45-93DB-43AD-9543-5FF72EA77ACD}"/>
    <cellStyle name="Standard 6 4 3 7 4 3" xfId="10271" xr:uid="{00000000-0005-0000-0000-000026280000}"/>
    <cellStyle name="Standard 6 4 3 7 4 3 2" xfId="22232" xr:uid="{A05F76DF-E828-41A0-84A9-7A374205F961}"/>
    <cellStyle name="Standard 6 4 3 7 4 4" xfId="22229" xr:uid="{361DDF71-E784-47D5-8038-270C3DDF4AD6}"/>
    <cellStyle name="Standard 6 4 3 7 5" xfId="10272" xr:uid="{00000000-0005-0000-0000-000027280000}"/>
    <cellStyle name="Standard 6 4 3 7 5 2" xfId="10273" xr:uid="{00000000-0005-0000-0000-000028280000}"/>
    <cellStyle name="Standard 6 4 3 7 5 2 2" xfId="10274" xr:uid="{00000000-0005-0000-0000-000029280000}"/>
    <cellStyle name="Standard 6 4 3 7 5 2 2 2" xfId="22235" xr:uid="{1187991C-BD9E-4507-BBB1-60448E383504}"/>
    <cellStyle name="Standard 6 4 3 7 5 2 3" xfId="22234" xr:uid="{210EAF20-0CC8-4279-B34F-4F45D46DDE98}"/>
    <cellStyle name="Standard 6 4 3 7 5 3" xfId="10275" xr:uid="{00000000-0005-0000-0000-00002A280000}"/>
    <cellStyle name="Standard 6 4 3 7 5 3 2" xfId="22236" xr:uid="{977E1C87-EDA4-40D1-A834-9DC7EF3CB693}"/>
    <cellStyle name="Standard 6 4 3 7 5 4" xfId="22233" xr:uid="{6FA89A7A-BFDD-47C1-8A7C-29DA84F80805}"/>
    <cellStyle name="Standard 6 4 3 7 6" xfId="10276" xr:uid="{00000000-0005-0000-0000-00002B280000}"/>
    <cellStyle name="Standard 6 4 3 7 6 2" xfId="10277" xr:uid="{00000000-0005-0000-0000-00002C280000}"/>
    <cellStyle name="Standard 6 4 3 7 6 2 2" xfId="10278" xr:uid="{00000000-0005-0000-0000-00002D280000}"/>
    <cellStyle name="Standard 6 4 3 7 6 2 2 2" xfId="22239" xr:uid="{1586856A-539A-4DE3-A336-F213C8AEC15B}"/>
    <cellStyle name="Standard 6 4 3 7 6 2 3" xfId="22238" xr:uid="{38E5EB6C-94D0-4BDA-871A-158A7237747F}"/>
    <cellStyle name="Standard 6 4 3 7 6 3" xfId="10279" xr:uid="{00000000-0005-0000-0000-00002E280000}"/>
    <cellStyle name="Standard 6 4 3 7 6 3 2" xfId="22240" xr:uid="{DBD8F6BF-C828-4D73-8DD1-6E9A6C4BDC55}"/>
    <cellStyle name="Standard 6 4 3 7 6 4" xfId="22237" xr:uid="{8FED181A-9262-4FC0-9524-5F2A808E17FD}"/>
    <cellStyle name="Standard 6 4 3 7 7" xfId="10280" xr:uid="{00000000-0005-0000-0000-00002F280000}"/>
    <cellStyle name="Standard 6 4 3 7 7 2" xfId="10281" xr:uid="{00000000-0005-0000-0000-000030280000}"/>
    <cellStyle name="Standard 6 4 3 7 7 2 2" xfId="10282" xr:uid="{00000000-0005-0000-0000-000031280000}"/>
    <cellStyle name="Standard 6 4 3 7 7 2 2 2" xfId="22243" xr:uid="{4F750694-30AE-448C-AED0-990842DA629E}"/>
    <cellStyle name="Standard 6 4 3 7 7 2 3" xfId="22242" xr:uid="{11D2D600-9CF2-4F02-92C9-F274BFF35EA5}"/>
    <cellStyle name="Standard 6 4 3 7 7 3" xfId="10283" xr:uid="{00000000-0005-0000-0000-000032280000}"/>
    <cellStyle name="Standard 6 4 3 7 7 3 2" xfId="22244" xr:uid="{398451A9-5757-403B-AF0A-CFA889CE2F99}"/>
    <cellStyle name="Standard 6 4 3 7 7 4" xfId="22241" xr:uid="{9708BB32-4DFE-4380-A896-EB4FC11197D4}"/>
    <cellStyle name="Standard 6 4 3 7 8" xfId="10284" xr:uid="{00000000-0005-0000-0000-000033280000}"/>
    <cellStyle name="Standard 6 4 3 7 8 2" xfId="10285" xr:uid="{00000000-0005-0000-0000-000034280000}"/>
    <cellStyle name="Standard 6 4 3 7 8 2 2" xfId="10286" xr:uid="{00000000-0005-0000-0000-000035280000}"/>
    <cellStyle name="Standard 6 4 3 7 8 2 2 2" xfId="22247" xr:uid="{0EEB840F-96CD-4D07-A9A0-777DFC10AE9D}"/>
    <cellStyle name="Standard 6 4 3 7 8 2 3" xfId="22246" xr:uid="{FA12B913-467E-459D-BA2B-9D8908C12740}"/>
    <cellStyle name="Standard 6 4 3 7 8 3" xfId="10287" xr:uid="{00000000-0005-0000-0000-000036280000}"/>
    <cellStyle name="Standard 6 4 3 7 8 3 2" xfId="22248" xr:uid="{300530CC-AFE2-4E1E-879C-C160586100F5}"/>
    <cellStyle name="Standard 6 4 3 7 8 4" xfId="22245" xr:uid="{FE9EF454-23CE-4D5B-8241-4A6B35214598}"/>
    <cellStyle name="Standard 6 4 3 7 9" xfId="10288" xr:uid="{00000000-0005-0000-0000-000037280000}"/>
    <cellStyle name="Standard 6 4 3 7 9 2" xfId="10289" xr:uid="{00000000-0005-0000-0000-000038280000}"/>
    <cellStyle name="Standard 6 4 3 7 9 2 2" xfId="22250" xr:uid="{3CDE3DDD-49A6-4AE5-B3EE-FB330CD23D5D}"/>
    <cellStyle name="Standard 6 4 3 7 9 3" xfId="22249" xr:uid="{B6C74B4C-B5CC-4F0A-AA19-6D40FF7AD991}"/>
    <cellStyle name="Standard 6 4 3 8" xfId="10290" xr:uid="{00000000-0005-0000-0000-000039280000}"/>
    <cellStyle name="Standard 6 4 3 8 10" xfId="22251" xr:uid="{E647D4C3-1E1D-4A9D-B839-211AECDD607A}"/>
    <cellStyle name="Standard 6 4 3 8 2" xfId="10291" xr:uid="{00000000-0005-0000-0000-00003A280000}"/>
    <cellStyle name="Standard 6 4 3 8 2 2" xfId="10292" xr:uid="{00000000-0005-0000-0000-00003B280000}"/>
    <cellStyle name="Standard 6 4 3 8 2 2 2" xfId="10293" xr:uid="{00000000-0005-0000-0000-00003C280000}"/>
    <cellStyle name="Standard 6 4 3 8 2 2 2 2" xfId="22254" xr:uid="{DF240CE8-C18D-4DE5-BBFB-85B6630C8287}"/>
    <cellStyle name="Standard 6 4 3 8 2 2 3" xfId="22253" xr:uid="{08F18054-BC0F-490E-B743-08210C180054}"/>
    <cellStyle name="Standard 6 4 3 8 2 3" xfId="10294" xr:uid="{00000000-0005-0000-0000-00003D280000}"/>
    <cellStyle name="Standard 6 4 3 8 2 3 2" xfId="22255" xr:uid="{D772D309-EFE9-4681-BD12-60DE05C9D991}"/>
    <cellStyle name="Standard 6 4 3 8 2 4" xfId="22252" xr:uid="{6CD22536-D2C1-4E4A-BD59-C2F2376D9C0A}"/>
    <cellStyle name="Standard 6 4 3 8 3" xfId="10295" xr:uid="{00000000-0005-0000-0000-00003E280000}"/>
    <cellStyle name="Standard 6 4 3 8 3 2" xfId="10296" xr:uid="{00000000-0005-0000-0000-00003F280000}"/>
    <cellStyle name="Standard 6 4 3 8 3 2 2" xfId="10297" xr:uid="{00000000-0005-0000-0000-000040280000}"/>
    <cellStyle name="Standard 6 4 3 8 3 2 2 2" xfId="22258" xr:uid="{BD2C97EB-681A-4D1E-97A2-7C584F83B8B6}"/>
    <cellStyle name="Standard 6 4 3 8 3 2 3" xfId="22257" xr:uid="{85FA8961-4070-440F-BDAE-CE63D519FE32}"/>
    <cellStyle name="Standard 6 4 3 8 3 3" xfId="10298" xr:uid="{00000000-0005-0000-0000-000041280000}"/>
    <cellStyle name="Standard 6 4 3 8 3 3 2" xfId="22259" xr:uid="{4416A631-DC2F-4CD6-A106-96E8CC1D7B0F}"/>
    <cellStyle name="Standard 6 4 3 8 3 4" xfId="22256" xr:uid="{48423D4A-EEFA-4251-B6F4-00A701165293}"/>
    <cellStyle name="Standard 6 4 3 8 4" xfId="10299" xr:uid="{00000000-0005-0000-0000-000042280000}"/>
    <cellStyle name="Standard 6 4 3 8 4 2" xfId="10300" xr:uid="{00000000-0005-0000-0000-000043280000}"/>
    <cellStyle name="Standard 6 4 3 8 4 2 2" xfId="10301" xr:uid="{00000000-0005-0000-0000-000044280000}"/>
    <cellStyle name="Standard 6 4 3 8 4 2 2 2" xfId="22262" xr:uid="{01306AA7-69B4-4290-A2B5-4B1845F9C1EB}"/>
    <cellStyle name="Standard 6 4 3 8 4 2 3" xfId="22261" xr:uid="{DD806526-83AD-4F32-8DF6-2135D8DF8AA8}"/>
    <cellStyle name="Standard 6 4 3 8 4 3" xfId="10302" xr:uid="{00000000-0005-0000-0000-000045280000}"/>
    <cellStyle name="Standard 6 4 3 8 4 3 2" xfId="22263" xr:uid="{0B561EA4-BF83-4467-8C11-0AFAFF5661DA}"/>
    <cellStyle name="Standard 6 4 3 8 4 4" xfId="22260" xr:uid="{77EF8633-191F-4563-8884-A3FC02FA2E7E}"/>
    <cellStyle name="Standard 6 4 3 8 5" xfId="10303" xr:uid="{00000000-0005-0000-0000-000046280000}"/>
    <cellStyle name="Standard 6 4 3 8 5 2" xfId="10304" xr:uid="{00000000-0005-0000-0000-000047280000}"/>
    <cellStyle name="Standard 6 4 3 8 5 2 2" xfId="10305" xr:uid="{00000000-0005-0000-0000-000048280000}"/>
    <cellStyle name="Standard 6 4 3 8 5 2 2 2" xfId="22266" xr:uid="{BF98F2DB-CDD2-428E-B836-04C5B35B0CF3}"/>
    <cellStyle name="Standard 6 4 3 8 5 2 3" xfId="22265" xr:uid="{8DD3701C-8CFB-48F9-916A-5FF96C2B58A9}"/>
    <cellStyle name="Standard 6 4 3 8 5 3" xfId="10306" xr:uid="{00000000-0005-0000-0000-000049280000}"/>
    <cellStyle name="Standard 6 4 3 8 5 3 2" xfId="22267" xr:uid="{FE4D618A-8992-4F89-966A-42DC679C822E}"/>
    <cellStyle name="Standard 6 4 3 8 5 4" xfId="22264" xr:uid="{362DCEE6-3C59-4D00-9ABC-7605C39D666C}"/>
    <cellStyle name="Standard 6 4 3 8 6" xfId="10307" xr:uid="{00000000-0005-0000-0000-00004A280000}"/>
    <cellStyle name="Standard 6 4 3 8 6 2" xfId="10308" xr:uid="{00000000-0005-0000-0000-00004B280000}"/>
    <cellStyle name="Standard 6 4 3 8 6 2 2" xfId="10309" xr:uid="{00000000-0005-0000-0000-00004C280000}"/>
    <cellStyle name="Standard 6 4 3 8 6 2 2 2" xfId="22270" xr:uid="{891F01CC-BB16-4DA5-8C96-4378D04F45AE}"/>
    <cellStyle name="Standard 6 4 3 8 6 2 3" xfId="22269" xr:uid="{3B93084E-11F7-4048-AF06-007B97BD410B}"/>
    <cellStyle name="Standard 6 4 3 8 6 3" xfId="10310" xr:uid="{00000000-0005-0000-0000-00004D280000}"/>
    <cellStyle name="Standard 6 4 3 8 6 3 2" xfId="22271" xr:uid="{BA2FC532-1193-4DEA-B710-736CDEAB91EA}"/>
    <cellStyle name="Standard 6 4 3 8 6 4" xfId="22268" xr:uid="{86A7D03D-3777-4806-AD37-CFC883C65447}"/>
    <cellStyle name="Standard 6 4 3 8 7" xfId="10311" xr:uid="{00000000-0005-0000-0000-00004E280000}"/>
    <cellStyle name="Standard 6 4 3 8 7 2" xfId="10312" xr:uid="{00000000-0005-0000-0000-00004F280000}"/>
    <cellStyle name="Standard 6 4 3 8 7 2 2" xfId="10313" xr:uid="{00000000-0005-0000-0000-000050280000}"/>
    <cellStyle name="Standard 6 4 3 8 7 2 2 2" xfId="22274" xr:uid="{87DD763D-027E-4330-BAC7-AED978727AD5}"/>
    <cellStyle name="Standard 6 4 3 8 7 2 3" xfId="22273" xr:uid="{581BDF01-38B6-4E6A-9740-833B4F6BFEE3}"/>
    <cellStyle name="Standard 6 4 3 8 7 3" xfId="10314" xr:uid="{00000000-0005-0000-0000-000051280000}"/>
    <cellStyle name="Standard 6 4 3 8 7 3 2" xfId="22275" xr:uid="{C3516BE0-D231-4B5C-9D3E-8A6623681F0E}"/>
    <cellStyle name="Standard 6 4 3 8 7 4" xfId="22272" xr:uid="{451A75C0-0D1B-4964-A54F-A51A0878D8A8}"/>
    <cellStyle name="Standard 6 4 3 8 8" xfId="10315" xr:uid="{00000000-0005-0000-0000-000052280000}"/>
    <cellStyle name="Standard 6 4 3 8 8 2" xfId="10316" xr:uid="{00000000-0005-0000-0000-000053280000}"/>
    <cellStyle name="Standard 6 4 3 8 8 2 2" xfId="22277" xr:uid="{F0138943-ADA8-40CD-AB90-0BEBF6DADA52}"/>
    <cellStyle name="Standard 6 4 3 8 8 3" xfId="22276" xr:uid="{1D13845A-2FAA-4D63-9633-D6C13294F8E0}"/>
    <cellStyle name="Standard 6 4 3 8 9" xfId="10317" xr:uid="{00000000-0005-0000-0000-000054280000}"/>
    <cellStyle name="Standard 6 4 3 8 9 2" xfId="22278" xr:uid="{BF9E98BC-089E-490A-9C7F-D73C632535E8}"/>
    <cellStyle name="Standard 6 4 3 9" xfId="10318" xr:uid="{00000000-0005-0000-0000-000055280000}"/>
    <cellStyle name="Standard 6 4 3 9 2" xfId="10319" xr:uid="{00000000-0005-0000-0000-000056280000}"/>
    <cellStyle name="Standard 6 4 3 9 2 2" xfId="10320" xr:uid="{00000000-0005-0000-0000-000057280000}"/>
    <cellStyle name="Standard 6 4 3 9 2 2 2" xfId="10321" xr:uid="{00000000-0005-0000-0000-000058280000}"/>
    <cellStyle name="Standard 6 4 3 9 2 2 2 2" xfId="22282" xr:uid="{71C78606-2FDB-4612-876F-120F37910B94}"/>
    <cellStyle name="Standard 6 4 3 9 2 2 3" xfId="22281" xr:uid="{370B5579-882B-4A32-A820-F5556B7E1DBD}"/>
    <cellStyle name="Standard 6 4 3 9 2 3" xfId="10322" xr:uid="{00000000-0005-0000-0000-000059280000}"/>
    <cellStyle name="Standard 6 4 3 9 2 3 2" xfId="22283" xr:uid="{CAA19703-D2D2-430A-9142-0177AE3CA6BD}"/>
    <cellStyle name="Standard 6 4 3 9 2 4" xfId="22280" xr:uid="{C1E680AD-9D2D-4986-BF78-F6830DF0C81A}"/>
    <cellStyle name="Standard 6 4 3 9 3" xfId="10323" xr:uid="{00000000-0005-0000-0000-00005A280000}"/>
    <cellStyle name="Standard 6 4 3 9 3 2" xfId="10324" xr:uid="{00000000-0005-0000-0000-00005B280000}"/>
    <cellStyle name="Standard 6 4 3 9 3 2 2" xfId="10325" xr:uid="{00000000-0005-0000-0000-00005C280000}"/>
    <cellStyle name="Standard 6 4 3 9 3 2 2 2" xfId="22286" xr:uid="{E8FC3045-F7E0-40AF-9643-2278A22406BC}"/>
    <cellStyle name="Standard 6 4 3 9 3 2 3" xfId="22285" xr:uid="{47F2CEDF-631A-40BA-91DB-1AACC1CC3AEE}"/>
    <cellStyle name="Standard 6 4 3 9 3 3" xfId="10326" xr:uid="{00000000-0005-0000-0000-00005D280000}"/>
    <cellStyle name="Standard 6 4 3 9 3 3 2" xfId="22287" xr:uid="{B3BFF1A2-0DF5-48EB-88D4-5FABC547F612}"/>
    <cellStyle name="Standard 6 4 3 9 3 4" xfId="22284" xr:uid="{8B66C960-B997-46A0-A44F-A2A556B40708}"/>
    <cellStyle name="Standard 6 4 3 9 4" xfId="10327" xr:uid="{00000000-0005-0000-0000-00005E280000}"/>
    <cellStyle name="Standard 6 4 3 9 4 2" xfId="10328" xr:uid="{00000000-0005-0000-0000-00005F280000}"/>
    <cellStyle name="Standard 6 4 3 9 4 2 2" xfId="10329" xr:uid="{00000000-0005-0000-0000-000060280000}"/>
    <cellStyle name="Standard 6 4 3 9 4 2 2 2" xfId="22290" xr:uid="{1F37B362-EFCD-4891-BC18-BD71A13656BD}"/>
    <cellStyle name="Standard 6 4 3 9 4 2 3" xfId="22289" xr:uid="{6951DAC6-C3ED-4AF0-B197-020125765E6D}"/>
    <cellStyle name="Standard 6 4 3 9 4 3" xfId="10330" xr:uid="{00000000-0005-0000-0000-000061280000}"/>
    <cellStyle name="Standard 6 4 3 9 4 3 2" xfId="22291" xr:uid="{95535922-E95C-4C4C-AE52-CD5609FA5699}"/>
    <cellStyle name="Standard 6 4 3 9 4 4" xfId="22288" xr:uid="{364E2067-6332-43F4-892C-F7E7151CD42F}"/>
    <cellStyle name="Standard 6 4 3 9 5" xfId="10331" xr:uid="{00000000-0005-0000-0000-000062280000}"/>
    <cellStyle name="Standard 6 4 3 9 5 2" xfId="10332" xr:uid="{00000000-0005-0000-0000-000063280000}"/>
    <cellStyle name="Standard 6 4 3 9 5 2 2" xfId="10333" xr:uid="{00000000-0005-0000-0000-000064280000}"/>
    <cellStyle name="Standard 6 4 3 9 5 2 2 2" xfId="22294" xr:uid="{5B4E468A-03AB-4C7A-8CFF-08448BD763E5}"/>
    <cellStyle name="Standard 6 4 3 9 5 2 3" xfId="22293" xr:uid="{78B7E790-D781-4E30-B6E8-0DC972FE2CF0}"/>
    <cellStyle name="Standard 6 4 3 9 5 3" xfId="10334" xr:uid="{00000000-0005-0000-0000-000065280000}"/>
    <cellStyle name="Standard 6 4 3 9 5 3 2" xfId="22295" xr:uid="{B6BB4A61-2221-4A01-B2D2-07A6C885F746}"/>
    <cellStyle name="Standard 6 4 3 9 5 4" xfId="22292" xr:uid="{9C19BB0E-3FA6-41E9-B61A-0C2DCE8FA5F9}"/>
    <cellStyle name="Standard 6 4 3 9 6" xfId="10335" xr:uid="{00000000-0005-0000-0000-000066280000}"/>
    <cellStyle name="Standard 6 4 3 9 6 2" xfId="10336" xr:uid="{00000000-0005-0000-0000-000067280000}"/>
    <cellStyle name="Standard 6 4 3 9 6 2 2" xfId="10337" xr:uid="{00000000-0005-0000-0000-000068280000}"/>
    <cellStyle name="Standard 6 4 3 9 6 2 2 2" xfId="22298" xr:uid="{8A76CBC1-F9FF-4BF4-AF8F-7AC461309E07}"/>
    <cellStyle name="Standard 6 4 3 9 6 2 3" xfId="22297" xr:uid="{6B6C1760-47A8-42E8-9AF2-F99BFAC2CE94}"/>
    <cellStyle name="Standard 6 4 3 9 6 3" xfId="10338" xr:uid="{00000000-0005-0000-0000-000069280000}"/>
    <cellStyle name="Standard 6 4 3 9 6 3 2" xfId="22299" xr:uid="{91EB59E7-7BA1-48E4-AC3A-581352BCC940}"/>
    <cellStyle name="Standard 6 4 3 9 6 4" xfId="22296" xr:uid="{49B8B2D9-16A6-4FE3-8B11-9870F576ECC7}"/>
    <cellStyle name="Standard 6 4 3 9 7" xfId="10339" xr:uid="{00000000-0005-0000-0000-00006A280000}"/>
    <cellStyle name="Standard 6 4 3 9 7 2" xfId="10340" xr:uid="{00000000-0005-0000-0000-00006B280000}"/>
    <cellStyle name="Standard 6 4 3 9 7 2 2" xfId="22301" xr:uid="{75FD5757-55B2-4611-A5BC-AC6D7BEACEDF}"/>
    <cellStyle name="Standard 6 4 3 9 7 3" xfId="22300" xr:uid="{38234C26-B387-44AE-BCEC-FB6A649A8195}"/>
    <cellStyle name="Standard 6 4 3 9 8" xfId="10341" xr:uid="{00000000-0005-0000-0000-00006C280000}"/>
    <cellStyle name="Standard 6 4 3 9 8 2" xfId="22302" xr:uid="{1A177255-E0B4-43B0-BA16-7C19E4F33132}"/>
    <cellStyle name="Standard 6 4 3 9 9" xfId="22279" xr:uid="{7AD821A0-5E64-4E1D-A3B1-B6B76A49C6CD}"/>
    <cellStyle name="Standard 6 4 4" xfId="10342" xr:uid="{00000000-0005-0000-0000-00006D280000}"/>
    <cellStyle name="Standard 6 4 4 10" xfId="10343" xr:uid="{00000000-0005-0000-0000-00006E280000}"/>
    <cellStyle name="Standard 6 4 4 10 2" xfId="10344" xr:uid="{00000000-0005-0000-0000-00006F280000}"/>
    <cellStyle name="Standard 6 4 4 10 2 2" xfId="22305" xr:uid="{F55B2CA1-0868-4DF1-84DD-C32D00074B8B}"/>
    <cellStyle name="Standard 6 4 4 10 3" xfId="22304" xr:uid="{5A443D99-D320-4E0A-A1C8-D54A445A6082}"/>
    <cellStyle name="Standard 6 4 4 11" xfId="10345" xr:uid="{00000000-0005-0000-0000-000070280000}"/>
    <cellStyle name="Standard 6 4 4 11 2" xfId="22306" xr:uid="{73945F8B-48CD-49B3-9CDB-3340BA40F06D}"/>
    <cellStyle name="Standard 6 4 4 12" xfId="22303" xr:uid="{6D229410-60DE-487C-8CE6-4A0C5E144DBE}"/>
    <cellStyle name="Standard 6 4 4 2" xfId="10346" xr:uid="{00000000-0005-0000-0000-000071280000}"/>
    <cellStyle name="Standard 6 4 4 2 10" xfId="10347" xr:uid="{00000000-0005-0000-0000-000072280000}"/>
    <cellStyle name="Standard 6 4 4 2 10 2" xfId="22308" xr:uid="{9A01A411-A33A-4307-814A-3F5F9BA7A7F5}"/>
    <cellStyle name="Standard 6 4 4 2 11" xfId="22307" xr:uid="{8AA8ADE5-2556-4644-AF03-8E7C07A89594}"/>
    <cellStyle name="Standard 6 4 4 2 2" xfId="10348" xr:uid="{00000000-0005-0000-0000-000073280000}"/>
    <cellStyle name="Standard 6 4 4 2 2 10" xfId="22309" xr:uid="{04CA6F0C-D473-4AA9-8AC5-F739E6EFF61B}"/>
    <cellStyle name="Standard 6 4 4 2 2 2" xfId="10349" xr:uid="{00000000-0005-0000-0000-000074280000}"/>
    <cellStyle name="Standard 6 4 4 2 2 2 2" xfId="10350" xr:uid="{00000000-0005-0000-0000-000075280000}"/>
    <cellStyle name="Standard 6 4 4 2 2 2 2 2" xfId="10351" xr:uid="{00000000-0005-0000-0000-000076280000}"/>
    <cellStyle name="Standard 6 4 4 2 2 2 2 2 2" xfId="22312" xr:uid="{A15C95A7-1FB1-4D3B-BBF1-5E757E4B8666}"/>
    <cellStyle name="Standard 6 4 4 2 2 2 2 3" xfId="22311" xr:uid="{353EF9F3-73AD-4F64-B5B2-D01C423EC3F9}"/>
    <cellStyle name="Standard 6 4 4 2 2 2 3" xfId="10352" xr:uid="{00000000-0005-0000-0000-000077280000}"/>
    <cellStyle name="Standard 6 4 4 2 2 2 3 2" xfId="22313" xr:uid="{9FCCDAD5-83F6-4803-A7CC-BADAB6741B6E}"/>
    <cellStyle name="Standard 6 4 4 2 2 2 4" xfId="22310" xr:uid="{22DB2B37-24F8-4A34-8086-0E8B8198AA3A}"/>
    <cellStyle name="Standard 6 4 4 2 2 3" xfId="10353" xr:uid="{00000000-0005-0000-0000-000078280000}"/>
    <cellStyle name="Standard 6 4 4 2 2 3 2" xfId="10354" xr:uid="{00000000-0005-0000-0000-000079280000}"/>
    <cellStyle name="Standard 6 4 4 2 2 3 2 2" xfId="10355" xr:uid="{00000000-0005-0000-0000-00007A280000}"/>
    <cellStyle name="Standard 6 4 4 2 2 3 2 2 2" xfId="22316" xr:uid="{47F9506F-D53D-4E2D-BA50-8FA6FA1CE2DF}"/>
    <cellStyle name="Standard 6 4 4 2 2 3 2 3" xfId="22315" xr:uid="{310DB241-4032-49B1-B891-851D4EC39A49}"/>
    <cellStyle name="Standard 6 4 4 2 2 3 3" xfId="10356" xr:uid="{00000000-0005-0000-0000-00007B280000}"/>
    <cellStyle name="Standard 6 4 4 2 2 3 3 2" xfId="22317" xr:uid="{BE275D79-8F14-47B9-9273-7BA31C937389}"/>
    <cellStyle name="Standard 6 4 4 2 2 3 4" xfId="22314" xr:uid="{8EC03253-6254-428A-8423-B6B2852D1A3B}"/>
    <cellStyle name="Standard 6 4 4 2 2 4" xfId="10357" xr:uid="{00000000-0005-0000-0000-00007C280000}"/>
    <cellStyle name="Standard 6 4 4 2 2 4 2" xfId="10358" xr:uid="{00000000-0005-0000-0000-00007D280000}"/>
    <cellStyle name="Standard 6 4 4 2 2 4 2 2" xfId="10359" xr:uid="{00000000-0005-0000-0000-00007E280000}"/>
    <cellStyle name="Standard 6 4 4 2 2 4 2 2 2" xfId="22320" xr:uid="{691CB3FE-901E-42AA-AC53-2884C38AE425}"/>
    <cellStyle name="Standard 6 4 4 2 2 4 2 3" xfId="22319" xr:uid="{B5102D33-7326-48D4-B3E2-A1E5CB09AF63}"/>
    <cellStyle name="Standard 6 4 4 2 2 4 3" xfId="10360" xr:uid="{00000000-0005-0000-0000-00007F280000}"/>
    <cellStyle name="Standard 6 4 4 2 2 4 3 2" xfId="22321" xr:uid="{0E998A81-574B-4873-9465-92540D18714D}"/>
    <cellStyle name="Standard 6 4 4 2 2 4 4" xfId="22318" xr:uid="{90B6579C-D8A9-4E5B-A3B2-477BFE98C4F7}"/>
    <cellStyle name="Standard 6 4 4 2 2 5" xfId="10361" xr:uid="{00000000-0005-0000-0000-000080280000}"/>
    <cellStyle name="Standard 6 4 4 2 2 5 2" xfId="10362" xr:uid="{00000000-0005-0000-0000-000081280000}"/>
    <cellStyle name="Standard 6 4 4 2 2 5 2 2" xfId="10363" xr:uid="{00000000-0005-0000-0000-000082280000}"/>
    <cellStyle name="Standard 6 4 4 2 2 5 2 2 2" xfId="22324" xr:uid="{B7A1C500-2663-4759-97E4-8A47B77CB4DB}"/>
    <cellStyle name="Standard 6 4 4 2 2 5 2 3" xfId="22323" xr:uid="{EB606140-7A13-41B7-9BD5-7ECA70FF660E}"/>
    <cellStyle name="Standard 6 4 4 2 2 5 3" xfId="10364" xr:uid="{00000000-0005-0000-0000-000083280000}"/>
    <cellStyle name="Standard 6 4 4 2 2 5 3 2" xfId="22325" xr:uid="{35471F54-0F68-4873-BB9B-B6C7A7E74957}"/>
    <cellStyle name="Standard 6 4 4 2 2 5 4" xfId="22322" xr:uid="{92728B86-F7F2-4843-B7C3-70D1581586B3}"/>
    <cellStyle name="Standard 6 4 4 2 2 6" xfId="10365" xr:uid="{00000000-0005-0000-0000-000084280000}"/>
    <cellStyle name="Standard 6 4 4 2 2 6 2" xfId="10366" xr:uid="{00000000-0005-0000-0000-000085280000}"/>
    <cellStyle name="Standard 6 4 4 2 2 6 2 2" xfId="10367" xr:uid="{00000000-0005-0000-0000-000086280000}"/>
    <cellStyle name="Standard 6 4 4 2 2 6 2 2 2" xfId="22328" xr:uid="{C2298285-BD72-4DDD-9331-356DE72D3E08}"/>
    <cellStyle name="Standard 6 4 4 2 2 6 2 3" xfId="22327" xr:uid="{08C4F40C-D466-4881-AF7D-F24940ED76F3}"/>
    <cellStyle name="Standard 6 4 4 2 2 6 3" xfId="10368" xr:uid="{00000000-0005-0000-0000-000087280000}"/>
    <cellStyle name="Standard 6 4 4 2 2 6 3 2" xfId="22329" xr:uid="{4994EF86-1022-414B-9DCE-A9F836D3EE5C}"/>
    <cellStyle name="Standard 6 4 4 2 2 6 4" xfId="22326" xr:uid="{A067D23D-6934-49A3-9C21-9C0E3A5174A4}"/>
    <cellStyle name="Standard 6 4 4 2 2 7" xfId="10369" xr:uid="{00000000-0005-0000-0000-000088280000}"/>
    <cellStyle name="Standard 6 4 4 2 2 7 2" xfId="10370" xr:uid="{00000000-0005-0000-0000-000089280000}"/>
    <cellStyle name="Standard 6 4 4 2 2 7 2 2" xfId="10371" xr:uid="{00000000-0005-0000-0000-00008A280000}"/>
    <cellStyle name="Standard 6 4 4 2 2 7 2 2 2" xfId="22332" xr:uid="{CBB3CD08-B5CF-4617-A1C5-F4B129D2D36D}"/>
    <cellStyle name="Standard 6 4 4 2 2 7 2 3" xfId="22331" xr:uid="{90181286-0585-457D-9C12-F4FB56339742}"/>
    <cellStyle name="Standard 6 4 4 2 2 7 3" xfId="10372" xr:uid="{00000000-0005-0000-0000-00008B280000}"/>
    <cellStyle name="Standard 6 4 4 2 2 7 3 2" xfId="22333" xr:uid="{EF88B12A-DA17-45AB-99B1-0E8EC75790AA}"/>
    <cellStyle name="Standard 6 4 4 2 2 7 4" xfId="22330" xr:uid="{D68AF0DA-9047-49D6-8E1C-96ABAF1D3407}"/>
    <cellStyle name="Standard 6 4 4 2 2 8" xfId="10373" xr:uid="{00000000-0005-0000-0000-00008C280000}"/>
    <cellStyle name="Standard 6 4 4 2 2 8 2" xfId="10374" xr:uid="{00000000-0005-0000-0000-00008D280000}"/>
    <cellStyle name="Standard 6 4 4 2 2 8 2 2" xfId="22335" xr:uid="{B36293A7-EAA5-4DCF-91DD-4ACF65F77165}"/>
    <cellStyle name="Standard 6 4 4 2 2 8 3" xfId="22334" xr:uid="{587D486E-649D-4634-856E-4AF016E4539A}"/>
    <cellStyle name="Standard 6 4 4 2 2 9" xfId="10375" xr:uid="{00000000-0005-0000-0000-00008E280000}"/>
    <cellStyle name="Standard 6 4 4 2 2 9 2" xfId="22336" xr:uid="{39376F88-3EA6-416A-8F05-7BCC38179A6F}"/>
    <cellStyle name="Standard 6 4 4 2 3" xfId="10376" xr:uid="{00000000-0005-0000-0000-00008F280000}"/>
    <cellStyle name="Standard 6 4 4 2 3 2" xfId="10377" xr:uid="{00000000-0005-0000-0000-000090280000}"/>
    <cellStyle name="Standard 6 4 4 2 3 2 2" xfId="10378" xr:uid="{00000000-0005-0000-0000-000091280000}"/>
    <cellStyle name="Standard 6 4 4 2 3 2 2 2" xfId="22339" xr:uid="{39AACC71-C71F-467C-942E-2C9A6EF704A6}"/>
    <cellStyle name="Standard 6 4 4 2 3 2 3" xfId="22338" xr:uid="{2D5F9DD4-1FC3-480F-BD7F-75A66F42C88E}"/>
    <cellStyle name="Standard 6 4 4 2 3 3" xfId="10379" xr:uid="{00000000-0005-0000-0000-000092280000}"/>
    <cellStyle name="Standard 6 4 4 2 3 3 2" xfId="22340" xr:uid="{EC68E5B6-F407-4210-8D79-EF88745151DA}"/>
    <cellStyle name="Standard 6 4 4 2 3 4" xfId="22337" xr:uid="{E25D75E5-D1E8-46A3-A918-10F9AB20867D}"/>
    <cellStyle name="Standard 6 4 4 2 4" xfId="10380" xr:uid="{00000000-0005-0000-0000-000093280000}"/>
    <cellStyle name="Standard 6 4 4 2 4 2" xfId="10381" xr:uid="{00000000-0005-0000-0000-000094280000}"/>
    <cellStyle name="Standard 6 4 4 2 4 2 2" xfId="10382" xr:uid="{00000000-0005-0000-0000-000095280000}"/>
    <cellStyle name="Standard 6 4 4 2 4 2 2 2" xfId="22343" xr:uid="{D84F4AC2-ACB9-483A-B7FF-AA035845F833}"/>
    <cellStyle name="Standard 6 4 4 2 4 2 3" xfId="22342" xr:uid="{08EA2146-CEC8-4C65-A9B1-B27B98CDB6E6}"/>
    <cellStyle name="Standard 6 4 4 2 4 3" xfId="10383" xr:uid="{00000000-0005-0000-0000-000096280000}"/>
    <cellStyle name="Standard 6 4 4 2 4 3 2" xfId="22344" xr:uid="{611BE69D-8FA5-4DD9-94CB-C46C66628E49}"/>
    <cellStyle name="Standard 6 4 4 2 4 4" xfId="22341" xr:uid="{71E6509E-E440-4F0C-95B5-D731CCA2F11A}"/>
    <cellStyle name="Standard 6 4 4 2 5" xfId="10384" xr:uid="{00000000-0005-0000-0000-000097280000}"/>
    <cellStyle name="Standard 6 4 4 2 5 2" xfId="10385" xr:uid="{00000000-0005-0000-0000-000098280000}"/>
    <cellStyle name="Standard 6 4 4 2 5 2 2" xfId="10386" xr:uid="{00000000-0005-0000-0000-000099280000}"/>
    <cellStyle name="Standard 6 4 4 2 5 2 2 2" xfId="22347" xr:uid="{0691D6A7-DCD4-42C1-9C11-0991D55D6D23}"/>
    <cellStyle name="Standard 6 4 4 2 5 2 3" xfId="22346" xr:uid="{D3A2E959-2A48-4822-8904-5CDA3D64E916}"/>
    <cellStyle name="Standard 6 4 4 2 5 3" xfId="10387" xr:uid="{00000000-0005-0000-0000-00009A280000}"/>
    <cellStyle name="Standard 6 4 4 2 5 3 2" xfId="22348" xr:uid="{87881CBA-4795-42E7-A1F0-A9D1E13B04A1}"/>
    <cellStyle name="Standard 6 4 4 2 5 4" xfId="22345" xr:uid="{40989F02-98FC-46CA-96DB-421B072FB980}"/>
    <cellStyle name="Standard 6 4 4 2 6" xfId="10388" xr:uid="{00000000-0005-0000-0000-00009B280000}"/>
    <cellStyle name="Standard 6 4 4 2 6 2" xfId="10389" xr:uid="{00000000-0005-0000-0000-00009C280000}"/>
    <cellStyle name="Standard 6 4 4 2 6 2 2" xfId="10390" xr:uid="{00000000-0005-0000-0000-00009D280000}"/>
    <cellStyle name="Standard 6 4 4 2 6 2 2 2" xfId="22351" xr:uid="{6A1B8704-3E51-441B-A2E1-3EEE0E0603AA}"/>
    <cellStyle name="Standard 6 4 4 2 6 2 3" xfId="22350" xr:uid="{87A33192-6F5F-4160-B4F7-50C28E020CE4}"/>
    <cellStyle name="Standard 6 4 4 2 6 3" xfId="10391" xr:uid="{00000000-0005-0000-0000-00009E280000}"/>
    <cellStyle name="Standard 6 4 4 2 6 3 2" xfId="22352" xr:uid="{907CF4EA-39C9-424C-AC86-B934052E8BA3}"/>
    <cellStyle name="Standard 6 4 4 2 6 4" xfId="22349" xr:uid="{19257D53-1D6E-485E-BAB0-26F59A2538B9}"/>
    <cellStyle name="Standard 6 4 4 2 7" xfId="10392" xr:uid="{00000000-0005-0000-0000-00009F280000}"/>
    <cellStyle name="Standard 6 4 4 2 7 2" xfId="10393" xr:uid="{00000000-0005-0000-0000-0000A0280000}"/>
    <cellStyle name="Standard 6 4 4 2 7 2 2" xfId="10394" xr:uid="{00000000-0005-0000-0000-0000A1280000}"/>
    <cellStyle name="Standard 6 4 4 2 7 2 2 2" xfId="22355" xr:uid="{A1FFDCB3-9D6B-41B0-A9D4-077D9313D053}"/>
    <cellStyle name="Standard 6 4 4 2 7 2 3" xfId="22354" xr:uid="{FD0427A5-AF97-4DB8-9123-DC4A643814B8}"/>
    <cellStyle name="Standard 6 4 4 2 7 3" xfId="10395" xr:uid="{00000000-0005-0000-0000-0000A2280000}"/>
    <cellStyle name="Standard 6 4 4 2 7 3 2" xfId="22356" xr:uid="{51DB38C7-35BA-45D3-8036-AD06F7B4EA0D}"/>
    <cellStyle name="Standard 6 4 4 2 7 4" xfId="22353" xr:uid="{02A795C0-5B3E-4408-A026-6921E52D554E}"/>
    <cellStyle name="Standard 6 4 4 2 8" xfId="10396" xr:uid="{00000000-0005-0000-0000-0000A3280000}"/>
    <cellStyle name="Standard 6 4 4 2 8 2" xfId="10397" xr:uid="{00000000-0005-0000-0000-0000A4280000}"/>
    <cellStyle name="Standard 6 4 4 2 8 2 2" xfId="10398" xr:uid="{00000000-0005-0000-0000-0000A5280000}"/>
    <cellStyle name="Standard 6 4 4 2 8 2 2 2" xfId="22359" xr:uid="{7E1F63CC-073A-4E05-B9FA-1EF203502FB6}"/>
    <cellStyle name="Standard 6 4 4 2 8 2 3" xfId="22358" xr:uid="{094CCF11-F2F3-410B-AF8C-CA21BDA07820}"/>
    <cellStyle name="Standard 6 4 4 2 8 3" xfId="10399" xr:uid="{00000000-0005-0000-0000-0000A6280000}"/>
    <cellStyle name="Standard 6 4 4 2 8 3 2" xfId="22360" xr:uid="{973C6444-D2C0-472D-9034-FD3195712CDA}"/>
    <cellStyle name="Standard 6 4 4 2 8 4" xfId="22357" xr:uid="{F276A107-EDE2-4A3E-B2FE-8E6C5989E013}"/>
    <cellStyle name="Standard 6 4 4 2 9" xfId="10400" xr:uid="{00000000-0005-0000-0000-0000A7280000}"/>
    <cellStyle name="Standard 6 4 4 2 9 2" xfId="10401" xr:uid="{00000000-0005-0000-0000-0000A8280000}"/>
    <cellStyle name="Standard 6 4 4 2 9 2 2" xfId="22362" xr:uid="{4F7DD9E2-7309-42CC-B1F5-3FC767B35634}"/>
    <cellStyle name="Standard 6 4 4 2 9 3" xfId="22361" xr:uid="{4E4018BB-41C4-438E-9F5F-2ADA6B6DD6F2}"/>
    <cellStyle name="Standard 6 4 4 3" xfId="10402" xr:uid="{00000000-0005-0000-0000-0000A9280000}"/>
    <cellStyle name="Standard 6 4 4 3 10" xfId="22363" xr:uid="{24B37279-34A2-4482-85C2-6349F2367567}"/>
    <cellStyle name="Standard 6 4 4 3 2" xfId="10403" xr:uid="{00000000-0005-0000-0000-0000AA280000}"/>
    <cellStyle name="Standard 6 4 4 3 2 2" xfId="10404" xr:uid="{00000000-0005-0000-0000-0000AB280000}"/>
    <cellStyle name="Standard 6 4 4 3 2 2 2" xfId="10405" xr:uid="{00000000-0005-0000-0000-0000AC280000}"/>
    <cellStyle name="Standard 6 4 4 3 2 2 2 2" xfId="22366" xr:uid="{7C12D7D3-F262-4243-9C2C-DB669EB24CDD}"/>
    <cellStyle name="Standard 6 4 4 3 2 2 3" xfId="22365" xr:uid="{B5CFB950-F99F-403E-9F36-F3E3264877DA}"/>
    <cellStyle name="Standard 6 4 4 3 2 3" xfId="10406" xr:uid="{00000000-0005-0000-0000-0000AD280000}"/>
    <cellStyle name="Standard 6 4 4 3 2 3 2" xfId="22367" xr:uid="{129C1CF0-9238-498D-A6EF-8DCA583F297D}"/>
    <cellStyle name="Standard 6 4 4 3 2 4" xfId="22364" xr:uid="{7209BF00-B7D0-4E7F-95C6-9C965ED5E8EA}"/>
    <cellStyle name="Standard 6 4 4 3 3" xfId="10407" xr:uid="{00000000-0005-0000-0000-0000AE280000}"/>
    <cellStyle name="Standard 6 4 4 3 3 2" xfId="10408" xr:uid="{00000000-0005-0000-0000-0000AF280000}"/>
    <cellStyle name="Standard 6 4 4 3 3 2 2" xfId="10409" xr:uid="{00000000-0005-0000-0000-0000B0280000}"/>
    <cellStyle name="Standard 6 4 4 3 3 2 2 2" xfId="22370" xr:uid="{6AF9CA80-40AF-474C-AE76-3A1A088F565E}"/>
    <cellStyle name="Standard 6 4 4 3 3 2 3" xfId="22369" xr:uid="{B09D9D41-D5B3-46C4-8550-690F114CB701}"/>
    <cellStyle name="Standard 6 4 4 3 3 3" xfId="10410" xr:uid="{00000000-0005-0000-0000-0000B1280000}"/>
    <cellStyle name="Standard 6 4 4 3 3 3 2" xfId="22371" xr:uid="{816F92EC-09D2-42B5-B771-22320AD23F72}"/>
    <cellStyle name="Standard 6 4 4 3 3 4" xfId="22368" xr:uid="{0CC4A771-819B-469B-B95F-14C1A26E837B}"/>
    <cellStyle name="Standard 6 4 4 3 4" xfId="10411" xr:uid="{00000000-0005-0000-0000-0000B2280000}"/>
    <cellStyle name="Standard 6 4 4 3 4 2" xfId="10412" xr:uid="{00000000-0005-0000-0000-0000B3280000}"/>
    <cellStyle name="Standard 6 4 4 3 4 2 2" xfId="10413" xr:uid="{00000000-0005-0000-0000-0000B4280000}"/>
    <cellStyle name="Standard 6 4 4 3 4 2 2 2" xfId="22374" xr:uid="{AA6C73C5-88E0-41B2-A3DB-C854E10A4AB0}"/>
    <cellStyle name="Standard 6 4 4 3 4 2 3" xfId="22373" xr:uid="{B3F02108-9461-4BAE-996B-3403740F5F68}"/>
    <cellStyle name="Standard 6 4 4 3 4 3" xfId="10414" xr:uid="{00000000-0005-0000-0000-0000B5280000}"/>
    <cellStyle name="Standard 6 4 4 3 4 3 2" xfId="22375" xr:uid="{4F54C117-941C-4E9E-9980-97673C4B794A}"/>
    <cellStyle name="Standard 6 4 4 3 4 4" xfId="22372" xr:uid="{29AF5096-8378-4C33-A1DD-AE718678B274}"/>
    <cellStyle name="Standard 6 4 4 3 5" xfId="10415" xr:uid="{00000000-0005-0000-0000-0000B6280000}"/>
    <cellStyle name="Standard 6 4 4 3 5 2" xfId="10416" xr:uid="{00000000-0005-0000-0000-0000B7280000}"/>
    <cellStyle name="Standard 6 4 4 3 5 2 2" xfId="10417" xr:uid="{00000000-0005-0000-0000-0000B8280000}"/>
    <cellStyle name="Standard 6 4 4 3 5 2 2 2" xfId="22378" xr:uid="{751BBC92-E831-40BA-B4E3-EEB689D43E16}"/>
    <cellStyle name="Standard 6 4 4 3 5 2 3" xfId="22377" xr:uid="{9F68B308-B593-4E21-8531-0C7DF83662FC}"/>
    <cellStyle name="Standard 6 4 4 3 5 3" xfId="10418" xr:uid="{00000000-0005-0000-0000-0000B9280000}"/>
    <cellStyle name="Standard 6 4 4 3 5 3 2" xfId="22379" xr:uid="{E91A1EB7-8FBA-48AA-B20E-DEE5B067292A}"/>
    <cellStyle name="Standard 6 4 4 3 5 4" xfId="22376" xr:uid="{97C7EBDC-AAC7-4513-9572-E9B408AD87F1}"/>
    <cellStyle name="Standard 6 4 4 3 6" xfId="10419" xr:uid="{00000000-0005-0000-0000-0000BA280000}"/>
    <cellStyle name="Standard 6 4 4 3 6 2" xfId="10420" xr:uid="{00000000-0005-0000-0000-0000BB280000}"/>
    <cellStyle name="Standard 6 4 4 3 6 2 2" xfId="10421" xr:uid="{00000000-0005-0000-0000-0000BC280000}"/>
    <cellStyle name="Standard 6 4 4 3 6 2 2 2" xfId="22382" xr:uid="{3E2346F6-1C92-4747-B958-4BAF76A4B8A2}"/>
    <cellStyle name="Standard 6 4 4 3 6 2 3" xfId="22381" xr:uid="{6B955740-39BA-4875-8E28-A5BA0D8BA51F}"/>
    <cellStyle name="Standard 6 4 4 3 6 3" xfId="10422" xr:uid="{00000000-0005-0000-0000-0000BD280000}"/>
    <cellStyle name="Standard 6 4 4 3 6 3 2" xfId="22383" xr:uid="{92F3735D-1E0E-44FE-9576-6CCA9717D64A}"/>
    <cellStyle name="Standard 6 4 4 3 6 4" xfId="22380" xr:uid="{CAA3F645-E034-4A57-8E61-3CC090484FCC}"/>
    <cellStyle name="Standard 6 4 4 3 7" xfId="10423" xr:uid="{00000000-0005-0000-0000-0000BE280000}"/>
    <cellStyle name="Standard 6 4 4 3 7 2" xfId="10424" xr:uid="{00000000-0005-0000-0000-0000BF280000}"/>
    <cellStyle name="Standard 6 4 4 3 7 2 2" xfId="10425" xr:uid="{00000000-0005-0000-0000-0000C0280000}"/>
    <cellStyle name="Standard 6 4 4 3 7 2 2 2" xfId="22386" xr:uid="{87C5F15E-3357-4D4C-9F39-2420ECEC3CCF}"/>
    <cellStyle name="Standard 6 4 4 3 7 2 3" xfId="22385" xr:uid="{CD25E484-AE58-4D13-AD56-CD66197023AF}"/>
    <cellStyle name="Standard 6 4 4 3 7 3" xfId="10426" xr:uid="{00000000-0005-0000-0000-0000C1280000}"/>
    <cellStyle name="Standard 6 4 4 3 7 3 2" xfId="22387" xr:uid="{9951A1D5-5226-46A5-83BC-978B2471A90D}"/>
    <cellStyle name="Standard 6 4 4 3 7 4" xfId="22384" xr:uid="{6BB457FF-0138-4813-B271-5FC22263270F}"/>
    <cellStyle name="Standard 6 4 4 3 8" xfId="10427" xr:uid="{00000000-0005-0000-0000-0000C2280000}"/>
    <cellStyle name="Standard 6 4 4 3 8 2" xfId="10428" xr:uid="{00000000-0005-0000-0000-0000C3280000}"/>
    <cellStyle name="Standard 6 4 4 3 8 2 2" xfId="22389" xr:uid="{05BC16CA-F9A6-48E5-BBBB-24F237E99234}"/>
    <cellStyle name="Standard 6 4 4 3 8 3" xfId="22388" xr:uid="{890CD185-EEAF-4A20-B9C5-FAEAE5172C06}"/>
    <cellStyle name="Standard 6 4 4 3 9" xfId="10429" xr:uid="{00000000-0005-0000-0000-0000C4280000}"/>
    <cellStyle name="Standard 6 4 4 3 9 2" xfId="22390" xr:uid="{73E96E36-98C6-42D4-9BA3-B79B958F5957}"/>
    <cellStyle name="Standard 6 4 4 4" xfId="10430" xr:uid="{00000000-0005-0000-0000-0000C5280000}"/>
    <cellStyle name="Standard 6 4 4 4 2" xfId="10431" xr:uid="{00000000-0005-0000-0000-0000C6280000}"/>
    <cellStyle name="Standard 6 4 4 4 2 2" xfId="10432" xr:uid="{00000000-0005-0000-0000-0000C7280000}"/>
    <cellStyle name="Standard 6 4 4 4 2 2 2" xfId="22393" xr:uid="{7C0DB3E2-91F7-4DAD-8F1C-7942CDE7BCC4}"/>
    <cellStyle name="Standard 6 4 4 4 2 3" xfId="22392" xr:uid="{F6B0164B-002D-4C36-9115-41BE071AAC9F}"/>
    <cellStyle name="Standard 6 4 4 4 3" xfId="10433" xr:uid="{00000000-0005-0000-0000-0000C8280000}"/>
    <cellStyle name="Standard 6 4 4 4 3 2" xfId="22394" xr:uid="{DC627BAE-7CAB-46F5-BD2C-9CB1CD0075DA}"/>
    <cellStyle name="Standard 6 4 4 4 4" xfId="22391" xr:uid="{8DDF2849-4B11-4D7C-BF58-C95EBBF58CA5}"/>
    <cellStyle name="Standard 6 4 4 5" xfId="10434" xr:uid="{00000000-0005-0000-0000-0000C9280000}"/>
    <cellStyle name="Standard 6 4 4 5 2" xfId="10435" xr:uid="{00000000-0005-0000-0000-0000CA280000}"/>
    <cellStyle name="Standard 6 4 4 5 2 2" xfId="10436" xr:uid="{00000000-0005-0000-0000-0000CB280000}"/>
    <cellStyle name="Standard 6 4 4 5 2 2 2" xfId="22397" xr:uid="{A04F6FB6-CA25-4A4B-855C-8AE4D8436F4A}"/>
    <cellStyle name="Standard 6 4 4 5 2 3" xfId="22396" xr:uid="{1EEDAD20-3F2C-47EC-BCD7-1E3BA5A694A8}"/>
    <cellStyle name="Standard 6 4 4 5 3" xfId="10437" xr:uid="{00000000-0005-0000-0000-0000CC280000}"/>
    <cellStyle name="Standard 6 4 4 5 3 2" xfId="22398" xr:uid="{C0013AD0-616F-4969-BED5-A80118CD6932}"/>
    <cellStyle name="Standard 6 4 4 5 4" xfId="22395" xr:uid="{83DFBDF2-CE3E-4265-94F3-C901EC9F68DE}"/>
    <cellStyle name="Standard 6 4 4 6" xfId="10438" xr:uid="{00000000-0005-0000-0000-0000CD280000}"/>
    <cellStyle name="Standard 6 4 4 6 2" xfId="10439" xr:uid="{00000000-0005-0000-0000-0000CE280000}"/>
    <cellStyle name="Standard 6 4 4 6 2 2" xfId="10440" xr:uid="{00000000-0005-0000-0000-0000CF280000}"/>
    <cellStyle name="Standard 6 4 4 6 2 2 2" xfId="22401" xr:uid="{1C2E0EC4-C5D0-45E9-A227-7A81B83527FC}"/>
    <cellStyle name="Standard 6 4 4 6 2 3" xfId="22400" xr:uid="{ABA31D09-5ED4-4585-ACFD-245B2DC0D614}"/>
    <cellStyle name="Standard 6 4 4 6 3" xfId="10441" xr:uid="{00000000-0005-0000-0000-0000D0280000}"/>
    <cellStyle name="Standard 6 4 4 6 3 2" xfId="22402" xr:uid="{87AA33F1-74E2-48AA-B4EF-C9BBEDA4EB6F}"/>
    <cellStyle name="Standard 6 4 4 6 4" xfId="22399" xr:uid="{5FA9174B-02D0-4FA0-B8E1-A02D01408AE8}"/>
    <cellStyle name="Standard 6 4 4 7" xfId="10442" xr:uid="{00000000-0005-0000-0000-0000D1280000}"/>
    <cellStyle name="Standard 6 4 4 7 2" xfId="10443" xr:uid="{00000000-0005-0000-0000-0000D2280000}"/>
    <cellStyle name="Standard 6 4 4 7 2 2" xfId="10444" xr:uid="{00000000-0005-0000-0000-0000D3280000}"/>
    <cellStyle name="Standard 6 4 4 7 2 2 2" xfId="22405" xr:uid="{5C85C56D-2D71-4618-A888-63CFF19CEA3C}"/>
    <cellStyle name="Standard 6 4 4 7 2 3" xfId="22404" xr:uid="{15E47B26-574F-4327-8E5C-3A1955788C70}"/>
    <cellStyle name="Standard 6 4 4 7 3" xfId="10445" xr:uid="{00000000-0005-0000-0000-0000D4280000}"/>
    <cellStyle name="Standard 6 4 4 7 3 2" xfId="22406" xr:uid="{864599E4-3A73-4626-9D3A-69FF95D899B9}"/>
    <cellStyle name="Standard 6 4 4 7 4" xfId="22403" xr:uid="{D6A3088F-FCEB-446E-8CCD-85DFBE8BB500}"/>
    <cellStyle name="Standard 6 4 4 8" xfId="10446" xr:uid="{00000000-0005-0000-0000-0000D5280000}"/>
    <cellStyle name="Standard 6 4 4 8 2" xfId="10447" xr:uid="{00000000-0005-0000-0000-0000D6280000}"/>
    <cellStyle name="Standard 6 4 4 8 2 2" xfId="10448" xr:uid="{00000000-0005-0000-0000-0000D7280000}"/>
    <cellStyle name="Standard 6 4 4 8 2 2 2" xfId="22409" xr:uid="{794A0613-F789-448F-9250-12C390A18C07}"/>
    <cellStyle name="Standard 6 4 4 8 2 3" xfId="22408" xr:uid="{7E181B7A-0D5B-4494-A849-BF236754A9DB}"/>
    <cellStyle name="Standard 6 4 4 8 3" xfId="10449" xr:uid="{00000000-0005-0000-0000-0000D8280000}"/>
    <cellStyle name="Standard 6 4 4 8 3 2" xfId="22410" xr:uid="{DCDBAE2D-4E98-4287-8DE8-4E4B95CFDE52}"/>
    <cellStyle name="Standard 6 4 4 8 4" xfId="22407" xr:uid="{065A62E4-B635-4E31-9817-4CBFA48DAB7E}"/>
    <cellStyle name="Standard 6 4 4 9" xfId="10450" xr:uid="{00000000-0005-0000-0000-0000D9280000}"/>
    <cellStyle name="Standard 6 4 4 9 2" xfId="10451" xr:uid="{00000000-0005-0000-0000-0000DA280000}"/>
    <cellStyle name="Standard 6 4 4 9 2 2" xfId="10452" xr:uid="{00000000-0005-0000-0000-0000DB280000}"/>
    <cellStyle name="Standard 6 4 4 9 2 2 2" xfId="22413" xr:uid="{C87DF43A-A5B9-437C-853E-8BF02174A55E}"/>
    <cellStyle name="Standard 6 4 4 9 2 3" xfId="22412" xr:uid="{DB10E415-FEFF-4767-81C7-54A9844FAE5E}"/>
    <cellStyle name="Standard 6 4 4 9 3" xfId="10453" xr:uid="{00000000-0005-0000-0000-0000DC280000}"/>
    <cellStyle name="Standard 6 4 4 9 3 2" xfId="22414" xr:uid="{E95A6A46-C6C0-4AF5-92A1-4DB4D2BDB468}"/>
    <cellStyle name="Standard 6 4 4 9 4" xfId="22411" xr:uid="{A0F30B12-7849-4554-8CB4-8D6D41742859}"/>
    <cellStyle name="Standard 6 4 5" xfId="10454" xr:uid="{00000000-0005-0000-0000-0000DD280000}"/>
    <cellStyle name="Standard 6 4 5 10" xfId="10455" xr:uid="{00000000-0005-0000-0000-0000DE280000}"/>
    <cellStyle name="Standard 6 4 5 10 2" xfId="22416" xr:uid="{AA882A86-F83D-4651-8179-D19F94C3F632}"/>
    <cellStyle name="Standard 6 4 5 11" xfId="22415" xr:uid="{A5D242B4-A602-4B91-8833-F88BC83559C9}"/>
    <cellStyle name="Standard 6 4 5 2" xfId="10456" xr:uid="{00000000-0005-0000-0000-0000DF280000}"/>
    <cellStyle name="Standard 6 4 5 2 10" xfId="22417" xr:uid="{90BC2941-73C0-4B3B-AFBD-0F23D81A1D4D}"/>
    <cellStyle name="Standard 6 4 5 2 2" xfId="10457" xr:uid="{00000000-0005-0000-0000-0000E0280000}"/>
    <cellStyle name="Standard 6 4 5 2 2 2" xfId="10458" xr:uid="{00000000-0005-0000-0000-0000E1280000}"/>
    <cellStyle name="Standard 6 4 5 2 2 2 2" xfId="10459" xr:uid="{00000000-0005-0000-0000-0000E2280000}"/>
    <cellStyle name="Standard 6 4 5 2 2 2 2 2" xfId="22420" xr:uid="{B9121057-48FF-4A61-A7CF-B9A1884615B4}"/>
    <cellStyle name="Standard 6 4 5 2 2 2 3" xfId="22419" xr:uid="{4165FA43-1AB3-45FE-9B31-9C23DD0597E1}"/>
    <cellStyle name="Standard 6 4 5 2 2 3" xfId="10460" xr:uid="{00000000-0005-0000-0000-0000E3280000}"/>
    <cellStyle name="Standard 6 4 5 2 2 3 2" xfId="22421" xr:uid="{8BC7F8F0-4238-4C14-9302-58692DD44B4F}"/>
    <cellStyle name="Standard 6 4 5 2 2 4" xfId="22418" xr:uid="{5C62581C-12ED-4785-A569-BEEB173B1229}"/>
    <cellStyle name="Standard 6 4 5 2 3" xfId="10461" xr:uid="{00000000-0005-0000-0000-0000E4280000}"/>
    <cellStyle name="Standard 6 4 5 2 3 2" xfId="10462" xr:uid="{00000000-0005-0000-0000-0000E5280000}"/>
    <cellStyle name="Standard 6 4 5 2 3 2 2" xfId="10463" xr:uid="{00000000-0005-0000-0000-0000E6280000}"/>
    <cellStyle name="Standard 6 4 5 2 3 2 2 2" xfId="22424" xr:uid="{21C228BB-176C-4D6F-9DA2-B8455A363194}"/>
    <cellStyle name="Standard 6 4 5 2 3 2 3" xfId="22423" xr:uid="{19A596A3-EF9B-44E1-9F4F-F8443156ED46}"/>
    <cellStyle name="Standard 6 4 5 2 3 3" xfId="10464" xr:uid="{00000000-0005-0000-0000-0000E7280000}"/>
    <cellStyle name="Standard 6 4 5 2 3 3 2" xfId="22425" xr:uid="{61F85A12-9323-40CB-A2FE-F2CEFD304BF7}"/>
    <cellStyle name="Standard 6 4 5 2 3 4" xfId="22422" xr:uid="{358319D6-1BC0-4F83-BF0A-F61B026E240E}"/>
    <cellStyle name="Standard 6 4 5 2 4" xfId="10465" xr:uid="{00000000-0005-0000-0000-0000E8280000}"/>
    <cellStyle name="Standard 6 4 5 2 4 2" xfId="10466" xr:uid="{00000000-0005-0000-0000-0000E9280000}"/>
    <cellStyle name="Standard 6 4 5 2 4 2 2" xfId="10467" xr:uid="{00000000-0005-0000-0000-0000EA280000}"/>
    <cellStyle name="Standard 6 4 5 2 4 2 2 2" xfId="22428" xr:uid="{EF4AA4B1-A89A-41D8-B3BD-4174888223EB}"/>
    <cellStyle name="Standard 6 4 5 2 4 2 3" xfId="22427" xr:uid="{CBBA3CCB-2A78-4D18-A6AD-81CA92C84755}"/>
    <cellStyle name="Standard 6 4 5 2 4 3" xfId="10468" xr:uid="{00000000-0005-0000-0000-0000EB280000}"/>
    <cellStyle name="Standard 6 4 5 2 4 3 2" xfId="22429" xr:uid="{2250FF03-FE14-43DD-B7A4-849BB149C2DF}"/>
    <cellStyle name="Standard 6 4 5 2 4 4" xfId="22426" xr:uid="{97DAA5D1-3CA9-4553-8A55-BA120EC99BC4}"/>
    <cellStyle name="Standard 6 4 5 2 5" xfId="10469" xr:uid="{00000000-0005-0000-0000-0000EC280000}"/>
    <cellStyle name="Standard 6 4 5 2 5 2" xfId="10470" xr:uid="{00000000-0005-0000-0000-0000ED280000}"/>
    <cellStyle name="Standard 6 4 5 2 5 2 2" xfId="10471" xr:uid="{00000000-0005-0000-0000-0000EE280000}"/>
    <cellStyle name="Standard 6 4 5 2 5 2 2 2" xfId="22432" xr:uid="{ABA86E94-5AAC-4A1B-B436-4E5831C2E810}"/>
    <cellStyle name="Standard 6 4 5 2 5 2 3" xfId="22431" xr:uid="{5C46F139-444F-4BBC-87CA-4DA3F18DB888}"/>
    <cellStyle name="Standard 6 4 5 2 5 3" xfId="10472" xr:uid="{00000000-0005-0000-0000-0000EF280000}"/>
    <cellStyle name="Standard 6 4 5 2 5 3 2" xfId="22433" xr:uid="{B77C9698-41AD-4E57-AFD8-D75E123ABA74}"/>
    <cellStyle name="Standard 6 4 5 2 5 4" xfId="22430" xr:uid="{E5A7DFDF-B2E5-441C-86FD-4BB087806D8F}"/>
    <cellStyle name="Standard 6 4 5 2 6" xfId="10473" xr:uid="{00000000-0005-0000-0000-0000F0280000}"/>
    <cellStyle name="Standard 6 4 5 2 6 2" xfId="10474" xr:uid="{00000000-0005-0000-0000-0000F1280000}"/>
    <cellStyle name="Standard 6 4 5 2 6 2 2" xfId="10475" xr:uid="{00000000-0005-0000-0000-0000F2280000}"/>
    <cellStyle name="Standard 6 4 5 2 6 2 2 2" xfId="22436" xr:uid="{ECAC1AD8-37AF-447D-9064-957BFFB487B0}"/>
    <cellStyle name="Standard 6 4 5 2 6 2 3" xfId="22435" xr:uid="{0EABAE5E-18BC-4910-AB55-DC6C55FC7232}"/>
    <cellStyle name="Standard 6 4 5 2 6 3" xfId="10476" xr:uid="{00000000-0005-0000-0000-0000F3280000}"/>
    <cellStyle name="Standard 6 4 5 2 6 3 2" xfId="22437" xr:uid="{E6388018-5F78-43E6-8A4C-DB8BD3C1CC9A}"/>
    <cellStyle name="Standard 6 4 5 2 6 4" xfId="22434" xr:uid="{7ACF0005-F4CC-4EBD-A2D2-84BAEA41B6CA}"/>
    <cellStyle name="Standard 6 4 5 2 7" xfId="10477" xr:uid="{00000000-0005-0000-0000-0000F4280000}"/>
    <cellStyle name="Standard 6 4 5 2 7 2" xfId="10478" xr:uid="{00000000-0005-0000-0000-0000F5280000}"/>
    <cellStyle name="Standard 6 4 5 2 7 2 2" xfId="10479" xr:uid="{00000000-0005-0000-0000-0000F6280000}"/>
    <cellStyle name="Standard 6 4 5 2 7 2 2 2" xfId="22440" xr:uid="{359138CB-C08D-419E-A470-EB3765FBDB81}"/>
    <cellStyle name="Standard 6 4 5 2 7 2 3" xfId="22439" xr:uid="{595DAF20-B5D4-4137-9671-1D8632155B5C}"/>
    <cellStyle name="Standard 6 4 5 2 7 3" xfId="10480" xr:uid="{00000000-0005-0000-0000-0000F7280000}"/>
    <cellStyle name="Standard 6 4 5 2 7 3 2" xfId="22441" xr:uid="{53F1238E-7F6F-4908-9B9D-6B1705192128}"/>
    <cellStyle name="Standard 6 4 5 2 7 4" xfId="22438" xr:uid="{4F63DD01-33AB-45A5-9939-A52B216E0405}"/>
    <cellStyle name="Standard 6 4 5 2 8" xfId="10481" xr:uid="{00000000-0005-0000-0000-0000F8280000}"/>
    <cellStyle name="Standard 6 4 5 2 8 2" xfId="10482" xr:uid="{00000000-0005-0000-0000-0000F9280000}"/>
    <cellStyle name="Standard 6 4 5 2 8 2 2" xfId="22443" xr:uid="{F8B152A1-FFDB-4C38-A149-1938B768A317}"/>
    <cellStyle name="Standard 6 4 5 2 8 3" xfId="22442" xr:uid="{F3400BCE-9ADD-4B65-A6EF-1E266B1B1324}"/>
    <cellStyle name="Standard 6 4 5 2 9" xfId="10483" xr:uid="{00000000-0005-0000-0000-0000FA280000}"/>
    <cellStyle name="Standard 6 4 5 2 9 2" xfId="22444" xr:uid="{144F3E9F-9745-4778-A8FE-17FB00D72EC3}"/>
    <cellStyle name="Standard 6 4 5 3" xfId="10484" xr:uid="{00000000-0005-0000-0000-0000FB280000}"/>
    <cellStyle name="Standard 6 4 5 3 2" xfId="10485" xr:uid="{00000000-0005-0000-0000-0000FC280000}"/>
    <cellStyle name="Standard 6 4 5 3 2 2" xfId="10486" xr:uid="{00000000-0005-0000-0000-0000FD280000}"/>
    <cellStyle name="Standard 6 4 5 3 2 2 2" xfId="22447" xr:uid="{51270252-2C92-44AA-97DD-2BCAFDCA9F50}"/>
    <cellStyle name="Standard 6 4 5 3 2 3" xfId="22446" xr:uid="{2D4E8021-AAE6-4183-83AB-9EEE5CAD6F78}"/>
    <cellStyle name="Standard 6 4 5 3 3" xfId="10487" xr:uid="{00000000-0005-0000-0000-0000FE280000}"/>
    <cellStyle name="Standard 6 4 5 3 3 2" xfId="22448" xr:uid="{42DCF290-52AD-4219-86E2-8E0C7A4060FB}"/>
    <cellStyle name="Standard 6 4 5 3 4" xfId="22445" xr:uid="{2283DD98-7F39-4269-9294-DC8330998578}"/>
    <cellStyle name="Standard 6 4 5 4" xfId="10488" xr:uid="{00000000-0005-0000-0000-0000FF280000}"/>
    <cellStyle name="Standard 6 4 5 4 2" xfId="10489" xr:uid="{00000000-0005-0000-0000-000000290000}"/>
    <cellStyle name="Standard 6 4 5 4 2 2" xfId="10490" xr:uid="{00000000-0005-0000-0000-000001290000}"/>
    <cellStyle name="Standard 6 4 5 4 2 2 2" xfId="22451" xr:uid="{825E593F-31D8-4080-8F9B-5B6DFCF527DB}"/>
    <cellStyle name="Standard 6 4 5 4 2 3" xfId="22450" xr:uid="{F6D8C5D6-2812-4B0A-8CFA-6E511A429CC0}"/>
    <cellStyle name="Standard 6 4 5 4 3" xfId="10491" xr:uid="{00000000-0005-0000-0000-000002290000}"/>
    <cellStyle name="Standard 6 4 5 4 3 2" xfId="22452" xr:uid="{AE94F847-5AC2-4730-8DC8-90711FFB30E6}"/>
    <cellStyle name="Standard 6 4 5 4 4" xfId="22449" xr:uid="{093B806D-8AC0-44DA-BEC1-648E3800F0D7}"/>
    <cellStyle name="Standard 6 4 5 5" xfId="10492" xr:uid="{00000000-0005-0000-0000-000003290000}"/>
    <cellStyle name="Standard 6 4 5 5 2" xfId="10493" xr:uid="{00000000-0005-0000-0000-000004290000}"/>
    <cellStyle name="Standard 6 4 5 5 2 2" xfId="10494" xr:uid="{00000000-0005-0000-0000-000005290000}"/>
    <cellStyle name="Standard 6 4 5 5 2 2 2" xfId="22455" xr:uid="{B31465A2-E88F-42A8-811B-ADE2DD12D861}"/>
    <cellStyle name="Standard 6 4 5 5 2 3" xfId="22454" xr:uid="{3482A353-16DB-4FFE-BF37-F7A6FB699CFC}"/>
    <cellStyle name="Standard 6 4 5 5 3" xfId="10495" xr:uid="{00000000-0005-0000-0000-000006290000}"/>
    <cellStyle name="Standard 6 4 5 5 3 2" xfId="22456" xr:uid="{F0E0F0BE-9D4A-43CD-8A40-3902BBDF32D0}"/>
    <cellStyle name="Standard 6 4 5 5 4" xfId="22453" xr:uid="{586C04EE-B930-48A2-9C34-DAA3185FD057}"/>
    <cellStyle name="Standard 6 4 5 6" xfId="10496" xr:uid="{00000000-0005-0000-0000-000007290000}"/>
    <cellStyle name="Standard 6 4 5 6 2" xfId="10497" xr:uid="{00000000-0005-0000-0000-000008290000}"/>
    <cellStyle name="Standard 6 4 5 6 2 2" xfId="10498" xr:uid="{00000000-0005-0000-0000-000009290000}"/>
    <cellStyle name="Standard 6 4 5 6 2 2 2" xfId="22459" xr:uid="{7A111645-F731-4BE8-90FE-9ACDAEAECE0A}"/>
    <cellStyle name="Standard 6 4 5 6 2 3" xfId="22458" xr:uid="{BF2195CD-D600-4D8A-A467-34FB7E8CDC2A}"/>
    <cellStyle name="Standard 6 4 5 6 3" xfId="10499" xr:uid="{00000000-0005-0000-0000-00000A290000}"/>
    <cellStyle name="Standard 6 4 5 6 3 2" xfId="22460" xr:uid="{099AA78F-2B78-4D31-90D0-558566F1004E}"/>
    <cellStyle name="Standard 6 4 5 6 4" xfId="22457" xr:uid="{EBE01686-F6DF-45D6-A840-4EA4DE8E9EDB}"/>
    <cellStyle name="Standard 6 4 5 7" xfId="10500" xr:uid="{00000000-0005-0000-0000-00000B290000}"/>
    <cellStyle name="Standard 6 4 5 7 2" xfId="10501" xr:uid="{00000000-0005-0000-0000-00000C290000}"/>
    <cellStyle name="Standard 6 4 5 7 2 2" xfId="10502" xr:uid="{00000000-0005-0000-0000-00000D290000}"/>
    <cellStyle name="Standard 6 4 5 7 2 2 2" xfId="22463" xr:uid="{BBC23633-81DB-4835-B0D7-6CC9B745523C}"/>
    <cellStyle name="Standard 6 4 5 7 2 3" xfId="22462" xr:uid="{6C6FFA4A-55D8-42FB-B0D4-2F8030850F66}"/>
    <cellStyle name="Standard 6 4 5 7 3" xfId="10503" xr:uid="{00000000-0005-0000-0000-00000E290000}"/>
    <cellStyle name="Standard 6 4 5 7 3 2" xfId="22464" xr:uid="{08218347-306C-47DD-989E-B3103FE97BD5}"/>
    <cellStyle name="Standard 6 4 5 7 4" xfId="22461" xr:uid="{737F6EEF-F53E-4602-9025-17D570D8F47C}"/>
    <cellStyle name="Standard 6 4 5 8" xfId="10504" xr:uid="{00000000-0005-0000-0000-00000F290000}"/>
    <cellStyle name="Standard 6 4 5 8 2" xfId="10505" xr:uid="{00000000-0005-0000-0000-000010290000}"/>
    <cellStyle name="Standard 6 4 5 8 2 2" xfId="10506" xr:uid="{00000000-0005-0000-0000-000011290000}"/>
    <cellStyle name="Standard 6 4 5 8 2 2 2" xfId="22467" xr:uid="{7BAB1E71-F206-47D0-9774-92B8A9D8C848}"/>
    <cellStyle name="Standard 6 4 5 8 2 3" xfId="22466" xr:uid="{8756F264-5DF4-4278-8DC2-95E9A7E79920}"/>
    <cellStyle name="Standard 6 4 5 8 3" xfId="10507" xr:uid="{00000000-0005-0000-0000-000012290000}"/>
    <cellStyle name="Standard 6 4 5 8 3 2" xfId="22468" xr:uid="{E4D18A04-A8AB-493B-8F6E-EF6523E9C2DB}"/>
    <cellStyle name="Standard 6 4 5 8 4" xfId="22465" xr:uid="{B0599709-E02D-4763-A6A0-5EFE32A23AEA}"/>
    <cellStyle name="Standard 6 4 5 9" xfId="10508" xr:uid="{00000000-0005-0000-0000-000013290000}"/>
    <cellStyle name="Standard 6 4 5 9 2" xfId="10509" xr:uid="{00000000-0005-0000-0000-000014290000}"/>
    <cellStyle name="Standard 6 4 5 9 2 2" xfId="22470" xr:uid="{9BB76D40-F349-458F-96BA-D6A19800EAA1}"/>
    <cellStyle name="Standard 6 4 5 9 3" xfId="22469" xr:uid="{C152B593-967B-4C9F-BEAB-4A4FD9F75538}"/>
    <cellStyle name="Standard 6 4 6" xfId="10510" xr:uid="{00000000-0005-0000-0000-000015290000}"/>
    <cellStyle name="Standard 6 4 6 10" xfId="10511" xr:uid="{00000000-0005-0000-0000-000016290000}"/>
    <cellStyle name="Standard 6 4 6 10 2" xfId="22472" xr:uid="{49D0D6FC-FA82-480F-AD09-0EE74958FD65}"/>
    <cellStyle name="Standard 6 4 6 11" xfId="22471" xr:uid="{8C2D31B2-57A6-4432-A071-681E4F347B10}"/>
    <cellStyle name="Standard 6 4 6 2" xfId="10512" xr:uid="{00000000-0005-0000-0000-000017290000}"/>
    <cellStyle name="Standard 6 4 6 2 10" xfId="22473" xr:uid="{00E69899-A9F5-4C8F-88A1-8D1494F80A82}"/>
    <cellStyle name="Standard 6 4 6 2 2" xfId="10513" xr:uid="{00000000-0005-0000-0000-000018290000}"/>
    <cellStyle name="Standard 6 4 6 2 2 2" xfId="10514" xr:uid="{00000000-0005-0000-0000-000019290000}"/>
    <cellStyle name="Standard 6 4 6 2 2 2 2" xfId="10515" xr:uid="{00000000-0005-0000-0000-00001A290000}"/>
    <cellStyle name="Standard 6 4 6 2 2 2 2 2" xfId="22476" xr:uid="{EFB0E91C-556A-4230-9154-5F641E2C2DBD}"/>
    <cellStyle name="Standard 6 4 6 2 2 2 3" xfId="22475" xr:uid="{CAB21051-EBCC-4525-95EB-1D197C6567C8}"/>
    <cellStyle name="Standard 6 4 6 2 2 3" xfId="10516" xr:uid="{00000000-0005-0000-0000-00001B290000}"/>
    <cellStyle name="Standard 6 4 6 2 2 3 2" xfId="22477" xr:uid="{D4D1C28C-FA3B-4736-8AE0-72084F5279F1}"/>
    <cellStyle name="Standard 6 4 6 2 2 4" xfId="22474" xr:uid="{47A3E8FE-A6BF-426E-9532-4037AC70CAA5}"/>
    <cellStyle name="Standard 6 4 6 2 3" xfId="10517" xr:uid="{00000000-0005-0000-0000-00001C290000}"/>
    <cellStyle name="Standard 6 4 6 2 3 2" xfId="10518" xr:uid="{00000000-0005-0000-0000-00001D290000}"/>
    <cellStyle name="Standard 6 4 6 2 3 2 2" xfId="10519" xr:uid="{00000000-0005-0000-0000-00001E290000}"/>
    <cellStyle name="Standard 6 4 6 2 3 2 2 2" xfId="22480" xr:uid="{84021B3F-EBD6-4A8E-8003-8FED79F2121F}"/>
    <cellStyle name="Standard 6 4 6 2 3 2 3" xfId="22479" xr:uid="{912F994F-4C22-4CC3-8CC6-14521A3C08A8}"/>
    <cellStyle name="Standard 6 4 6 2 3 3" xfId="10520" xr:uid="{00000000-0005-0000-0000-00001F290000}"/>
    <cellStyle name="Standard 6 4 6 2 3 3 2" xfId="22481" xr:uid="{F3C7299B-A54E-4A5C-A0A4-5B9F87250254}"/>
    <cellStyle name="Standard 6 4 6 2 3 4" xfId="22478" xr:uid="{1D538A84-09E4-4C32-97DD-153EC4066BA2}"/>
    <cellStyle name="Standard 6 4 6 2 4" xfId="10521" xr:uid="{00000000-0005-0000-0000-000020290000}"/>
    <cellStyle name="Standard 6 4 6 2 4 2" xfId="10522" xr:uid="{00000000-0005-0000-0000-000021290000}"/>
    <cellStyle name="Standard 6 4 6 2 4 2 2" xfId="10523" xr:uid="{00000000-0005-0000-0000-000022290000}"/>
    <cellStyle name="Standard 6 4 6 2 4 2 2 2" xfId="22484" xr:uid="{9D1E0C04-7106-4AE8-A49B-DB5D04F8A7A5}"/>
    <cellStyle name="Standard 6 4 6 2 4 2 3" xfId="22483" xr:uid="{74320965-966D-4455-BC34-0801AF46471C}"/>
    <cellStyle name="Standard 6 4 6 2 4 3" xfId="10524" xr:uid="{00000000-0005-0000-0000-000023290000}"/>
    <cellStyle name="Standard 6 4 6 2 4 3 2" xfId="22485" xr:uid="{4370983A-3C95-456D-A649-05C0EE955D70}"/>
    <cellStyle name="Standard 6 4 6 2 4 4" xfId="22482" xr:uid="{AE92E0DA-CC52-4184-8290-73C52241CD4C}"/>
    <cellStyle name="Standard 6 4 6 2 5" xfId="10525" xr:uid="{00000000-0005-0000-0000-000024290000}"/>
    <cellStyle name="Standard 6 4 6 2 5 2" xfId="10526" xr:uid="{00000000-0005-0000-0000-000025290000}"/>
    <cellStyle name="Standard 6 4 6 2 5 2 2" xfId="10527" xr:uid="{00000000-0005-0000-0000-000026290000}"/>
    <cellStyle name="Standard 6 4 6 2 5 2 2 2" xfId="22488" xr:uid="{DF13DD17-62BC-4A13-AAE5-2C3224159B58}"/>
    <cellStyle name="Standard 6 4 6 2 5 2 3" xfId="22487" xr:uid="{6BD690A5-7F42-4428-88E3-DA2D32115DAE}"/>
    <cellStyle name="Standard 6 4 6 2 5 3" xfId="10528" xr:uid="{00000000-0005-0000-0000-000027290000}"/>
    <cellStyle name="Standard 6 4 6 2 5 3 2" xfId="22489" xr:uid="{DD140177-B598-478F-852D-43957667FBB8}"/>
    <cellStyle name="Standard 6 4 6 2 5 4" xfId="22486" xr:uid="{92ED4DD1-0A11-4CE8-8483-16C281F672E2}"/>
    <cellStyle name="Standard 6 4 6 2 6" xfId="10529" xr:uid="{00000000-0005-0000-0000-000028290000}"/>
    <cellStyle name="Standard 6 4 6 2 6 2" xfId="10530" xr:uid="{00000000-0005-0000-0000-000029290000}"/>
    <cellStyle name="Standard 6 4 6 2 6 2 2" xfId="10531" xr:uid="{00000000-0005-0000-0000-00002A290000}"/>
    <cellStyle name="Standard 6 4 6 2 6 2 2 2" xfId="22492" xr:uid="{EF13CEB4-4595-4F05-BC6C-D0390D4EFB19}"/>
    <cellStyle name="Standard 6 4 6 2 6 2 3" xfId="22491" xr:uid="{5C143B40-755A-4657-BF8D-BC75D16A2F35}"/>
    <cellStyle name="Standard 6 4 6 2 6 3" xfId="10532" xr:uid="{00000000-0005-0000-0000-00002B290000}"/>
    <cellStyle name="Standard 6 4 6 2 6 3 2" xfId="22493" xr:uid="{56329F64-4C36-481B-B3EF-596EF620E99D}"/>
    <cellStyle name="Standard 6 4 6 2 6 4" xfId="22490" xr:uid="{CE6B4107-1A04-4A36-8493-6D2E6B0CD76F}"/>
    <cellStyle name="Standard 6 4 6 2 7" xfId="10533" xr:uid="{00000000-0005-0000-0000-00002C290000}"/>
    <cellStyle name="Standard 6 4 6 2 7 2" xfId="10534" xr:uid="{00000000-0005-0000-0000-00002D290000}"/>
    <cellStyle name="Standard 6 4 6 2 7 2 2" xfId="10535" xr:uid="{00000000-0005-0000-0000-00002E290000}"/>
    <cellStyle name="Standard 6 4 6 2 7 2 2 2" xfId="22496" xr:uid="{C0E35A85-B061-44E7-A921-82DCEB300E1C}"/>
    <cellStyle name="Standard 6 4 6 2 7 2 3" xfId="22495" xr:uid="{76AEA3D0-884E-4BC6-A1EA-C42B7819350A}"/>
    <cellStyle name="Standard 6 4 6 2 7 3" xfId="10536" xr:uid="{00000000-0005-0000-0000-00002F290000}"/>
    <cellStyle name="Standard 6 4 6 2 7 3 2" xfId="22497" xr:uid="{339487EB-09E9-4451-A307-E715DE442524}"/>
    <cellStyle name="Standard 6 4 6 2 7 4" xfId="22494" xr:uid="{860F2E41-B593-4262-9DA7-32A49481963E}"/>
    <cellStyle name="Standard 6 4 6 2 8" xfId="10537" xr:uid="{00000000-0005-0000-0000-000030290000}"/>
    <cellStyle name="Standard 6 4 6 2 8 2" xfId="10538" xr:uid="{00000000-0005-0000-0000-000031290000}"/>
    <cellStyle name="Standard 6 4 6 2 8 2 2" xfId="22499" xr:uid="{E293F36B-7B4D-4F84-8F4D-5575820624AD}"/>
    <cellStyle name="Standard 6 4 6 2 8 3" xfId="22498" xr:uid="{B28E2BC1-F5DD-412F-A261-F00B449E8079}"/>
    <cellStyle name="Standard 6 4 6 2 9" xfId="10539" xr:uid="{00000000-0005-0000-0000-000032290000}"/>
    <cellStyle name="Standard 6 4 6 2 9 2" xfId="22500" xr:uid="{89EFCBBA-603A-4107-A06F-2BC83647EB69}"/>
    <cellStyle name="Standard 6 4 6 3" xfId="10540" xr:uid="{00000000-0005-0000-0000-000033290000}"/>
    <cellStyle name="Standard 6 4 6 3 2" xfId="10541" xr:uid="{00000000-0005-0000-0000-000034290000}"/>
    <cellStyle name="Standard 6 4 6 3 2 2" xfId="10542" xr:uid="{00000000-0005-0000-0000-000035290000}"/>
    <cellStyle name="Standard 6 4 6 3 2 2 2" xfId="22503" xr:uid="{B73108D9-1715-4B34-AEBB-E7D6E702CAB8}"/>
    <cellStyle name="Standard 6 4 6 3 2 3" xfId="22502" xr:uid="{C86DBA2C-1A16-4339-89D4-945522B3ABD7}"/>
    <cellStyle name="Standard 6 4 6 3 3" xfId="10543" xr:uid="{00000000-0005-0000-0000-000036290000}"/>
    <cellStyle name="Standard 6 4 6 3 3 2" xfId="22504" xr:uid="{5BDA3A1D-8118-4205-BCDC-EED56186FA54}"/>
    <cellStyle name="Standard 6 4 6 3 4" xfId="22501" xr:uid="{7E853636-0CC4-42E1-B023-1D11F426856C}"/>
    <cellStyle name="Standard 6 4 6 4" xfId="10544" xr:uid="{00000000-0005-0000-0000-000037290000}"/>
    <cellStyle name="Standard 6 4 6 4 2" xfId="10545" xr:uid="{00000000-0005-0000-0000-000038290000}"/>
    <cellStyle name="Standard 6 4 6 4 2 2" xfId="10546" xr:uid="{00000000-0005-0000-0000-000039290000}"/>
    <cellStyle name="Standard 6 4 6 4 2 2 2" xfId="22507" xr:uid="{228BFA00-F561-45E3-AEA6-3ABE873D87F8}"/>
    <cellStyle name="Standard 6 4 6 4 2 3" xfId="22506" xr:uid="{0C0399A8-EF11-4FCC-BBCD-D5C12D4EF9F1}"/>
    <cellStyle name="Standard 6 4 6 4 3" xfId="10547" xr:uid="{00000000-0005-0000-0000-00003A290000}"/>
    <cellStyle name="Standard 6 4 6 4 3 2" xfId="22508" xr:uid="{9CC63E5E-C6D6-4D1F-A797-8C5DD957FDF8}"/>
    <cellStyle name="Standard 6 4 6 4 4" xfId="22505" xr:uid="{BD7146FE-8A5F-4EAE-A471-CD4217CBDA27}"/>
    <cellStyle name="Standard 6 4 6 5" xfId="10548" xr:uid="{00000000-0005-0000-0000-00003B290000}"/>
    <cellStyle name="Standard 6 4 6 5 2" xfId="10549" xr:uid="{00000000-0005-0000-0000-00003C290000}"/>
    <cellStyle name="Standard 6 4 6 5 2 2" xfId="10550" xr:uid="{00000000-0005-0000-0000-00003D290000}"/>
    <cellStyle name="Standard 6 4 6 5 2 2 2" xfId="22511" xr:uid="{F7076540-0B06-4A22-9F7D-77FD506E1486}"/>
    <cellStyle name="Standard 6 4 6 5 2 3" xfId="22510" xr:uid="{40EF2BC3-92DC-405F-AC14-85AED5D16898}"/>
    <cellStyle name="Standard 6 4 6 5 3" xfId="10551" xr:uid="{00000000-0005-0000-0000-00003E290000}"/>
    <cellStyle name="Standard 6 4 6 5 3 2" xfId="22512" xr:uid="{9C342EBB-937D-48FB-8E0A-32A450CF2809}"/>
    <cellStyle name="Standard 6 4 6 5 4" xfId="22509" xr:uid="{3BF9608D-0CB7-470D-899B-7F74AD1044AC}"/>
    <cellStyle name="Standard 6 4 6 6" xfId="10552" xr:uid="{00000000-0005-0000-0000-00003F290000}"/>
    <cellStyle name="Standard 6 4 6 6 2" xfId="10553" xr:uid="{00000000-0005-0000-0000-000040290000}"/>
    <cellStyle name="Standard 6 4 6 6 2 2" xfId="10554" xr:uid="{00000000-0005-0000-0000-000041290000}"/>
    <cellStyle name="Standard 6 4 6 6 2 2 2" xfId="22515" xr:uid="{176E66EA-8F58-4F39-853F-B018EFC85B60}"/>
    <cellStyle name="Standard 6 4 6 6 2 3" xfId="22514" xr:uid="{C2792BE7-6871-45C1-B515-8D66FF29E136}"/>
    <cellStyle name="Standard 6 4 6 6 3" xfId="10555" xr:uid="{00000000-0005-0000-0000-000042290000}"/>
    <cellStyle name="Standard 6 4 6 6 3 2" xfId="22516" xr:uid="{21A6C96D-E574-4757-BAED-5600DAAFD091}"/>
    <cellStyle name="Standard 6 4 6 6 4" xfId="22513" xr:uid="{626E2FD1-E891-4FAB-A4C1-305524B2AF18}"/>
    <cellStyle name="Standard 6 4 6 7" xfId="10556" xr:uid="{00000000-0005-0000-0000-000043290000}"/>
    <cellStyle name="Standard 6 4 6 7 2" xfId="10557" xr:uid="{00000000-0005-0000-0000-000044290000}"/>
    <cellStyle name="Standard 6 4 6 7 2 2" xfId="10558" xr:uid="{00000000-0005-0000-0000-000045290000}"/>
    <cellStyle name="Standard 6 4 6 7 2 2 2" xfId="22519" xr:uid="{62837117-D1F3-44E8-9126-9F39059B5571}"/>
    <cellStyle name="Standard 6 4 6 7 2 3" xfId="22518" xr:uid="{12F439FE-FFE5-4F06-9B3A-E8D4771D2616}"/>
    <cellStyle name="Standard 6 4 6 7 3" xfId="10559" xr:uid="{00000000-0005-0000-0000-000046290000}"/>
    <cellStyle name="Standard 6 4 6 7 3 2" xfId="22520" xr:uid="{75B33B2A-592F-4BC5-9950-F5DD8EC89778}"/>
    <cellStyle name="Standard 6 4 6 7 4" xfId="22517" xr:uid="{48BD0328-65B1-47E8-A2EA-6EDB93D5C1EF}"/>
    <cellStyle name="Standard 6 4 6 8" xfId="10560" xr:uid="{00000000-0005-0000-0000-000047290000}"/>
    <cellStyle name="Standard 6 4 6 8 2" xfId="10561" xr:uid="{00000000-0005-0000-0000-000048290000}"/>
    <cellStyle name="Standard 6 4 6 8 2 2" xfId="10562" xr:uid="{00000000-0005-0000-0000-000049290000}"/>
    <cellStyle name="Standard 6 4 6 8 2 2 2" xfId="22523" xr:uid="{054F5B6A-8348-4D46-B4D0-25C748E9A417}"/>
    <cellStyle name="Standard 6 4 6 8 2 3" xfId="22522" xr:uid="{469F9991-8C90-4BB4-A3F7-CFEA4152D5EB}"/>
    <cellStyle name="Standard 6 4 6 8 3" xfId="10563" xr:uid="{00000000-0005-0000-0000-00004A290000}"/>
    <cellStyle name="Standard 6 4 6 8 3 2" xfId="22524" xr:uid="{604A86FA-A438-4513-B9D9-3DE001C46FF0}"/>
    <cellStyle name="Standard 6 4 6 8 4" xfId="22521" xr:uid="{FDC99F53-E5ED-443C-8A8A-73D1C3A15938}"/>
    <cellStyle name="Standard 6 4 6 9" xfId="10564" xr:uid="{00000000-0005-0000-0000-00004B290000}"/>
    <cellStyle name="Standard 6 4 6 9 2" xfId="10565" xr:uid="{00000000-0005-0000-0000-00004C290000}"/>
    <cellStyle name="Standard 6 4 6 9 2 2" xfId="22526" xr:uid="{F4BB89B2-A16A-43B3-B07C-5570B7A4F8FA}"/>
    <cellStyle name="Standard 6 4 6 9 3" xfId="22525" xr:uid="{86D63BA6-4E6A-4A58-A901-923DDF094E30}"/>
    <cellStyle name="Standard 6 4 7" xfId="10566" xr:uid="{00000000-0005-0000-0000-00004D290000}"/>
    <cellStyle name="Standard 6 4 7 10" xfId="10567" xr:uid="{00000000-0005-0000-0000-00004E290000}"/>
    <cellStyle name="Standard 6 4 7 10 2" xfId="22528" xr:uid="{B0D3D947-67AB-478F-ABFB-68BEA1FFF11A}"/>
    <cellStyle name="Standard 6 4 7 11" xfId="22527" xr:uid="{FC20F111-D952-416B-95BA-F120137FA3AE}"/>
    <cellStyle name="Standard 6 4 7 2" xfId="10568" xr:uid="{00000000-0005-0000-0000-00004F290000}"/>
    <cellStyle name="Standard 6 4 7 2 10" xfId="22529" xr:uid="{D8108381-3CB9-47DF-B3B8-DB1B1DB9B1E9}"/>
    <cellStyle name="Standard 6 4 7 2 2" xfId="10569" xr:uid="{00000000-0005-0000-0000-000050290000}"/>
    <cellStyle name="Standard 6 4 7 2 2 2" xfId="10570" xr:uid="{00000000-0005-0000-0000-000051290000}"/>
    <cellStyle name="Standard 6 4 7 2 2 2 2" xfId="10571" xr:uid="{00000000-0005-0000-0000-000052290000}"/>
    <cellStyle name="Standard 6 4 7 2 2 2 2 2" xfId="22532" xr:uid="{1308A389-7C0F-4B94-B9FD-CB037514BB58}"/>
    <cellStyle name="Standard 6 4 7 2 2 2 3" xfId="22531" xr:uid="{8D1833BD-B11D-4095-AC7E-2DA1C54A719C}"/>
    <cellStyle name="Standard 6 4 7 2 2 3" xfId="10572" xr:uid="{00000000-0005-0000-0000-000053290000}"/>
    <cellStyle name="Standard 6 4 7 2 2 3 2" xfId="22533" xr:uid="{5EC30F14-2822-408E-96E2-05904ECEA56A}"/>
    <cellStyle name="Standard 6 4 7 2 2 4" xfId="22530" xr:uid="{4189EB24-ABCE-482D-8D06-970643F28129}"/>
    <cellStyle name="Standard 6 4 7 2 3" xfId="10573" xr:uid="{00000000-0005-0000-0000-000054290000}"/>
    <cellStyle name="Standard 6 4 7 2 3 2" xfId="10574" xr:uid="{00000000-0005-0000-0000-000055290000}"/>
    <cellStyle name="Standard 6 4 7 2 3 2 2" xfId="10575" xr:uid="{00000000-0005-0000-0000-000056290000}"/>
    <cellStyle name="Standard 6 4 7 2 3 2 2 2" xfId="22536" xr:uid="{63E9BF7C-1546-4DD8-9C19-F4579A1E17D8}"/>
    <cellStyle name="Standard 6 4 7 2 3 2 3" xfId="22535" xr:uid="{CD667897-51B5-4F6B-92DD-6A2F44147211}"/>
    <cellStyle name="Standard 6 4 7 2 3 3" xfId="10576" xr:uid="{00000000-0005-0000-0000-000057290000}"/>
    <cellStyle name="Standard 6 4 7 2 3 3 2" xfId="22537" xr:uid="{9D98285F-7335-4CFC-BB02-DBBCB3C6A179}"/>
    <cellStyle name="Standard 6 4 7 2 3 4" xfId="22534" xr:uid="{D7116270-51DF-4FAE-95CA-8FEE75168C92}"/>
    <cellStyle name="Standard 6 4 7 2 4" xfId="10577" xr:uid="{00000000-0005-0000-0000-000058290000}"/>
    <cellStyle name="Standard 6 4 7 2 4 2" xfId="10578" xr:uid="{00000000-0005-0000-0000-000059290000}"/>
    <cellStyle name="Standard 6 4 7 2 4 2 2" xfId="10579" xr:uid="{00000000-0005-0000-0000-00005A290000}"/>
    <cellStyle name="Standard 6 4 7 2 4 2 2 2" xfId="22540" xr:uid="{E6C6DA41-5A8E-4035-AC73-F6968324974A}"/>
    <cellStyle name="Standard 6 4 7 2 4 2 3" xfId="22539" xr:uid="{ECC64E69-3C73-44EC-88D9-D63C6E29C22D}"/>
    <cellStyle name="Standard 6 4 7 2 4 3" xfId="10580" xr:uid="{00000000-0005-0000-0000-00005B290000}"/>
    <cellStyle name="Standard 6 4 7 2 4 3 2" xfId="22541" xr:uid="{708AFB23-B278-4FEA-A36C-098C00B3F8A9}"/>
    <cellStyle name="Standard 6 4 7 2 4 4" xfId="22538" xr:uid="{1B0C6B9A-B124-49F1-A51F-E7D0EAFF1DEE}"/>
    <cellStyle name="Standard 6 4 7 2 5" xfId="10581" xr:uid="{00000000-0005-0000-0000-00005C290000}"/>
    <cellStyle name="Standard 6 4 7 2 5 2" xfId="10582" xr:uid="{00000000-0005-0000-0000-00005D290000}"/>
    <cellStyle name="Standard 6 4 7 2 5 2 2" xfId="10583" xr:uid="{00000000-0005-0000-0000-00005E290000}"/>
    <cellStyle name="Standard 6 4 7 2 5 2 2 2" xfId="22544" xr:uid="{540876C7-3C36-4418-AB22-06E52812306B}"/>
    <cellStyle name="Standard 6 4 7 2 5 2 3" xfId="22543" xr:uid="{17CCC8F9-ADB0-43F0-A20F-7B2606DCF743}"/>
    <cellStyle name="Standard 6 4 7 2 5 3" xfId="10584" xr:uid="{00000000-0005-0000-0000-00005F290000}"/>
    <cellStyle name="Standard 6 4 7 2 5 3 2" xfId="22545" xr:uid="{845ECC5E-E29D-44FA-818F-308803D345C3}"/>
    <cellStyle name="Standard 6 4 7 2 5 4" xfId="22542" xr:uid="{411C3455-5FB2-4F87-B762-A5299255B2B7}"/>
    <cellStyle name="Standard 6 4 7 2 6" xfId="10585" xr:uid="{00000000-0005-0000-0000-000060290000}"/>
    <cellStyle name="Standard 6 4 7 2 6 2" xfId="10586" xr:uid="{00000000-0005-0000-0000-000061290000}"/>
    <cellStyle name="Standard 6 4 7 2 6 2 2" xfId="10587" xr:uid="{00000000-0005-0000-0000-000062290000}"/>
    <cellStyle name="Standard 6 4 7 2 6 2 2 2" xfId="22548" xr:uid="{CEB3A26B-7433-457B-AAAC-4F90324A9E05}"/>
    <cellStyle name="Standard 6 4 7 2 6 2 3" xfId="22547" xr:uid="{FA4CA918-B506-4D9E-A787-82B00E61B910}"/>
    <cellStyle name="Standard 6 4 7 2 6 3" xfId="10588" xr:uid="{00000000-0005-0000-0000-000063290000}"/>
    <cellStyle name="Standard 6 4 7 2 6 3 2" xfId="22549" xr:uid="{C3601E5C-D1E1-400A-B153-2ACD4415DF94}"/>
    <cellStyle name="Standard 6 4 7 2 6 4" xfId="22546" xr:uid="{2AE33322-E565-4BCF-ADF5-8B953405FC18}"/>
    <cellStyle name="Standard 6 4 7 2 7" xfId="10589" xr:uid="{00000000-0005-0000-0000-000064290000}"/>
    <cellStyle name="Standard 6 4 7 2 7 2" xfId="10590" xr:uid="{00000000-0005-0000-0000-000065290000}"/>
    <cellStyle name="Standard 6 4 7 2 7 2 2" xfId="10591" xr:uid="{00000000-0005-0000-0000-000066290000}"/>
    <cellStyle name="Standard 6 4 7 2 7 2 2 2" xfId="22552" xr:uid="{B9F9A6BE-FE47-48E5-993E-4524A6C54C6B}"/>
    <cellStyle name="Standard 6 4 7 2 7 2 3" xfId="22551" xr:uid="{7D30EF13-E730-4C0A-9447-299C65E52A34}"/>
    <cellStyle name="Standard 6 4 7 2 7 3" xfId="10592" xr:uid="{00000000-0005-0000-0000-000067290000}"/>
    <cellStyle name="Standard 6 4 7 2 7 3 2" xfId="22553" xr:uid="{3D574502-790A-4307-8483-2C30C9701CCE}"/>
    <cellStyle name="Standard 6 4 7 2 7 4" xfId="22550" xr:uid="{032C24C8-FDB8-49FE-AF09-5B8352AFC124}"/>
    <cellStyle name="Standard 6 4 7 2 8" xfId="10593" xr:uid="{00000000-0005-0000-0000-000068290000}"/>
    <cellStyle name="Standard 6 4 7 2 8 2" xfId="10594" xr:uid="{00000000-0005-0000-0000-000069290000}"/>
    <cellStyle name="Standard 6 4 7 2 8 2 2" xfId="22555" xr:uid="{C4C87C19-89FF-4B02-A910-563B15E2D7AD}"/>
    <cellStyle name="Standard 6 4 7 2 8 3" xfId="22554" xr:uid="{87DEEDA7-D463-4AF4-AB61-0C428FD1FEE1}"/>
    <cellStyle name="Standard 6 4 7 2 9" xfId="10595" xr:uid="{00000000-0005-0000-0000-00006A290000}"/>
    <cellStyle name="Standard 6 4 7 2 9 2" xfId="22556" xr:uid="{D9B54DB5-277C-4D91-A6D4-36ABB21E9340}"/>
    <cellStyle name="Standard 6 4 7 3" xfId="10596" xr:uid="{00000000-0005-0000-0000-00006B290000}"/>
    <cellStyle name="Standard 6 4 7 3 2" xfId="10597" xr:uid="{00000000-0005-0000-0000-00006C290000}"/>
    <cellStyle name="Standard 6 4 7 3 2 2" xfId="10598" xr:uid="{00000000-0005-0000-0000-00006D290000}"/>
    <cellStyle name="Standard 6 4 7 3 2 2 2" xfId="22559" xr:uid="{F43FF818-A21E-46FF-B9B7-6265C6F3D757}"/>
    <cellStyle name="Standard 6 4 7 3 2 3" xfId="22558" xr:uid="{B5C0233D-77FD-4F68-A047-FC7A7B5FAB02}"/>
    <cellStyle name="Standard 6 4 7 3 3" xfId="10599" xr:uid="{00000000-0005-0000-0000-00006E290000}"/>
    <cellStyle name="Standard 6 4 7 3 3 2" xfId="22560" xr:uid="{C95807AF-6527-4C83-8228-85A2621EE580}"/>
    <cellStyle name="Standard 6 4 7 3 4" xfId="22557" xr:uid="{B9846782-5288-4A1C-B7C0-112781B61E32}"/>
    <cellStyle name="Standard 6 4 7 4" xfId="10600" xr:uid="{00000000-0005-0000-0000-00006F290000}"/>
    <cellStyle name="Standard 6 4 7 4 2" xfId="10601" xr:uid="{00000000-0005-0000-0000-000070290000}"/>
    <cellStyle name="Standard 6 4 7 4 2 2" xfId="10602" xr:uid="{00000000-0005-0000-0000-000071290000}"/>
    <cellStyle name="Standard 6 4 7 4 2 2 2" xfId="22563" xr:uid="{9EA47EAA-51EC-4620-84AB-22E4D6540F46}"/>
    <cellStyle name="Standard 6 4 7 4 2 3" xfId="22562" xr:uid="{6BB1C1B8-BF73-4351-A9FB-6E3D7F3157A5}"/>
    <cellStyle name="Standard 6 4 7 4 3" xfId="10603" xr:uid="{00000000-0005-0000-0000-000072290000}"/>
    <cellStyle name="Standard 6 4 7 4 3 2" xfId="22564" xr:uid="{1A22EA96-A3E5-4BC6-B93B-F3AD1EDFAFCF}"/>
    <cellStyle name="Standard 6 4 7 4 4" xfId="22561" xr:uid="{838E9D85-B21F-42CC-BBE5-4002DF8E187C}"/>
    <cellStyle name="Standard 6 4 7 5" xfId="10604" xr:uid="{00000000-0005-0000-0000-000073290000}"/>
    <cellStyle name="Standard 6 4 7 5 2" xfId="10605" xr:uid="{00000000-0005-0000-0000-000074290000}"/>
    <cellStyle name="Standard 6 4 7 5 2 2" xfId="10606" xr:uid="{00000000-0005-0000-0000-000075290000}"/>
    <cellStyle name="Standard 6 4 7 5 2 2 2" xfId="22567" xr:uid="{1E488630-690F-4DDA-AC21-D084D714945C}"/>
    <cellStyle name="Standard 6 4 7 5 2 3" xfId="22566" xr:uid="{2196CF9C-0BE3-4F01-AEAA-C746B1E3C134}"/>
    <cellStyle name="Standard 6 4 7 5 3" xfId="10607" xr:uid="{00000000-0005-0000-0000-000076290000}"/>
    <cellStyle name="Standard 6 4 7 5 3 2" xfId="22568" xr:uid="{679FD854-AC98-4437-94B0-F3973F8BCCF7}"/>
    <cellStyle name="Standard 6 4 7 5 4" xfId="22565" xr:uid="{72514205-7A6E-4FD4-97E8-1D785184B009}"/>
    <cellStyle name="Standard 6 4 7 6" xfId="10608" xr:uid="{00000000-0005-0000-0000-000077290000}"/>
    <cellStyle name="Standard 6 4 7 6 2" xfId="10609" xr:uid="{00000000-0005-0000-0000-000078290000}"/>
    <cellStyle name="Standard 6 4 7 6 2 2" xfId="10610" xr:uid="{00000000-0005-0000-0000-000079290000}"/>
    <cellStyle name="Standard 6 4 7 6 2 2 2" xfId="22571" xr:uid="{E0E3DB96-6738-4E95-85BB-6423AF904AF5}"/>
    <cellStyle name="Standard 6 4 7 6 2 3" xfId="22570" xr:uid="{C47DFD62-E2E2-49E4-BBE3-864A282E61B3}"/>
    <cellStyle name="Standard 6 4 7 6 3" xfId="10611" xr:uid="{00000000-0005-0000-0000-00007A290000}"/>
    <cellStyle name="Standard 6 4 7 6 3 2" xfId="22572" xr:uid="{2FCB046C-88EF-431C-85D6-C65E1CCEB6AF}"/>
    <cellStyle name="Standard 6 4 7 6 4" xfId="22569" xr:uid="{725C3BD7-BC73-4382-B95A-B190B1C04B7D}"/>
    <cellStyle name="Standard 6 4 7 7" xfId="10612" xr:uid="{00000000-0005-0000-0000-00007B290000}"/>
    <cellStyle name="Standard 6 4 7 7 2" xfId="10613" xr:uid="{00000000-0005-0000-0000-00007C290000}"/>
    <cellStyle name="Standard 6 4 7 7 2 2" xfId="10614" xr:uid="{00000000-0005-0000-0000-00007D290000}"/>
    <cellStyle name="Standard 6 4 7 7 2 2 2" xfId="22575" xr:uid="{ABFE959B-1CCB-4547-B64F-823EF1396211}"/>
    <cellStyle name="Standard 6 4 7 7 2 3" xfId="22574" xr:uid="{BE7ECEB9-2C36-4097-980C-6D39797D08F0}"/>
    <cellStyle name="Standard 6 4 7 7 3" xfId="10615" xr:uid="{00000000-0005-0000-0000-00007E290000}"/>
    <cellStyle name="Standard 6 4 7 7 3 2" xfId="22576" xr:uid="{B3F095AB-5E57-4012-BCC6-759D29C41DE1}"/>
    <cellStyle name="Standard 6 4 7 7 4" xfId="22573" xr:uid="{20AE3BE9-EFC8-414C-BB8A-753B7CF0B400}"/>
    <cellStyle name="Standard 6 4 7 8" xfId="10616" xr:uid="{00000000-0005-0000-0000-00007F290000}"/>
    <cellStyle name="Standard 6 4 7 8 2" xfId="10617" xr:uid="{00000000-0005-0000-0000-000080290000}"/>
    <cellStyle name="Standard 6 4 7 8 2 2" xfId="10618" xr:uid="{00000000-0005-0000-0000-000081290000}"/>
    <cellStyle name="Standard 6 4 7 8 2 2 2" xfId="22579" xr:uid="{26F65C5A-4F29-4E4F-96BB-CE1D3A16D13C}"/>
    <cellStyle name="Standard 6 4 7 8 2 3" xfId="22578" xr:uid="{F4069B7D-73E6-472C-8382-644FA30D2213}"/>
    <cellStyle name="Standard 6 4 7 8 3" xfId="10619" xr:uid="{00000000-0005-0000-0000-000082290000}"/>
    <cellStyle name="Standard 6 4 7 8 3 2" xfId="22580" xr:uid="{EF9118BA-F840-4A34-9596-982F28BDDF9F}"/>
    <cellStyle name="Standard 6 4 7 8 4" xfId="22577" xr:uid="{6B1D7942-C108-4627-8259-83CC851ADF9C}"/>
    <cellStyle name="Standard 6 4 7 9" xfId="10620" xr:uid="{00000000-0005-0000-0000-000083290000}"/>
    <cellStyle name="Standard 6 4 7 9 2" xfId="10621" xr:uid="{00000000-0005-0000-0000-000084290000}"/>
    <cellStyle name="Standard 6 4 7 9 2 2" xfId="22582" xr:uid="{C6559167-4390-4F64-B2AF-4C10D151C4C2}"/>
    <cellStyle name="Standard 6 4 7 9 3" xfId="22581" xr:uid="{911C5DA9-E3E4-4831-8968-CFD54812C7C7}"/>
    <cellStyle name="Standard 6 4 8" xfId="10622" xr:uid="{00000000-0005-0000-0000-000085290000}"/>
    <cellStyle name="Standard 6 4 8 10" xfId="10623" xr:uid="{00000000-0005-0000-0000-000086290000}"/>
    <cellStyle name="Standard 6 4 8 10 2" xfId="22584" xr:uid="{611C2091-1472-4067-805D-AD84586E4BB8}"/>
    <cellStyle name="Standard 6 4 8 11" xfId="22583" xr:uid="{2A45F389-90E3-4085-BE30-97E358F598BB}"/>
    <cellStyle name="Standard 6 4 8 2" xfId="10624" xr:uid="{00000000-0005-0000-0000-000087290000}"/>
    <cellStyle name="Standard 6 4 8 2 10" xfId="22585" xr:uid="{51B90070-45F3-4748-A1E7-540F60B330B7}"/>
    <cellStyle name="Standard 6 4 8 2 2" xfId="10625" xr:uid="{00000000-0005-0000-0000-000088290000}"/>
    <cellStyle name="Standard 6 4 8 2 2 2" xfId="10626" xr:uid="{00000000-0005-0000-0000-000089290000}"/>
    <cellStyle name="Standard 6 4 8 2 2 2 2" xfId="10627" xr:uid="{00000000-0005-0000-0000-00008A290000}"/>
    <cellStyle name="Standard 6 4 8 2 2 2 2 2" xfId="22588" xr:uid="{A08E80BB-258B-456F-9E3A-C5EF3BFBBC78}"/>
    <cellStyle name="Standard 6 4 8 2 2 2 3" xfId="22587" xr:uid="{CF95FE69-291E-461C-A932-D90AECA40C85}"/>
    <cellStyle name="Standard 6 4 8 2 2 3" xfId="10628" xr:uid="{00000000-0005-0000-0000-00008B290000}"/>
    <cellStyle name="Standard 6 4 8 2 2 3 2" xfId="22589" xr:uid="{2606C223-EE13-4014-B8A8-2C47F67A08CA}"/>
    <cellStyle name="Standard 6 4 8 2 2 4" xfId="22586" xr:uid="{061B7AFF-615A-4422-89E9-F44C9BCCDCE9}"/>
    <cellStyle name="Standard 6 4 8 2 3" xfId="10629" xr:uid="{00000000-0005-0000-0000-00008C290000}"/>
    <cellStyle name="Standard 6 4 8 2 3 2" xfId="10630" xr:uid="{00000000-0005-0000-0000-00008D290000}"/>
    <cellStyle name="Standard 6 4 8 2 3 2 2" xfId="10631" xr:uid="{00000000-0005-0000-0000-00008E290000}"/>
    <cellStyle name="Standard 6 4 8 2 3 2 2 2" xfId="22592" xr:uid="{A0557DCE-77B6-4D15-A889-D89270262025}"/>
    <cellStyle name="Standard 6 4 8 2 3 2 3" xfId="22591" xr:uid="{08DD4FC8-D877-4F2C-BE17-2B979A8B213D}"/>
    <cellStyle name="Standard 6 4 8 2 3 3" xfId="10632" xr:uid="{00000000-0005-0000-0000-00008F290000}"/>
    <cellStyle name="Standard 6 4 8 2 3 3 2" xfId="22593" xr:uid="{83643C49-72D9-454D-B1C5-3FBF2C7D2229}"/>
    <cellStyle name="Standard 6 4 8 2 3 4" xfId="22590" xr:uid="{53A18602-C2EC-4BD3-8F3D-BFFD4A0CE38C}"/>
    <cellStyle name="Standard 6 4 8 2 4" xfId="10633" xr:uid="{00000000-0005-0000-0000-000090290000}"/>
    <cellStyle name="Standard 6 4 8 2 4 2" xfId="10634" xr:uid="{00000000-0005-0000-0000-000091290000}"/>
    <cellStyle name="Standard 6 4 8 2 4 2 2" xfId="10635" xr:uid="{00000000-0005-0000-0000-000092290000}"/>
    <cellStyle name="Standard 6 4 8 2 4 2 2 2" xfId="22596" xr:uid="{A56D3B2D-51DD-49B7-A7C1-A4B62DAD5AFE}"/>
    <cellStyle name="Standard 6 4 8 2 4 2 3" xfId="22595" xr:uid="{A471EF6C-DE7B-43A2-9D16-3754CC02FFEC}"/>
    <cellStyle name="Standard 6 4 8 2 4 3" xfId="10636" xr:uid="{00000000-0005-0000-0000-000093290000}"/>
    <cellStyle name="Standard 6 4 8 2 4 3 2" xfId="22597" xr:uid="{04567319-EA5C-4D63-B25C-EC82D795A69D}"/>
    <cellStyle name="Standard 6 4 8 2 4 4" xfId="22594" xr:uid="{A25DF1FF-CF71-4F0C-B5B6-F5629BF38E57}"/>
    <cellStyle name="Standard 6 4 8 2 5" xfId="10637" xr:uid="{00000000-0005-0000-0000-000094290000}"/>
    <cellStyle name="Standard 6 4 8 2 5 2" xfId="10638" xr:uid="{00000000-0005-0000-0000-000095290000}"/>
    <cellStyle name="Standard 6 4 8 2 5 2 2" xfId="10639" xr:uid="{00000000-0005-0000-0000-000096290000}"/>
    <cellStyle name="Standard 6 4 8 2 5 2 2 2" xfId="22600" xr:uid="{1650E0BB-4FD6-48B5-AA7B-D9FFF7E616B8}"/>
    <cellStyle name="Standard 6 4 8 2 5 2 3" xfId="22599" xr:uid="{69B655EC-AFB9-4EAB-94CF-F23B43C9C1CC}"/>
    <cellStyle name="Standard 6 4 8 2 5 3" xfId="10640" xr:uid="{00000000-0005-0000-0000-000097290000}"/>
    <cellStyle name="Standard 6 4 8 2 5 3 2" xfId="22601" xr:uid="{F183DAA6-8CF6-4362-BA71-0100234FC0B7}"/>
    <cellStyle name="Standard 6 4 8 2 5 4" xfId="22598" xr:uid="{B515E3A4-1CAC-47A2-9F98-B83A9FEF087D}"/>
    <cellStyle name="Standard 6 4 8 2 6" xfId="10641" xr:uid="{00000000-0005-0000-0000-000098290000}"/>
    <cellStyle name="Standard 6 4 8 2 6 2" xfId="10642" xr:uid="{00000000-0005-0000-0000-000099290000}"/>
    <cellStyle name="Standard 6 4 8 2 6 2 2" xfId="10643" xr:uid="{00000000-0005-0000-0000-00009A290000}"/>
    <cellStyle name="Standard 6 4 8 2 6 2 2 2" xfId="22604" xr:uid="{6E6B234B-E65E-41A8-A575-50639F0C733F}"/>
    <cellStyle name="Standard 6 4 8 2 6 2 3" xfId="22603" xr:uid="{7CAA3F9B-3BBB-44A6-B967-2FDFF04FA32A}"/>
    <cellStyle name="Standard 6 4 8 2 6 3" xfId="10644" xr:uid="{00000000-0005-0000-0000-00009B290000}"/>
    <cellStyle name="Standard 6 4 8 2 6 3 2" xfId="22605" xr:uid="{191E2DAD-3EA5-40BE-AFF5-26066DAF9161}"/>
    <cellStyle name="Standard 6 4 8 2 6 4" xfId="22602" xr:uid="{440E2912-A7EB-423A-B6B7-CCDC8FA307B8}"/>
    <cellStyle name="Standard 6 4 8 2 7" xfId="10645" xr:uid="{00000000-0005-0000-0000-00009C290000}"/>
    <cellStyle name="Standard 6 4 8 2 7 2" xfId="10646" xr:uid="{00000000-0005-0000-0000-00009D290000}"/>
    <cellStyle name="Standard 6 4 8 2 7 2 2" xfId="10647" xr:uid="{00000000-0005-0000-0000-00009E290000}"/>
    <cellStyle name="Standard 6 4 8 2 7 2 2 2" xfId="22608" xr:uid="{42AA6AC4-AB1C-4D4E-B7B2-45E78E507634}"/>
    <cellStyle name="Standard 6 4 8 2 7 2 3" xfId="22607" xr:uid="{76811A11-FC6A-4174-96C0-4AB27D0F60C5}"/>
    <cellStyle name="Standard 6 4 8 2 7 3" xfId="10648" xr:uid="{00000000-0005-0000-0000-00009F290000}"/>
    <cellStyle name="Standard 6 4 8 2 7 3 2" xfId="22609" xr:uid="{F55AA9F2-F94C-4A20-B758-119E4137B54F}"/>
    <cellStyle name="Standard 6 4 8 2 7 4" xfId="22606" xr:uid="{A62F61EF-51D9-4E7B-9AB9-B36CD6B9B074}"/>
    <cellStyle name="Standard 6 4 8 2 8" xfId="10649" xr:uid="{00000000-0005-0000-0000-0000A0290000}"/>
    <cellStyle name="Standard 6 4 8 2 8 2" xfId="10650" xr:uid="{00000000-0005-0000-0000-0000A1290000}"/>
    <cellStyle name="Standard 6 4 8 2 8 2 2" xfId="22611" xr:uid="{53E11775-9D2E-4F24-83CE-BF5D4355680F}"/>
    <cellStyle name="Standard 6 4 8 2 8 3" xfId="22610" xr:uid="{E8B8E6C7-0195-46C1-B4C2-44E242C3C7B2}"/>
    <cellStyle name="Standard 6 4 8 2 9" xfId="10651" xr:uid="{00000000-0005-0000-0000-0000A2290000}"/>
    <cellStyle name="Standard 6 4 8 2 9 2" xfId="22612" xr:uid="{7FB9EB15-848F-48A6-8818-09E28AD2CB0B}"/>
    <cellStyle name="Standard 6 4 8 3" xfId="10652" xr:uid="{00000000-0005-0000-0000-0000A3290000}"/>
    <cellStyle name="Standard 6 4 8 3 2" xfId="10653" xr:uid="{00000000-0005-0000-0000-0000A4290000}"/>
    <cellStyle name="Standard 6 4 8 3 2 2" xfId="10654" xr:uid="{00000000-0005-0000-0000-0000A5290000}"/>
    <cellStyle name="Standard 6 4 8 3 2 2 2" xfId="22615" xr:uid="{1ED0C7F1-DA7D-42DA-9E5E-9B14B8FE1068}"/>
    <cellStyle name="Standard 6 4 8 3 2 3" xfId="22614" xr:uid="{ABC258CB-60F4-4CEB-BDCC-679B3DCEAFBF}"/>
    <cellStyle name="Standard 6 4 8 3 3" xfId="10655" xr:uid="{00000000-0005-0000-0000-0000A6290000}"/>
    <cellStyle name="Standard 6 4 8 3 3 2" xfId="22616" xr:uid="{52EC1211-385B-4D76-9AB4-EEE1189A14AD}"/>
    <cellStyle name="Standard 6 4 8 3 4" xfId="22613" xr:uid="{362B530B-1001-40B2-8BB8-EF4040EF5E6A}"/>
    <cellStyle name="Standard 6 4 8 4" xfId="10656" xr:uid="{00000000-0005-0000-0000-0000A7290000}"/>
    <cellStyle name="Standard 6 4 8 4 2" xfId="10657" xr:uid="{00000000-0005-0000-0000-0000A8290000}"/>
    <cellStyle name="Standard 6 4 8 4 2 2" xfId="10658" xr:uid="{00000000-0005-0000-0000-0000A9290000}"/>
    <cellStyle name="Standard 6 4 8 4 2 2 2" xfId="22619" xr:uid="{2CEF253D-358F-4D28-B525-C8707286C9EE}"/>
    <cellStyle name="Standard 6 4 8 4 2 3" xfId="22618" xr:uid="{10FABC17-91C3-4E10-AB7F-46394070BB85}"/>
    <cellStyle name="Standard 6 4 8 4 3" xfId="10659" xr:uid="{00000000-0005-0000-0000-0000AA290000}"/>
    <cellStyle name="Standard 6 4 8 4 3 2" xfId="22620" xr:uid="{99758745-777A-423A-9357-7D1C730F9B16}"/>
    <cellStyle name="Standard 6 4 8 4 4" xfId="22617" xr:uid="{663EADC7-502A-492F-8EB0-0E230AD7ED7D}"/>
    <cellStyle name="Standard 6 4 8 5" xfId="10660" xr:uid="{00000000-0005-0000-0000-0000AB290000}"/>
    <cellStyle name="Standard 6 4 8 5 2" xfId="10661" xr:uid="{00000000-0005-0000-0000-0000AC290000}"/>
    <cellStyle name="Standard 6 4 8 5 2 2" xfId="10662" xr:uid="{00000000-0005-0000-0000-0000AD290000}"/>
    <cellStyle name="Standard 6 4 8 5 2 2 2" xfId="22623" xr:uid="{07AEFB8A-B65C-4953-866B-E1D257B6428C}"/>
    <cellStyle name="Standard 6 4 8 5 2 3" xfId="22622" xr:uid="{5000FB0C-5932-4A7C-ABD4-2C3CC52F5DFF}"/>
    <cellStyle name="Standard 6 4 8 5 3" xfId="10663" xr:uid="{00000000-0005-0000-0000-0000AE290000}"/>
    <cellStyle name="Standard 6 4 8 5 3 2" xfId="22624" xr:uid="{493E7D53-2E2D-4B64-B633-9E8962CA3271}"/>
    <cellStyle name="Standard 6 4 8 5 4" xfId="22621" xr:uid="{C00AD45D-7EED-4058-AFC5-54D2A3867A30}"/>
    <cellStyle name="Standard 6 4 8 6" xfId="10664" xr:uid="{00000000-0005-0000-0000-0000AF290000}"/>
    <cellStyle name="Standard 6 4 8 6 2" xfId="10665" xr:uid="{00000000-0005-0000-0000-0000B0290000}"/>
    <cellStyle name="Standard 6 4 8 6 2 2" xfId="10666" xr:uid="{00000000-0005-0000-0000-0000B1290000}"/>
    <cellStyle name="Standard 6 4 8 6 2 2 2" xfId="22627" xr:uid="{AA1A1C3C-43DC-4B46-8CF7-1B150AD3541F}"/>
    <cellStyle name="Standard 6 4 8 6 2 3" xfId="22626" xr:uid="{6E76D1C5-2C78-4FE5-8C0A-84629BCDF3C4}"/>
    <cellStyle name="Standard 6 4 8 6 3" xfId="10667" xr:uid="{00000000-0005-0000-0000-0000B2290000}"/>
    <cellStyle name="Standard 6 4 8 6 3 2" xfId="22628" xr:uid="{EE554002-1CFC-4413-860B-6F24BF7954A8}"/>
    <cellStyle name="Standard 6 4 8 6 4" xfId="22625" xr:uid="{5A85A39E-A215-45CA-8123-1088F214D26F}"/>
    <cellStyle name="Standard 6 4 8 7" xfId="10668" xr:uid="{00000000-0005-0000-0000-0000B3290000}"/>
    <cellStyle name="Standard 6 4 8 7 2" xfId="10669" xr:uid="{00000000-0005-0000-0000-0000B4290000}"/>
    <cellStyle name="Standard 6 4 8 7 2 2" xfId="10670" xr:uid="{00000000-0005-0000-0000-0000B5290000}"/>
    <cellStyle name="Standard 6 4 8 7 2 2 2" xfId="22631" xr:uid="{A9A6A6DC-DB4B-43A3-841F-9F4379DE14DE}"/>
    <cellStyle name="Standard 6 4 8 7 2 3" xfId="22630" xr:uid="{2B6C8984-33D7-421B-B029-F25A540E513E}"/>
    <cellStyle name="Standard 6 4 8 7 3" xfId="10671" xr:uid="{00000000-0005-0000-0000-0000B6290000}"/>
    <cellStyle name="Standard 6 4 8 7 3 2" xfId="22632" xr:uid="{8912D89D-E837-4A2C-9865-5F27BE7DC268}"/>
    <cellStyle name="Standard 6 4 8 7 4" xfId="22629" xr:uid="{62783F49-930E-49BE-9ADA-2AF14CDD4B10}"/>
    <cellStyle name="Standard 6 4 8 8" xfId="10672" xr:uid="{00000000-0005-0000-0000-0000B7290000}"/>
    <cellStyle name="Standard 6 4 8 8 2" xfId="10673" xr:uid="{00000000-0005-0000-0000-0000B8290000}"/>
    <cellStyle name="Standard 6 4 8 8 2 2" xfId="10674" xr:uid="{00000000-0005-0000-0000-0000B9290000}"/>
    <cellStyle name="Standard 6 4 8 8 2 2 2" xfId="22635" xr:uid="{6DBD591E-6284-4FD6-BA71-C5083CF5E2A5}"/>
    <cellStyle name="Standard 6 4 8 8 2 3" xfId="22634" xr:uid="{9680FF91-A20A-4B88-AB84-41D83A43F13A}"/>
    <cellStyle name="Standard 6 4 8 8 3" xfId="10675" xr:uid="{00000000-0005-0000-0000-0000BA290000}"/>
    <cellStyle name="Standard 6 4 8 8 3 2" xfId="22636" xr:uid="{2E81BB8A-112B-4D2D-A2F9-8BF47BF9A978}"/>
    <cellStyle name="Standard 6 4 8 8 4" xfId="22633" xr:uid="{EC0E0CA6-2C80-4501-B4A5-0EF87255398B}"/>
    <cellStyle name="Standard 6 4 8 9" xfId="10676" xr:uid="{00000000-0005-0000-0000-0000BB290000}"/>
    <cellStyle name="Standard 6 4 8 9 2" xfId="10677" xr:uid="{00000000-0005-0000-0000-0000BC290000}"/>
    <cellStyle name="Standard 6 4 8 9 2 2" xfId="22638" xr:uid="{F33CC1F6-851A-4DB2-AC23-6CDCAB153299}"/>
    <cellStyle name="Standard 6 4 8 9 3" xfId="22637" xr:uid="{94008A64-9944-486F-810B-220246533B2B}"/>
    <cellStyle name="Standard 6 4 9" xfId="10678" xr:uid="{00000000-0005-0000-0000-0000BD290000}"/>
    <cellStyle name="Standard 6 4 9 10" xfId="10679" xr:uid="{00000000-0005-0000-0000-0000BE290000}"/>
    <cellStyle name="Standard 6 4 9 10 2" xfId="22640" xr:uid="{81FF1A38-F1FF-48F9-976F-8E6579A6869A}"/>
    <cellStyle name="Standard 6 4 9 11" xfId="22639" xr:uid="{2067CA8E-D1E0-48EF-943B-51B3D879D934}"/>
    <cellStyle name="Standard 6 4 9 2" xfId="10680" xr:uid="{00000000-0005-0000-0000-0000BF290000}"/>
    <cellStyle name="Standard 6 4 9 2 10" xfId="22641" xr:uid="{E86BCFC4-3047-4F70-9089-7B280AAFD1D3}"/>
    <cellStyle name="Standard 6 4 9 2 2" xfId="10681" xr:uid="{00000000-0005-0000-0000-0000C0290000}"/>
    <cellStyle name="Standard 6 4 9 2 2 2" xfId="10682" xr:uid="{00000000-0005-0000-0000-0000C1290000}"/>
    <cellStyle name="Standard 6 4 9 2 2 2 2" xfId="10683" xr:uid="{00000000-0005-0000-0000-0000C2290000}"/>
    <cellStyle name="Standard 6 4 9 2 2 2 2 2" xfId="22644" xr:uid="{1AF07DAF-3646-4E3D-9100-B98D9D79DFB2}"/>
    <cellStyle name="Standard 6 4 9 2 2 2 3" xfId="22643" xr:uid="{36181FE6-507B-4442-8999-932E9F753BEA}"/>
    <cellStyle name="Standard 6 4 9 2 2 3" xfId="10684" xr:uid="{00000000-0005-0000-0000-0000C3290000}"/>
    <cellStyle name="Standard 6 4 9 2 2 3 2" xfId="22645" xr:uid="{0DE4481E-F9AE-4C9D-8B38-D60D26188F51}"/>
    <cellStyle name="Standard 6 4 9 2 2 4" xfId="22642" xr:uid="{422225D1-A84E-40EE-88EF-C838B5582A45}"/>
    <cellStyle name="Standard 6 4 9 2 3" xfId="10685" xr:uid="{00000000-0005-0000-0000-0000C4290000}"/>
    <cellStyle name="Standard 6 4 9 2 3 2" xfId="10686" xr:uid="{00000000-0005-0000-0000-0000C5290000}"/>
    <cellStyle name="Standard 6 4 9 2 3 2 2" xfId="10687" xr:uid="{00000000-0005-0000-0000-0000C6290000}"/>
    <cellStyle name="Standard 6 4 9 2 3 2 2 2" xfId="22648" xr:uid="{78F056D8-6C87-4ED2-BFF9-2EA1CACB24AD}"/>
    <cellStyle name="Standard 6 4 9 2 3 2 3" xfId="22647" xr:uid="{CAC3AC1F-DD59-4FA5-A061-861601961DE2}"/>
    <cellStyle name="Standard 6 4 9 2 3 3" xfId="10688" xr:uid="{00000000-0005-0000-0000-0000C7290000}"/>
    <cellStyle name="Standard 6 4 9 2 3 3 2" xfId="22649" xr:uid="{C21C6FDC-2491-44DE-A9D0-E94998EB44FB}"/>
    <cellStyle name="Standard 6 4 9 2 3 4" xfId="22646" xr:uid="{CD80A088-56C3-4F14-A367-E32B5938A655}"/>
    <cellStyle name="Standard 6 4 9 2 4" xfId="10689" xr:uid="{00000000-0005-0000-0000-0000C8290000}"/>
    <cellStyle name="Standard 6 4 9 2 4 2" xfId="10690" xr:uid="{00000000-0005-0000-0000-0000C9290000}"/>
    <cellStyle name="Standard 6 4 9 2 4 2 2" xfId="10691" xr:uid="{00000000-0005-0000-0000-0000CA290000}"/>
    <cellStyle name="Standard 6 4 9 2 4 2 2 2" xfId="22652" xr:uid="{A64FA621-4BCF-40B8-93DF-8D22C56D76A3}"/>
    <cellStyle name="Standard 6 4 9 2 4 2 3" xfId="22651" xr:uid="{3F7FB535-5798-4662-88B5-56AB53BE8470}"/>
    <cellStyle name="Standard 6 4 9 2 4 3" xfId="10692" xr:uid="{00000000-0005-0000-0000-0000CB290000}"/>
    <cellStyle name="Standard 6 4 9 2 4 3 2" xfId="22653" xr:uid="{C27F5CC1-4373-49F1-9DC4-49DFECE71026}"/>
    <cellStyle name="Standard 6 4 9 2 4 4" xfId="22650" xr:uid="{B556FEF9-691F-4D34-9221-F4D465421C2A}"/>
    <cellStyle name="Standard 6 4 9 2 5" xfId="10693" xr:uid="{00000000-0005-0000-0000-0000CC290000}"/>
    <cellStyle name="Standard 6 4 9 2 5 2" xfId="10694" xr:uid="{00000000-0005-0000-0000-0000CD290000}"/>
    <cellStyle name="Standard 6 4 9 2 5 2 2" xfId="10695" xr:uid="{00000000-0005-0000-0000-0000CE290000}"/>
    <cellStyle name="Standard 6 4 9 2 5 2 2 2" xfId="22656" xr:uid="{2E941043-7875-4227-B023-1FD42B4A2106}"/>
    <cellStyle name="Standard 6 4 9 2 5 2 3" xfId="22655" xr:uid="{F1761A20-DDE9-4F87-AA57-694E35581EF3}"/>
    <cellStyle name="Standard 6 4 9 2 5 3" xfId="10696" xr:uid="{00000000-0005-0000-0000-0000CF290000}"/>
    <cellStyle name="Standard 6 4 9 2 5 3 2" xfId="22657" xr:uid="{7F9F81F1-9F68-45C2-9281-8624922EF805}"/>
    <cellStyle name="Standard 6 4 9 2 5 4" xfId="22654" xr:uid="{6C4FB39D-684C-4B7D-BDBF-35EABB905A99}"/>
    <cellStyle name="Standard 6 4 9 2 6" xfId="10697" xr:uid="{00000000-0005-0000-0000-0000D0290000}"/>
    <cellStyle name="Standard 6 4 9 2 6 2" xfId="10698" xr:uid="{00000000-0005-0000-0000-0000D1290000}"/>
    <cellStyle name="Standard 6 4 9 2 6 2 2" xfId="10699" xr:uid="{00000000-0005-0000-0000-0000D2290000}"/>
    <cellStyle name="Standard 6 4 9 2 6 2 2 2" xfId="22660" xr:uid="{BFF2BC7E-27A0-4AE5-AA36-5CADEA513486}"/>
    <cellStyle name="Standard 6 4 9 2 6 2 3" xfId="22659" xr:uid="{1EC30D12-7695-463F-A3AE-0C74B47E1C7A}"/>
    <cellStyle name="Standard 6 4 9 2 6 3" xfId="10700" xr:uid="{00000000-0005-0000-0000-0000D3290000}"/>
    <cellStyle name="Standard 6 4 9 2 6 3 2" xfId="22661" xr:uid="{3EC4797A-0309-418D-9E25-56FCDCC30226}"/>
    <cellStyle name="Standard 6 4 9 2 6 4" xfId="22658" xr:uid="{4FE8FB35-B4BC-46BC-890B-E018657E8AAB}"/>
    <cellStyle name="Standard 6 4 9 2 7" xfId="10701" xr:uid="{00000000-0005-0000-0000-0000D4290000}"/>
    <cellStyle name="Standard 6 4 9 2 7 2" xfId="10702" xr:uid="{00000000-0005-0000-0000-0000D5290000}"/>
    <cellStyle name="Standard 6 4 9 2 7 2 2" xfId="10703" xr:uid="{00000000-0005-0000-0000-0000D6290000}"/>
    <cellStyle name="Standard 6 4 9 2 7 2 2 2" xfId="22664" xr:uid="{9E180419-2DB6-4692-8DE5-161C52F8D25F}"/>
    <cellStyle name="Standard 6 4 9 2 7 2 3" xfId="22663" xr:uid="{3834D000-6AE0-4732-AD56-C10640CD6360}"/>
    <cellStyle name="Standard 6 4 9 2 7 3" xfId="10704" xr:uid="{00000000-0005-0000-0000-0000D7290000}"/>
    <cellStyle name="Standard 6 4 9 2 7 3 2" xfId="22665" xr:uid="{B0D65EEC-CA63-4876-9094-1271E5809FF8}"/>
    <cellStyle name="Standard 6 4 9 2 7 4" xfId="22662" xr:uid="{76897229-7F21-4E9B-B75E-A6889A902A63}"/>
    <cellStyle name="Standard 6 4 9 2 8" xfId="10705" xr:uid="{00000000-0005-0000-0000-0000D8290000}"/>
    <cellStyle name="Standard 6 4 9 2 8 2" xfId="10706" xr:uid="{00000000-0005-0000-0000-0000D9290000}"/>
    <cellStyle name="Standard 6 4 9 2 8 2 2" xfId="22667" xr:uid="{D151A321-D882-4F55-84F0-4DFB1DB2F039}"/>
    <cellStyle name="Standard 6 4 9 2 8 3" xfId="22666" xr:uid="{E8111F35-D30B-450A-BEE8-A9BB87F7D9B3}"/>
    <cellStyle name="Standard 6 4 9 2 9" xfId="10707" xr:uid="{00000000-0005-0000-0000-0000DA290000}"/>
    <cellStyle name="Standard 6 4 9 2 9 2" xfId="22668" xr:uid="{E5656568-9721-4CE1-8053-B70658D7DD7D}"/>
    <cellStyle name="Standard 6 4 9 3" xfId="10708" xr:uid="{00000000-0005-0000-0000-0000DB290000}"/>
    <cellStyle name="Standard 6 4 9 3 2" xfId="10709" xr:uid="{00000000-0005-0000-0000-0000DC290000}"/>
    <cellStyle name="Standard 6 4 9 3 2 2" xfId="10710" xr:uid="{00000000-0005-0000-0000-0000DD290000}"/>
    <cellStyle name="Standard 6 4 9 3 2 2 2" xfId="22671" xr:uid="{9E25C9FA-E931-45DB-BF5E-4FD4BCFEACD9}"/>
    <cellStyle name="Standard 6 4 9 3 2 3" xfId="22670" xr:uid="{64648454-8992-4AD4-A464-3CF4993A66DB}"/>
    <cellStyle name="Standard 6 4 9 3 3" xfId="10711" xr:uid="{00000000-0005-0000-0000-0000DE290000}"/>
    <cellStyle name="Standard 6 4 9 3 3 2" xfId="22672" xr:uid="{ABE3D4DE-D65B-4C3C-94E6-624044210386}"/>
    <cellStyle name="Standard 6 4 9 3 4" xfId="22669" xr:uid="{87083CEB-0C4B-4CA9-85A0-DC8197A94651}"/>
    <cellStyle name="Standard 6 4 9 4" xfId="10712" xr:uid="{00000000-0005-0000-0000-0000DF290000}"/>
    <cellStyle name="Standard 6 4 9 4 2" xfId="10713" xr:uid="{00000000-0005-0000-0000-0000E0290000}"/>
    <cellStyle name="Standard 6 4 9 4 2 2" xfId="10714" xr:uid="{00000000-0005-0000-0000-0000E1290000}"/>
    <cellStyle name="Standard 6 4 9 4 2 2 2" xfId="22675" xr:uid="{E18DCB2E-40BF-44B4-A5CC-BC89170B2E45}"/>
    <cellStyle name="Standard 6 4 9 4 2 3" xfId="22674" xr:uid="{438BAB05-FA0C-4D32-99EA-116338C01933}"/>
    <cellStyle name="Standard 6 4 9 4 3" xfId="10715" xr:uid="{00000000-0005-0000-0000-0000E2290000}"/>
    <cellStyle name="Standard 6 4 9 4 3 2" xfId="22676" xr:uid="{2C5B77A8-F69D-421E-8B29-51D2D2158328}"/>
    <cellStyle name="Standard 6 4 9 4 4" xfId="22673" xr:uid="{DF7606CB-2DC4-4DF7-BE23-7C57A2FEAEB9}"/>
    <cellStyle name="Standard 6 4 9 5" xfId="10716" xr:uid="{00000000-0005-0000-0000-0000E3290000}"/>
    <cellStyle name="Standard 6 4 9 5 2" xfId="10717" xr:uid="{00000000-0005-0000-0000-0000E4290000}"/>
    <cellStyle name="Standard 6 4 9 5 2 2" xfId="10718" xr:uid="{00000000-0005-0000-0000-0000E5290000}"/>
    <cellStyle name="Standard 6 4 9 5 2 2 2" xfId="22679" xr:uid="{BA5A3232-DDEE-4953-893B-47FDA6425370}"/>
    <cellStyle name="Standard 6 4 9 5 2 3" xfId="22678" xr:uid="{C88EB1C1-5CC4-47B9-86B3-B124C54CFFA4}"/>
    <cellStyle name="Standard 6 4 9 5 3" xfId="10719" xr:uid="{00000000-0005-0000-0000-0000E6290000}"/>
    <cellStyle name="Standard 6 4 9 5 3 2" xfId="22680" xr:uid="{7F3FD0FE-648C-4F52-B900-080E626BA241}"/>
    <cellStyle name="Standard 6 4 9 5 4" xfId="22677" xr:uid="{CABEB4A9-0566-413F-91F8-2D7387D9D0AE}"/>
    <cellStyle name="Standard 6 4 9 6" xfId="10720" xr:uid="{00000000-0005-0000-0000-0000E7290000}"/>
    <cellStyle name="Standard 6 4 9 6 2" xfId="10721" xr:uid="{00000000-0005-0000-0000-0000E8290000}"/>
    <cellStyle name="Standard 6 4 9 6 2 2" xfId="10722" xr:uid="{00000000-0005-0000-0000-0000E9290000}"/>
    <cellStyle name="Standard 6 4 9 6 2 2 2" xfId="22683" xr:uid="{0AB32818-684B-4CFF-98CE-9D9F3790A69A}"/>
    <cellStyle name="Standard 6 4 9 6 2 3" xfId="22682" xr:uid="{D34B1063-1176-4B67-9AAE-CF2842C5E50B}"/>
    <cellStyle name="Standard 6 4 9 6 3" xfId="10723" xr:uid="{00000000-0005-0000-0000-0000EA290000}"/>
    <cellStyle name="Standard 6 4 9 6 3 2" xfId="22684" xr:uid="{9CEA64A4-4786-4A2A-BD71-7279EDEEA794}"/>
    <cellStyle name="Standard 6 4 9 6 4" xfId="22681" xr:uid="{D4B3065C-0279-43C8-B2BC-133D18C07635}"/>
    <cellStyle name="Standard 6 4 9 7" xfId="10724" xr:uid="{00000000-0005-0000-0000-0000EB290000}"/>
    <cellStyle name="Standard 6 4 9 7 2" xfId="10725" xr:uid="{00000000-0005-0000-0000-0000EC290000}"/>
    <cellStyle name="Standard 6 4 9 7 2 2" xfId="10726" xr:uid="{00000000-0005-0000-0000-0000ED290000}"/>
    <cellStyle name="Standard 6 4 9 7 2 2 2" xfId="22687" xr:uid="{51BB47B4-3594-4D65-8F03-B99F858934D9}"/>
    <cellStyle name="Standard 6 4 9 7 2 3" xfId="22686" xr:uid="{255348BA-251C-4969-B30F-BD1B6C6B5AF5}"/>
    <cellStyle name="Standard 6 4 9 7 3" xfId="10727" xr:uid="{00000000-0005-0000-0000-0000EE290000}"/>
    <cellStyle name="Standard 6 4 9 7 3 2" xfId="22688" xr:uid="{98169F06-3090-45CD-A609-9EB89E9CDDD9}"/>
    <cellStyle name="Standard 6 4 9 7 4" xfId="22685" xr:uid="{D22DF7E0-0B16-4D6A-BD64-4E93160E165E}"/>
    <cellStyle name="Standard 6 4 9 8" xfId="10728" xr:uid="{00000000-0005-0000-0000-0000EF290000}"/>
    <cellStyle name="Standard 6 4 9 8 2" xfId="10729" xr:uid="{00000000-0005-0000-0000-0000F0290000}"/>
    <cellStyle name="Standard 6 4 9 8 2 2" xfId="10730" xr:uid="{00000000-0005-0000-0000-0000F1290000}"/>
    <cellStyle name="Standard 6 4 9 8 2 2 2" xfId="22691" xr:uid="{842E2832-014D-4D19-A059-767D7EE1A922}"/>
    <cellStyle name="Standard 6 4 9 8 2 3" xfId="22690" xr:uid="{9F6F6640-84F8-4203-8AA2-33F7795B7311}"/>
    <cellStyle name="Standard 6 4 9 8 3" xfId="10731" xr:uid="{00000000-0005-0000-0000-0000F2290000}"/>
    <cellStyle name="Standard 6 4 9 8 3 2" xfId="22692" xr:uid="{588EB37B-F7F0-4B50-90A9-27D28727EBD4}"/>
    <cellStyle name="Standard 6 4 9 8 4" xfId="22689" xr:uid="{7C1B5932-B7C3-4268-985E-5A2B8B111DD9}"/>
    <cellStyle name="Standard 6 4 9 9" xfId="10732" xr:uid="{00000000-0005-0000-0000-0000F3290000}"/>
    <cellStyle name="Standard 6 4 9 9 2" xfId="10733" xr:uid="{00000000-0005-0000-0000-0000F4290000}"/>
    <cellStyle name="Standard 6 4 9 9 2 2" xfId="22694" xr:uid="{C2B65380-1744-49CE-9207-1BAA6184BA39}"/>
    <cellStyle name="Standard 6 4 9 9 3" xfId="22693" xr:uid="{00CA8591-ABCD-4301-8CD6-73A270F3DF0D}"/>
    <cellStyle name="Standard 6 5" xfId="10734" xr:uid="{00000000-0005-0000-0000-0000F5290000}"/>
    <cellStyle name="Standard 6 5 10" xfId="10735" xr:uid="{00000000-0005-0000-0000-0000F6290000}"/>
    <cellStyle name="Standard 6 5 10 2" xfId="10736" xr:uid="{00000000-0005-0000-0000-0000F7290000}"/>
    <cellStyle name="Standard 6 5 10 2 2" xfId="10737" xr:uid="{00000000-0005-0000-0000-0000F8290000}"/>
    <cellStyle name="Standard 6 5 10 2 2 2" xfId="22698" xr:uid="{A818C1CD-8115-41A0-B138-88C9C908C79F}"/>
    <cellStyle name="Standard 6 5 10 2 3" xfId="22697" xr:uid="{F35EA8CA-BE6F-42F5-9A4B-41BA74EABDA5}"/>
    <cellStyle name="Standard 6 5 10 3" xfId="10738" xr:uid="{00000000-0005-0000-0000-0000F9290000}"/>
    <cellStyle name="Standard 6 5 10 3 2" xfId="22699" xr:uid="{BBF0DDD8-37E0-486A-9251-26DC1AF6846E}"/>
    <cellStyle name="Standard 6 5 10 4" xfId="22696" xr:uid="{13B6EF1F-B43C-4632-A3AC-02CBFF1459EE}"/>
    <cellStyle name="Standard 6 5 11" xfId="10739" xr:uid="{00000000-0005-0000-0000-0000FA290000}"/>
    <cellStyle name="Standard 6 5 11 2" xfId="10740" xr:uid="{00000000-0005-0000-0000-0000FB290000}"/>
    <cellStyle name="Standard 6 5 11 2 2" xfId="10741" xr:uid="{00000000-0005-0000-0000-0000FC290000}"/>
    <cellStyle name="Standard 6 5 11 2 2 2" xfId="22702" xr:uid="{908DF502-766B-443A-BE9B-2C1B5C0F30E3}"/>
    <cellStyle name="Standard 6 5 11 2 3" xfId="22701" xr:uid="{7DDD5EC2-2805-49C4-9EFB-D6FED40E6EDF}"/>
    <cellStyle name="Standard 6 5 11 3" xfId="10742" xr:uid="{00000000-0005-0000-0000-0000FD290000}"/>
    <cellStyle name="Standard 6 5 11 3 2" xfId="22703" xr:uid="{B8910CCD-44F8-4E21-BBDC-52F272DA5B6F}"/>
    <cellStyle name="Standard 6 5 11 4" xfId="22700" xr:uid="{671B2293-046A-4920-A829-5F18F09BE35F}"/>
    <cellStyle name="Standard 6 5 12" xfId="10743" xr:uid="{00000000-0005-0000-0000-0000FE290000}"/>
    <cellStyle name="Standard 6 5 12 2" xfId="10744" xr:uid="{00000000-0005-0000-0000-0000FF290000}"/>
    <cellStyle name="Standard 6 5 12 2 2" xfId="10745" xr:uid="{00000000-0005-0000-0000-0000002A0000}"/>
    <cellStyle name="Standard 6 5 12 2 2 2" xfId="22706" xr:uid="{E297F1C2-F40A-49DF-98EA-C7073D48A224}"/>
    <cellStyle name="Standard 6 5 12 2 3" xfId="22705" xr:uid="{FC307F72-70A1-4173-A2BC-CF2D468FFCEA}"/>
    <cellStyle name="Standard 6 5 12 3" xfId="10746" xr:uid="{00000000-0005-0000-0000-0000012A0000}"/>
    <cellStyle name="Standard 6 5 12 3 2" xfId="22707" xr:uid="{2D764871-F146-41B6-A100-787855840FAB}"/>
    <cellStyle name="Standard 6 5 12 4" xfId="22704" xr:uid="{F3C89DB0-A542-44F4-8998-3E4D608FE5D2}"/>
    <cellStyle name="Standard 6 5 13" xfId="10747" xr:uid="{00000000-0005-0000-0000-0000022A0000}"/>
    <cellStyle name="Standard 6 5 13 2" xfId="10748" xr:uid="{00000000-0005-0000-0000-0000032A0000}"/>
    <cellStyle name="Standard 6 5 13 2 2" xfId="10749" xr:uid="{00000000-0005-0000-0000-0000042A0000}"/>
    <cellStyle name="Standard 6 5 13 2 2 2" xfId="22710" xr:uid="{E8485A2C-CA71-4CAB-A0EA-B46C8A274FAF}"/>
    <cellStyle name="Standard 6 5 13 2 3" xfId="22709" xr:uid="{6F1E6E33-084C-4FFF-B876-A26B145CBBBC}"/>
    <cellStyle name="Standard 6 5 13 3" xfId="10750" xr:uid="{00000000-0005-0000-0000-0000052A0000}"/>
    <cellStyle name="Standard 6 5 13 3 2" xfId="22711" xr:uid="{766B336F-F281-4C27-9F0E-2E1B5CB9122E}"/>
    <cellStyle name="Standard 6 5 13 4" xfId="22708" xr:uid="{36CDCD5D-2F16-443E-9B63-6249340CBF94}"/>
    <cellStyle name="Standard 6 5 14" xfId="10751" xr:uid="{00000000-0005-0000-0000-0000062A0000}"/>
    <cellStyle name="Standard 6 5 14 2" xfId="10752" xr:uid="{00000000-0005-0000-0000-0000072A0000}"/>
    <cellStyle name="Standard 6 5 14 2 2" xfId="10753" xr:uid="{00000000-0005-0000-0000-0000082A0000}"/>
    <cellStyle name="Standard 6 5 14 2 2 2" xfId="22714" xr:uid="{75EE8545-3A9F-42E8-A474-25C18286C9AE}"/>
    <cellStyle name="Standard 6 5 14 2 3" xfId="22713" xr:uid="{3D361C30-3D6A-4A3C-8E90-B76C7CB1F82B}"/>
    <cellStyle name="Standard 6 5 14 3" xfId="10754" xr:uid="{00000000-0005-0000-0000-0000092A0000}"/>
    <cellStyle name="Standard 6 5 14 3 2" xfId="22715" xr:uid="{C82545DF-1471-43AE-A9D3-694E21077EB1}"/>
    <cellStyle name="Standard 6 5 14 4" xfId="22712" xr:uid="{B1C6DFBD-3FE7-4B5B-9544-1890BFF608D6}"/>
    <cellStyle name="Standard 6 5 15" xfId="10755" xr:uid="{00000000-0005-0000-0000-00000A2A0000}"/>
    <cellStyle name="Standard 6 5 15 2" xfId="10756" xr:uid="{00000000-0005-0000-0000-00000B2A0000}"/>
    <cellStyle name="Standard 6 5 15 2 2" xfId="10757" xr:uid="{00000000-0005-0000-0000-00000C2A0000}"/>
    <cellStyle name="Standard 6 5 15 2 2 2" xfId="22718" xr:uid="{B23F393B-0A83-42C9-B411-2A540608D92C}"/>
    <cellStyle name="Standard 6 5 15 2 3" xfId="22717" xr:uid="{C1479533-BF73-4A03-B583-66131D8DFFDB}"/>
    <cellStyle name="Standard 6 5 15 3" xfId="10758" xr:uid="{00000000-0005-0000-0000-00000D2A0000}"/>
    <cellStyle name="Standard 6 5 15 3 2" xfId="22719" xr:uid="{927D7AF9-6E98-4E8E-89F4-90715EC35E26}"/>
    <cellStyle name="Standard 6 5 15 4" xfId="22716" xr:uid="{AED4D707-B34D-45CE-B34C-983B8F7F7A6D}"/>
    <cellStyle name="Standard 6 5 16" xfId="10759" xr:uid="{00000000-0005-0000-0000-00000E2A0000}"/>
    <cellStyle name="Standard 6 5 16 2" xfId="10760" xr:uid="{00000000-0005-0000-0000-00000F2A0000}"/>
    <cellStyle name="Standard 6 5 16 2 2" xfId="10761" xr:uid="{00000000-0005-0000-0000-0000102A0000}"/>
    <cellStyle name="Standard 6 5 16 2 2 2" xfId="22722" xr:uid="{96048EFA-EF19-462A-8338-F95C9C6C2B0A}"/>
    <cellStyle name="Standard 6 5 16 2 3" xfId="22721" xr:uid="{10E920FC-B268-4674-821C-2E370CA72A0D}"/>
    <cellStyle name="Standard 6 5 16 3" xfId="10762" xr:uid="{00000000-0005-0000-0000-0000112A0000}"/>
    <cellStyle name="Standard 6 5 16 3 2" xfId="22723" xr:uid="{37037EEF-28B4-4D90-AE0E-17F6FA1CB0FB}"/>
    <cellStyle name="Standard 6 5 16 4" xfId="22720" xr:uid="{DFA5A087-D0BD-49BF-A199-6FF9B1F82F36}"/>
    <cellStyle name="Standard 6 5 17" xfId="10763" xr:uid="{00000000-0005-0000-0000-0000122A0000}"/>
    <cellStyle name="Standard 6 5 17 2" xfId="10764" xr:uid="{00000000-0005-0000-0000-0000132A0000}"/>
    <cellStyle name="Standard 6 5 17 2 2" xfId="10765" xr:uid="{00000000-0005-0000-0000-0000142A0000}"/>
    <cellStyle name="Standard 6 5 17 2 2 2" xfId="22726" xr:uid="{E19E341D-A48F-48FD-9FC1-64C1743B74DA}"/>
    <cellStyle name="Standard 6 5 17 2 3" xfId="22725" xr:uid="{6E3D580F-5627-49AB-AE0F-D04FFEBC96A9}"/>
    <cellStyle name="Standard 6 5 17 3" xfId="10766" xr:uid="{00000000-0005-0000-0000-0000152A0000}"/>
    <cellStyle name="Standard 6 5 17 3 2" xfId="22727" xr:uid="{A25B9EC0-118D-4FFB-AF20-99F056DC5377}"/>
    <cellStyle name="Standard 6 5 17 4" xfId="22724" xr:uid="{9C8F13DA-34C1-4637-92BC-C5217D76F004}"/>
    <cellStyle name="Standard 6 5 18" xfId="10767" xr:uid="{00000000-0005-0000-0000-0000162A0000}"/>
    <cellStyle name="Standard 6 5 18 2" xfId="10768" xr:uid="{00000000-0005-0000-0000-0000172A0000}"/>
    <cellStyle name="Standard 6 5 18 2 2" xfId="10769" xr:uid="{00000000-0005-0000-0000-0000182A0000}"/>
    <cellStyle name="Standard 6 5 18 2 2 2" xfId="22730" xr:uid="{2B137619-472B-48DF-BAA1-05EEBA700D7A}"/>
    <cellStyle name="Standard 6 5 18 2 3" xfId="22729" xr:uid="{FACC2523-95C7-4E68-823F-746388CA49BC}"/>
    <cellStyle name="Standard 6 5 18 3" xfId="10770" xr:uid="{00000000-0005-0000-0000-0000192A0000}"/>
    <cellStyle name="Standard 6 5 18 3 2" xfId="22731" xr:uid="{6426F68A-380F-46F6-A404-E0B40D2CB942}"/>
    <cellStyle name="Standard 6 5 18 4" xfId="22728" xr:uid="{D9FB86E3-8819-4E37-9881-98C904F498C4}"/>
    <cellStyle name="Standard 6 5 19" xfId="10771" xr:uid="{00000000-0005-0000-0000-00001A2A0000}"/>
    <cellStyle name="Standard 6 5 19 2" xfId="10772" xr:uid="{00000000-0005-0000-0000-00001B2A0000}"/>
    <cellStyle name="Standard 6 5 19 2 2" xfId="10773" xr:uid="{00000000-0005-0000-0000-00001C2A0000}"/>
    <cellStyle name="Standard 6 5 19 2 2 2" xfId="22734" xr:uid="{F44A83E0-4037-4E50-9CA5-2A0817A61C94}"/>
    <cellStyle name="Standard 6 5 19 2 3" xfId="22733" xr:uid="{BB5A2EC7-6327-44E4-831E-E75E606CACE7}"/>
    <cellStyle name="Standard 6 5 19 3" xfId="10774" xr:uid="{00000000-0005-0000-0000-00001D2A0000}"/>
    <cellStyle name="Standard 6 5 19 3 2" xfId="22735" xr:uid="{7F5DE119-B7DC-4C68-AC27-FA846ED9042A}"/>
    <cellStyle name="Standard 6 5 19 4" xfId="22732" xr:uid="{4D1D0CF2-BAB9-429C-B112-82544236ADE1}"/>
    <cellStyle name="Standard 6 5 2" xfId="10775" xr:uid="{00000000-0005-0000-0000-00001E2A0000}"/>
    <cellStyle name="Standard 6 5 2 10" xfId="10776" xr:uid="{00000000-0005-0000-0000-00001F2A0000}"/>
    <cellStyle name="Standard 6 5 2 10 2" xfId="10777" xr:uid="{00000000-0005-0000-0000-0000202A0000}"/>
    <cellStyle name="Standard 6 5 2 10 2 2" xfId="22738" xr:uid="{93AD4CA5-324C-4449-98A9-84F46FF02CA9}"/>
    <cellStyle name="Standard 6 5 2 10 3" xfId="22737" xr:uid="{C4ED4E3C-470D-44BF-982D-74419C105327}"/>
    <cellStyle name="Standard 6 5 2 11" xfId="10778" xr:uid="{00000000-0005-0000-0000-0000212A0000}"/>
    <cellStyle name="Standard 6 5 2 11 2" xfId="22739" xr:uid="{402A9C9C-F87B-4526-B46D-C4DA11B6BBC6}"/>
    <cellStyle name="Standard 6 5 2 12" xfId="22736" xr:uid="{4E9E2263-3764-4C49-86CD-211B574E4566}"/>
    <cellStyle name="Standard 6 5 2 2" xfId="10779" xr:uid="{00000000-0005-0000-0000-0000222A0000}"/>
    <cellStyle name="Standard 6 5 2 2 10" xfId="10780" xr:uid="{00000000-0005-0000-0000-0000232A0000}"/>
    <cellStyle name="Standard 6 5 2 2 10 2" xfId="22741" xr:uid="{1D5BA319-1481-4530-9429-DA3A7494F8AF}"/>
    <cellStyle name="Standard 6 5 2 2 11" xfId="22740" xr:uid="{022194C8-668B-4D9A-B2DF-0E99E56F851F}"/>
    <cellStyle name="Standard 6 5 2 2 2" xfId="10781" xr:uid="{00000000-0005-0000-0000-0000242A0000}"/>
    <cellStyle name="Standard 6 5 2 2 2 10" xfId="22742" xr:uid="{110F164A-5681-481C-9709-8FC197F7317A}"/>
    <cellStyle name="Standard 6 5 2 2 2 2" xfId="10782" xr:uid="{00000000-0005-0000-0000-0000252A0000}"/>
    <cellStyle name="Standard 6 5 2 2 2 2 2" xfId="10783" xr:uid="{00000000-0005-0000-0000-0000262A0000}"/>
    <cellStyle name="Standard 6 5 2 2 2 2 2 2" xfId="10784" xr:uid="{00000000-0005-0000-0000-0000272A0000}"/>
    <cellStyle name="Standard 6 5 2 2 2 2 2 2 2" xfId="22745" xr:uid="{75A11878-F665-4166-8A66-6814A8ADA183}"/>
    <cellStyle name="Standard 6 5 2 2 2 2 2 3" xfId="22744" xr:uid="{A262ACD8-C1A8-4CCE-AD6F-2231FF0353B7}"/>
    <cellStyle name="Standard 6 5 2 2 2 2 3" xfId="10785" xr:uid="{00000000-0005-0000-0000-0000282A0000}"/>
    <cellStyle name="Standard 6 5 2 2 2 2 3 2" xfId="22746" xr:uid="{C3220BCD-5E2E-4188-A278-2DFB1490D15B}"/>
    <cellStyle name="Standard 6 5 2 2 2 2 4" xfId="22743" xr:uid="{37963278-8D6D-4F2A-A1AE-69DC16371593}"/>
    <cellStyle name="Standard 6 5 2 2 2 3" xfId="10786" xr:uid="{00000000-0005-0000-0000-0000292A0000}"/>
    <cellStyle name="Standard 6 5 2 2 2 3 2" xfId="10787" xr:uid="{00000000-0005-0000-0000-00002A2A0000}"/>
    <cellStyle name="Standard 6 5 2 2 2 3 2 2" xfId="10788" xr:uid="{00000000-0005-0000-0000-00002B2A0000}"/>
    <cellStyle name="Standard 6 5 2 2 2 3 2 2 2" xfId="22749" xr:uid="{3ADF8631-134F-4864-8687-524886ABBF72}"/>
    <cellStyle name="Standard 6 5 2 2 2 3 2 3" xfId="22748" xr:uid="{85B8667B-947E-4988-A01B-AEE7307CC767}"/>
    <cellStyle name="Standard 6 5 2 2 2 3 3" xfId="10789" xr:uid="{00000000-0005-0000-0000-00002C2A0000}"/>
    <cellStyle name="Standard 6 5 2 2 2 3 3 2" xfId="22750" xr:uid="{BD1C4A39-186B-494C-B8D6-AB14F467985D}"/>
    <cellStyle name="Standard 6 5 2 2 2 3 4" xfId="22747" xr:uid="{F2AD5A16-FF20-4998-BF7C-18F681B38748}"/>
    <cellStyle name="Standard 6 5 2 2 2 4" xfId="10790" xr:uid="{00000000-0005-0000-0000-00002D2A0000}"/>
    <cellStyle name="Standard 6 5 2 2 2 4 2" xfId="10791" xr:uid="{00000000-0005-0000-0000-00002E2A0000}"/>
    <cellStyle name="Standard 6 5 2 2 2 4 2 2" xfId="10792" xr:uid="{00000000-0005-0000-0000-00002F2A0000}"/>
    <cellStyle name="Standard 6 5 2 2 2 4 2 2 2" xfId="22753" xr:uid="{C67F9856-69DC-42AC-BA65-3D2409EFBE9B}"/>
    <cellStyle name="Standard 6 5 2 2 2 4 2 3" xfId="22752" xr:uid="{7AF3E6D4-B85E-45B9-A3B2-21A9CF13C1D3}"/>
    <cellStyle name="Standard 6 5 2 2 2 4 3" xfId="10793" xr:uid="{00000000-0005-0000-0000-0000302A0000}"/>
    <cellStyle name="Standard 6 5 2 2 2 4 3 2" xfId="22754" xr:uid="{6967F801-9C85-47CC-B04E-6A6BE83753EB}"/>
    <cellStyle name="Standard 6 5 2 2 2 4 4" xfId="22751" xr:uid="{52DF7C5D-709E-48A6-9837-8300C3642467}"/>
    <cellStyle name="Standard 6 5 2 2 2 5" xfId="10794" xr:uid="{00000000-0005-0000-0000-0000312A0000}"/>
    <cellStyle name="Standard 6 5 2 2 2 5 2" xfId="10795" xr:uid="{00000000-0005-0000-0000-0000322A0000}"/>
    <cellStyle name="Standard 6 5 2 2 2 5 2 2" xfId="10796" xr:uid="{00000000-0005-0000-0000-0000332A0000}"/>
    <cellStyle name="Standard 6 5 2 2 2 5 2 2 2" xfId="22757" xr:uid="{4FAD80E4-732B-43D4-81E3-19D2E1B55A07}"/>
    <cellStyle name="Standard 6 5 2 2 2 5 2 3" xfId="22756" xr:uid="{4A88EBBA-E0BB-438F-B64E-0148BC203BE5}"/>
    <cellStyle name="Standard 6 5 2 2 2 5 3" xfId="10797" xr:uid="{00000000-0005-0000-0000-0000342A0000}"/>
    <cellStyle name="Standard 6 5 2 2 2 5 3 2" xfId="22758" xr:uid="{2A5A888A-F1DC-4437-A2FA-45C26E293E46}"/>
    <cellStyle name="Standard 6 5 2 2 2 5 4" xfId="22755" xr:uid="{7F06A672-F5CC-488E-95DC-C1711B4F8C40}"/>
    <cellStyle name="Standard 6 5 2 2 2 6" xfId="10798" xr:uid="{00000000-0005-0000-0000-0000352A0000}"/>
    <cellStyle name="Standard 6 5 2 2 2 6 2" xfId="10799" xr:uid="{00000000-0005-0000-0000-0000362A0000}"/>
    <cellStyle name="Standard 6 5 2 2 2 6 2 2" xfId="10800" xr:uid="{00000000-0005-0000-0000-0000372A0000}"/>
    <cellStyle name="Standard 6 5 2 2 2 6 2 2 2" xfId="22761" xr:uid="{55945848-69B0-4C74-840D-31342CC21FF3}"/>
    <cellStyle name="Standard 6 5 2 2 2 6 2 3" xfId="22760" xr:uid="{5326375D-7876-4C04-9E99-731C1F36D3E1}"/>
    <cellStyle name="Standard 6 5 2 2 2 6 3" xfId="10801" xr:uid="{00000000-0005-0000-0000-0000382A0000}"/>
    <cellStyle name="Standard 6 5 2 2 2 6 3 2" xfId="22762" xr:uid="{B2F35C49-C58C-41EE-A58B-07F611D09B03}"/>
    <cellStyle name="Standard 6 5 2 2 2 6 4" xfId="22759" xr:uid="{C2075A5F-F0DD-4016-91B2-2AB0DCDFC893}"/>
    <cellStyle name="Standard 6 5 2 2 2 7" xfId="10802" xr:uid="{00000000-0005-0000-0000-0000392A0000}"/>
    <cellStyle name="Standard 6 5 2 2 2 7 2" xfId="10803" xr:uid="{00000000-0005-0000-0000-00003A2A0000}"/>
    <cellStyle name="Standard 6 5 2 2 2 7 2 2" xfId="10804" xr:uid="{00000000-0005-0000-0000-00003B2A0000}"/>
    <cellStyle name="Standard 6 5 2 2 2 7 2 2 2" xfId="22765" xr:uid="{0A6AB0FC-FD53-4B72-94E1-D341523485DE}"/>
    <cellStyle name="Standard 6 5 2 2 2 7 2 3" xfId="22764" xr:uid="{6E6C2D81-AF9F-4498-9743-AD423B6488DD}"/>
    <cellStyle name="Standard 6 5 2 2 2 7 3" xfId="10805" xr:uid="{00000000-0005-0000-0000-00003C2A0000}"/>
    <cellStyle name="Standard 6 5 2 2 2 7 3 2" xfId="22766" xr:uid="{C80C3300-3B1C-4BE6-87DA-3BAA805E91E8}"/>
    <cellStyle name="Standard 6 5 2 2 2 7 4" xfId="22763" xr:uid="{C83BE5D5-6F6E-40B8-AD4F-E9FDEFF21797}"/>
    <cellStyle name="Standard 6 5 2 2 2 8" xfId="10806" xr:uid="{00000000-0005-0000-0000-00003D2A0000}"/>
    <cellStyle name="Standard 6 5 2 2 2 8 2" xfId="10807" xr:uid="{00000000-0005-0000-0000-00003E2A0000}"/>
    <cellStyle name="Standard 6 5 2 2 2 8 2 2" xfId="22768" xr:uid="{880994EF-34ED-4034-A816-31792A7B6AAB}"/>
    <cellStyle name="Standard 6 5 2 2 2 8 3" xfId="22767" xr:uid="{C98ACB86-1E9E-4A3C-8FBC-732DED925B03}"/>
    <cellStyle name="Standard 6 5 2 2 2 9" xfId="10808" xr:uid="{00000000-0005-0000-0000-00003F2A0000}"/>
    <cellStyle name="Standard 6 5 2 2 2 9 2" xfId="22769" xr:uid="{5871FA19-3564-4D6B-8046-0FEF40630AD2}"/>
    <cellStyle name="Standard 6 5 2 2 3" xfId="10809" xr:uid="{00000000-0005-0000-0000-0000402A0000}"/>
    <cellStyle name="Standard 6 5 2 2 3 2" xfId="10810" xr:uid="{00000000-0005-0000-0000-0000412A0000}"/>
    <cellStyle name="Standard 6 5 2 2 3 2 2" xfId="10811" xr:uid="{00000000-0005-0000-0000-0000422A0000}"/>
    <cellStyle name="Standard 6 5 2 2 3 2 2 2" xfId="22772" xr:uid="{8EE7913A-7334-49FF-BD2E-F8106C4101D1}"/>
    <cellStyle name="Standard 6 5 2 2 3 2 3" xfId="22771" xr:uid="{A816FC0C-0BFE-4F75-8245-216451B3D00C}"/>
    <cellStyle name="Standard 6 5 2 2 3 3" xfId="10812" xr:uid="{00000000-0005-0000-0000-0000432A0000}"/>
    <cellStyle name="Standard 6 5 2 2 3 3 2" xfId="22773" xr:uid="{06EA0B91-21A7-48BD-82C3-935FC14CE0C9}"/>
    <cellStyle name="Standard 6 5 2 2 3 4" xfId="22770" xr:uid="{189FB5A7-1F56-49BA-8399-FEB471081439}"/>
    <cellStyle name="Standard 6 5 2 2 4" xfId="10813" xr:uid="{00000000-0005-0000-0000-0000442A0000}"/>
    <cellStyle name="Standard 6 5 2 2 4 2" xfId="10814" xr:uid="{00000000-0005-0000-0000-0000452A0000}"/>
    <cellStyle name="Standard 6 5 2 2 4 2 2" xfId="10815" xr:uid="{00000000-0005-0000-0000-0000462A0000}"/>
    <cellStyle name="Standard 6 5 2 2 4 2 2 2" xfId="22776" xr:uid="{A5F7303A-B92E-44DD-87CA-2EF3C303A594}"/>
    <cellStyle name="Standard 6 5 2 2 4 2 3" xfId="22775" xr:uid="{9F074A3E-2528-4D6B-8EE8-D0F0CEDD0BB9}"/>
    <cellStyle name="Standard 6 5 2 2 4 3" xfId="10816" xr:uid="{00000000-0005-0000-0000-0000472A0000}"/>
    <cellStyle name="Standard 6 5 2 2 4 3 2" xfId="22777" xr:uid="{AE1B7F1C-9C77-41E2-85C1-B1C6B03A3726}"/>
    <cellStyle name="Standard 6 5 2 2 4 4" xfId="22774" xr:uid="{13B592AE-8C62-43FF-BA3A-30BD74F15B5D}"/>
    <cellStyle name="Standard 6 5 2 2 5" xfId="10817" xr:uid="{00000000-0005-0000-0000-0000482A0000}"/>
    <cellStyle name="Standard 6 5 2 2 5 2" xfId="10818" xr:uid="{00000000-0005-0000-0000-0000492A0000}"/>
    <cellStyle name="Standard 6 5 2 2 5 2 2" xfId="10819" xr:uid="{00000000-0005-0000-0000-00004A2A0000}"/>
    <cellStyle name="Standard 6 5 2 2 5 2 2 2" xfId="22780" xr:uid="{2F5C79EB-8AB4-458B-843E-407BCF2A2E4B}"/>
    <cellStyle name="Standard 6 5 2 2 5 2 3" xfId="22779" xr:uid="{01C7CB16-6AB7-4608-9CAC-7808C2EEC0CB}"/>
    <cellStyle name="Standard 6 5 2 2 5 3" xfId="10820" xr:uid="{00000000-0005-0000-0000-00004B2A0000}"/>
    <cellStyle name="Standard 6 5 2 2 5 3 2" xfId="22781" xr:uid="{A2D74852-BBA8-4224-B88D-57E404F4392A}"/>
    <cellStyle name="Standard 6 5 2 2 5 4" xfId="22778" xr:uid="{4DC3D574-4F17-401F-BDE9-A0BE87528BAF}"/>
    <cellStyle name="Standard 6 5 2 2 6" xfId="10821" xr:uid="{00000000-0005-0000-0000-00004C2A0000}"/>
    <cellStyle name="Standard 6 5 2 2 6 2" xfId="10822" xr:uid="{00000000-0005-0000-0000-00004D2A0000}"/>
    <cellStyle name="Standard 6 5 2 2 6 2 2" xfId="10823" xr:uid="{00000000-0005-0000-0000-00004E2A0000}"/>
    <cellStyle name="Standard 6 5 2 2 6 2 2 2" xfId="22784" xr:uid="{905057AA-D73A-4B3D-83CD-8B3F3221EA59}"/>
    <cellStyle name="Standard 6 5 2 2 6 2 3" xfId="22783" xr:uid="{4B181152-FBEA-4316-A2C0-0F8B4D237AE5}"/>
    <cellStyle name="Standard 6 5 2 2 6 3" xfId="10824" xr:uid="{00000000-0005-0000-0000-00004F2A0000}"/>
    <cellStyle name="Standard 6 5 2 2 6 3 2" xfId="22785" xr:uid="{0549525A-05DD-45E5-B7CC-2D02CA921C51}"/>
    <cellStyle name="Standard 6 5 2 2 6 4" xfId="22782" xr:uid="{84973A88-82B4-45D8-8C02-E4DFF44E0F4C}"/>
    <cellStyle name="Standard 6 5 2 2 7" xfId="10825" xr:uid="{00000000-0005-0000-0000-0000502A0000}"/>
    <cellStyle name="Standard 6 5 2 2 7 2" xfId="10826" xr:uid="{00000000-0005-0000-0000-0000512A0000}"/>
    <cellStyle name="Standard 6 5 2 2 7 2 2" xfId="10827" xr:uid="{00000000-0005-0000-0000-0000522A0000}"/>
    <cellStyle name="Standard 6 5 2 2 7 2 2 2" xfId="22788" xr:uid="{A309D77A-C7C2-4577-958D-A08199AFF8D3}"/>
    <cellStyle name="Standard 6 5 2 2 7 2 3" xfId="22787" xr:uid="{917C46AA-70DA-4C65-92E2-DD705AE98272}"/>
    <cellStyle name="Standard 6 5 2 2 7 3" xfId="10828" xr:uid="{00000000-0005-0000-0000-0000532A0000}"/>
    <cellStyle name="Standard 6 5 2 2 7 3 2" xfId="22789" xr:uid="{ED6039DA-A7A2-4284-9EBA-E267928D9AE4}"/>
    <cellStyle name="Standard 6 5 2 2 7 4" xfId="22786" xr:uid="{3D90EB5D-4465-42D3-8581-E9947843E57B}"/>
    <cellStyle name="Standard 6 5 2 2 8" xfId="10829" xr:uid="{00000000-0005-0000-0000-0000542A0000}"/>
    <cellStyle name="Standard 6 5 2 2 8 2" xfId="10830" xr:uid="{00000000-0005-0000-0000-0000552A0000}"/>
    <cellStyle name="Standard 6 5 2 2 8 2 2" xfId="10831" xr:uid="{00000000-0005-0000-0000-0000562A0000}"/>
    <cellStyle name="Standard 6 5 2 2 8 2 2 2" xfId="22792" xr:uid="{ED6AC132-0C71-4F47-984A-935D0E324598}"/>
    <cellStyle name="Standard 6 5 2 2 8 2 3" xfId="22791" xr:uid="{AF7FBE72-3D4F-408E-8552-D7338523A03B}"/>
    <cellStyle name="Standard 6 5 2 2 8 3" xfId="10832" xr:uid="{00000000-0005-0000-0000-0000572A0000}"/>
    <cellStyle name="Standard 6 5 2 2 8 3 2" xfId="22793" xr:uid="{63F30116-7CCF-499F-A266-3B0D8B926864}"/>
    <cellStyle name="Standard 6 5 2 2 8 4" xfId="22790" xr:uid="{29261DA1-5481-4CBF-965D-C1A911FE100A}"/>
    <cellStyle name="Standard 6 5 2 2 9" xfId="10833" xr:uid="{00000000-0005-0000-0000-0000582A0000}"/>
    <cellStyle name="Standard 6 5 2 2 9 2" xfId="10834" xr:uid="{00000000-0005-0000-0000-0000592A0000}"/>
    <cellStyle name="Standard 6 5 2 2 9 2 2" xfId="22795" xr:uid="{286A17FB-81FB-4A19-BDC9-AE2795F6057A}"/>
    <cellStyle name="Standard 6 5 2 2 9 3" xfId="22794" xr:uid="{5FFE10E6-3428-4969-BA46-B81376A43AEA}"/>
    <cellStyle name="Standard 6 5 2 3" xfId="10835" xr:uid="{00000000-0005-0000-0000-00005A2A0000}"/>
    <cellStyle name="Standard 6 5 2 3 10" xfId="22796" xr:uid="{CB67C232-ACB9-4FCB-830C-76266FB1F0CD}"/>
    <cellStyle name="Standard 6 5 2 3 2" xfId="10836" xr:uid="{00000000-0005-0000-0000-00005B2A0000}"/>
    <cellStyle name="Standard 6 5 2 3 2 2" xfId="10837" xr:uid="{00000000-0005-0000-0000-00005C2A0000}"/>
    <cellStyle name="Standard 6 5 2 3 2 2 2" xfId="10838" xr:uid="{00000000-0005-0000-0000-00005D2A0000}"/>
    <cellStyle name="Standard 6 5 2 3 2 2 2 2" xfId="22799" xr:uid="{0008A920-3526-4D7E-9B55-6D919DED7288}"/>
    <cellStyle name="Standard 6 5 2 3 2 2 3" xfId="22798" xr:uid="{171A7DE4-765D-4845-9D29-C63CD931FD4B}"/>
    <cellStyle name="Standard 6 5 2 3 2 3" xfId="10839" xr:uid="{00000000-0005-0000-0000-00005E2A0000}"/>
    <cellStyle name="Standard 6 5 2 3 2 3 2" xfId="22800" xr:uid="{FD517654-675C-4924-B3E9-9F23992C91C4}"/>
    <cellStyle name="Standard 6 5 2 3 2 4" xfId="22797" xr:uid="{0A8464BA-6A37-48B7-9F07-2731C4DE7884}"/>
    <cellStyle name="Standard 6 5 2 3 3" xfId="10840" xr:uid="{00000000-0005-0000-0000-00005F2A0000}"/>
    <cellStyle name="Standard 6 5 2 3 3 2" xfId="10841" xr:uid="{00000000-0005-0000-0000-0000602A0000}"/>
    <cellStyle name="Standard 6 5 2 3 3 2 2" xfId="10842" xr:uid="{00000000-0005-0000-0000-0000612A0000}"/>
    <cellStyle name="Standard 6 5 2 3 3 2 2 2" xfId="22803" xr:uid="{BC5D56F8-0C61-4D59-904C-DB45E32039F8}"/>
    <cellStyle name="Standard 6 5 2 3 3 2 3" xfId="22802" xr:uid="{AA79D67F-1942-4D19-A298-6FA818A20A35}"/>
    <cellStyle name="Standard 6 5 2 3 3 3" xfId="10843" xr:uid="{00000000-0005-0000-0000-0000622A0000}"/>
    <cellStyle name="Standard 6 5 2 3 3 3 2" xfId="22804" xr:uid="{8EF10DDF-3313-4D99-AA29-A5DBC36603B5}"/>
    <cellStyle name="Standard 6 5 2 3 3 4" xfId="22801" xr:uid="{BF6D8C83-0CFC-4CD1-BE2D-00D21BE25A42}"/>
    <cellStyle name="Standard 6 5 2 3 4" xfId="10844" xr:uid="{00000000-0005-0000-0000-0000632A0000}"/>
    <cellStyle name="Standard 6 5 2 3 4 2" xfId="10845" xr:uid="{00000000-0005-0000-0000-0000642A0000}"/>
    <cellStyle name="Standard 6 5 2 3 4 2 2" xfId="10846" xr:uid="{00000000-0005-0000-0000-0000652A0000}"/>
    <cellStyle name="Standard 6 5 2 3 4 2 2 2" xfId="22807" xr:uid="{BF216790-9C85-4BDD-B8F3-E0E69D85ED9C}"/>
    <cellStyle name="Standard 6 5 2 3 4 2 3" xfId="22806" xr:uid="{405520E2-C984-45E0-95DA-1CE3C46CB899}"/>
    <cellStyle name="Standard 6 5 2 3 4 3" xfId="10847" xr:uid="{00000000-0005-0000-0000-0000662A0000}"/>
    <cellStyle name="Standard 6 5 2 3 4 3 2" xfId="22808" xr:uid="{5BE632E4-9BAF-4BD4-A75B-FA3450806558}"/>
    <cellStyle name="Standard 6 5 2 3 4 4" xfId="22805" xr:uid="{58A02364-0404-4875-9D0A-D909A57DA35D}"/>
    <cellStyle name="Standard 6 5 2 3 5" xfId="10848" xr:uid="{00000000-0005-0000-0000-0000672A0000}"/>
    <cellStyle name="Standard 6 5 2 3 5 2" xfId="10849" xr:uid="{00000000-0005-0000-0000-0000682A0000}"/>
    <cellStyle name="Standard 6 5 2 3 5 2 2" xfId="10850" xr:uid="{00000000-0005-0000-0000-0000692A0000}"/>
    <cellStyle name="Standard 6 5 2 3 5 2 2 2" xfId="22811" xr:uid="{3661AE89-6A47-47B0-9DCE-C7624E5DFBE0}"/>
    <cellStyle name="Standard 6 5 2 3 5 2 3" xfId="22810" xr:uid="{91C9DF38-5C73-43E0-B57E-3D379BF2BA59}"/>
    <cellStyle name="Standard 6 5 2 3 5 3" xfId="10851" xr:uid="{00000000-0005-0000-0000-00006A2A0000}"/>
    <cellStyle name="Standard 6 5 2 3 5 3 2" xfId="22812" xr:uid="{340AB08E-C821-46DA-8203-46C2CA00ACD6}"/>
    <cellStyle name="Standard 6 5 2 3 5 4" xfId="22809" xr:uid="{C469E857-710A-4B5F-BF90-1C4456BCCDF2}"/>
    <cellStyle name="Standard 6 5 2 3 6" xfId="10852" xr:uid="{00000000-0005-0000-0000-00006B2A0000}"/>
    <cellStyle name="Standard 6 5 2 3 6 2" xfId="10853" xr:uid="{00000000-0005-0000-0000-00006C2A0000}"/>
    <cellStyle name="Standard 6 5 2 3 6 2 2" xfId="10854" xr:uid="{00000000-0005-0000-0000-00006D2A0000}"/>
    <cellStyle name="Standard 6 5 2 3 6 2 2 2" xfId="22815" xr:uid="{2B965316-FCEB-4CE4-83E6-E33FF77895F1}"/>
    <cellStyle name="Standard 6 5 2 3 6 2 3" xfId="22814" xr:uid="{51DC4F90-7080-432D-9A01-EE5BD78C8585}"/>
    <cellStyle name="Standard 6 5 2 3 6 3" xfId="10855" xr:uid="{00000000-0005-0000-0000-00006E2A0000}"/>
    <cellStyle name="Standard 6 5 2 3 6 3 2" xfId="22816" xr:uid="{1021062E-D308-4911-8B6D-60FB4DEB7A31}"/>
    <cellStyle name="Standard 6 5 2 3 6 4" xfId="22813" xr:uid="{22A72D7E-F2AA-4D10-A707-1BAE5A3E8387}"/>
    <cellStyle name="Standard 6 5 2 3 7" xfId="10856" xr:uid="{00000000-0005-0000-0000-00006F2A0000}"/>
    <cellStyle name="Standard 6 5 2 3 7 2" xfId="10857" xr:uid="{00000000-0005-0000-0000-0000702A0000}"/>
    <cellStyle name="Standard 6 5 2 3 7 2 2" xfId="10858" xr:uid="{00000000-0005-0000-0000-0000712A0000}"/>
    <cellStyle name="Standard 6 5 2 3 7 2 2 2" xfId="22819" xr:uid="{14137FD3-4CF7-4088-90E5-D3A76969053B}"/>
    <cellStyle name="Standard 6 5 2 3 7 2 3" xfId="22818" xr:uid="{A6DEEEB7-0D07-4CDB-9D50-2436B16CB57C}"/>
    <cellStyle name="Standard 6 5 2 3 7 3" xfId="10859" xr:uid="{00000000-0005-0000-0000-0000722A0000}"/>
    <cellStyle name="Standard 6 5 2 3 7 3 2" xfId="22820" xr:uid="{D694C7D8-8D92-4EED-91EA-11EBEF0FEE4B}"/>
    <cellStyle name="Standard 6 5 2 3 7 4" xfId="22817" xr:uid="{2A5483FF-9B0C-4EEB-9795-67F77E12FFAB}"/>
    <cellStyle name="Standard 6 5 2 3 8" xfId="10860" xr:uid="{00000000-0005-0000-0000-0000732A0000}"/>
    <cellStyle name="Standard 6 5 2 3 8 2" xfId="10861" xr:uid="{00000000-0005-0000-0000-0000742A0000}"/>
    <cellStyle name="Standard 6 5 2 3 8 2 2" xfId="22822" xr:uid="{10B2537D-9E60-48FD-89BC-F6AAA5F5FE11}"/>
    <cellStyle name="Standard 6 5 2 3 8 3" xfId="22821" xr:uid="{8FAC0D00-E0A5-4372-B3C2-FFA8374FB46D}"/>
    <cellStyle name="Standard 6 5 2 3 9" xfId="10862" xr:uid="{00000000-0005-0000-0000-0000752A0000}"/>
    <cellStyle name="Standard 6 5 2 3 9 2" xfId="22823" xr:uid="{EB7FAF04-A159-456F-8CBC-65FB7F62D556}"/>
    <cellStyle name="Standard 6 5 2 4" xfId="10863" xr:uid="{00000000-0005-0000-0000-0000762A0000}"/>
    <cellStyle name="Standard 6 5 2 4 2" xfId="10864" xr:uid="{00000000-0005-0000-0000-0000772A0000}"/>
    <cellStyle name="Standard 6 5 2 4 2 2" xfId="10865" xr:uid="{00000000-0005-0000-0000-0000782A0000}"/>
    <cellStyle name="Standard 6 5 2 4 2 2 2" xfId="22826" xr:uid="{AE05A07C-3DB2-4FBD-8A14-4C16D192F09E}"/>
    <cellStyle name="Standard 6 5 2 4 2 3" xfId="22825" xr:uid="{D141E2D0-52C6-487F-A13B-F8E4A140E394}"/>
    <cellStyle name="Standard 6 5 2 4 3" xfId="10866" xr:uid="{00000000-0005-0000-0000-0000792A0000}"/>
    <cellStyle name="Standard 6 5 2 4 3 2" xfId="22827" xr:uid="{C7EEDAA4-E93B-4D23-BED2-C7D98A524D3E}"/>
    <cellStyle name="Standard 6 5 2 4 4" xfId="22824" xr:uid="{DF4F369F-75B9-4B38-9F75-7553DB25C1B2}"/>
    <cellStyle name="Standard 6 5 2 5" xfId="10867" xr:uid="{00000000-0005-0000-0000-00007A2A0000}"/>
    <cellStyle name="Standard 6 5 2 5 2" xfId="10868" xr:uid="{00000000-0005-0000-0000-00007B2A0000}"/>
    <cellStyle name="Standard 6 5 2 5 2 2" xfId="10869" xr:uid="{00000000-0005-0000-0000-00007C2A0000}"/>
    <cellStyle name="Standard 6 5 2 5 2 2 2" xfId="22830" xr:uid="{9DABE99F-40C9-43A9-8A64-3D60E60F7AF6}"/>
    <cellStyle name="Standard 6 5 2 5 2 3" xfId="22829" xr:uid="{CEF2E322-FA11-438F-B637-6DB29C774DFC}"/>
    <cellStyle name="Standard 6 5 2 5 3" xfId="10870" xr:uid="{00000000-0005-0000-0000-00007D2A0000}"/>
    <cellStyle name="Standard 6 5 2 5 3 2" xfId="22831" xr:uid="{724129DC-058C-4C00-8E1B-0DCB6203E663}"/>
    <cellStyle name="Standard 6 5 2 5 4" xfId="22828" xr:uid="{7A42CD44-952A-4B20-9AC4-1C08B5EB3FEF}"/>
    <cellStyle name="Standard 6 5 2 6" xfId="10871" xr:uid="{00000000-0005-0000-0000-00007E2A0000}"/>
    <cellStyle name="Standard 6 5 2 6 2" xfId="10872" xr:uid="{00000000-0005-0000-0000-00007F2A0000}"/>
    <cellStyle name="Standard 6 5 2 6 2 2" xfId="10873" xr:uid="{00000000-0005-0000-0000-0000802A0000}"/>
    <cellStyle name="Standard 6 5 2 6 2 2 2" xfId="22834" xr:uid="{90CA198C-8BFF-43F9-BC70-E7ADF1D86070}"/>
    <cellStyle name="Standard 6 5 2 6 2 3" xfId="22833" xr:uid="{15221CE1-138F-4001-BC37-AFCB7EE71456}"/>
    <cellStyle name="Standard 6 5 2 6 3" xfId="10874" xr:uid="{00000000-0005-0000-0000-0000812A0000}"/>
    <cellStyle name="Standard 6 5 2 6 3 2" xfId="22835" xr:uid="{3158320D-1045-410D-ACF2-ED34B943B340}"/>
    <cellStyle name="Standard 6 5 2 6 4" xfId="22832" xr:uid="{CEF4CF6C-6D77-4DFA-8E31-1F46159C33B5}"/>
    <cellStyle name="Standard 6 5 2 7" xfId="10875" xr:uid="{00000000-0005-0000-0000-0000822A0000}"/>
    <cellStyle name="Standard 6 5 2 7 2" xfId="10876" xr:uid="{00000000-0005-0000-0000-0000832A0000}"/>
    <cellStyle name="Standard 6 5 2 7 2 2" xfId="10877" xr:uid="{00000000-0005-0000-0000-0000842A0000}"/>
    <cellStyle name="Standard 6 5 2 7 2 2 2" xfId="22838" xr:uid="{23169B19-A53C-43E8-895C-3436ADE11E38}"/>
    <cellStyle name="Standard 6 5 2 7 2 3" xfId="22837" xr:uid="{6726736C-005C-45DE-81CD-5EEDFDF6F4BA}"/>
    <cellStyle name="Standard 6 5 2 7 3" xfId="10878" xr:uid="{00000000-0005-0000-0000-0000852A0000}"/>
    <cellStyle name="Standard 6 5 2 7 3 2" xfId="22839" xr:uid="{3ACE5C2E-B61C-49BA-84EC-874925BA603C}"/>
    <cellStyle name="Standard 6 5 2 7 4" xfId="22836" xr:uid="{8EF68579-9948-4600-A07B-756F07391F49}"/>
    <cellStyle name="Standard 6 5 2 8" xfId="10879" xr:uid="{00000000-0005-0000-0000-0000862A0000}"/>
    <cellStyle name="Standard 6 5 2 8 2" xfId="10880" xr:uid="{00000000-0005-0000-0000-0000872A0000}"/>
    <cellStyle name="Standard 6 5 2 8 2 2" xfId="10881" xr:uid="{00000000-0005-0000-0000-0000882A0000}"/>
    <cellStyle name="Standard 6 5 2 8 2 2 2" xfId="22842" xr:uid="{45085D29-3DCE-4355-B90E-B94C6A874797}"/>
    <cellStyle name="Standard 6 5 2 8 2 3" xfId="22841" xr:uid="{A62D81B9-D242-4666-B580-4F73FA8A7CD9}"/>
    <cellStyle name="Standard 6 5 2 8 3" xfId="10882" xr:uid="{00000000-0005-0000-0000-0000892A0000}"/>
    <cellStyle name="Standard 6 5 2 8 3 2" xfId="22843" xr:uid="{4BF0325F-A5F6-40E8-9B90-CE070481CEDC}"/>
    <cellStyle name="Standard 6 5 2 8 4" xfId="22840" xr:uid="{78A5F6B4-72F9-4079-B566-2C2307D564CD}"/>
    <cellStyle name="Standard 6 5 2 9" xfId="10883" xr:uid="{00000000-0005-0000-0000-00008A2A0000}"/>
    <cellStyle name="Standard 6 5 2 9 2" xfId="10884" xr:uid="{00000000-0005-0000-0000-00008B2A0000}"/>
    <cellStyle name="Standard 6 5 2 9 2 2" xfId="10885" xr:uid="{00000000-0005-0000-0000-00008C2A0000}"/>
    <cellStyle name="Standard 6 5 2 9 2 2 2" xfId="22846" xr:uid="{8F5C2D9A-0B05-45EC-9429-7C9E3E4F2DA5}"/>
    <cellStyle name="Standard 6 5 2 9 2 3" xfId="22845" xr:uid="{1C026AEC-06B8-4772-9087-5C43E68D81A3}"/>
    <cellStyle name="Standard 6 5 2 9 3" xfId="10886" xr:uid="{00000000-0005-0000-0000-00008D2A0000}"/>
    <cellStyle name="Standard 6 5 2 9 3 2" xfId="22847" xr:uid="{76E6A4CE-9C80-4CD2-AE50-B703A07938A8}"/>
    <cellStyle name="Standard 6 5 2 9 4" xfId="22844" xr:uid="{FA20660C-0F6A-453E-806F-12AA1D3C54C3}"/>
    <cellStyle name="Standard 6 5 20" xfId="10887" xr:uid="{00000000-0005-0000-0000-00008E2A0000}"/>
    <cellStyle name="Standard 6 5 20 2" xfId="10888" xr:uid="{00000000-0005-0000-0000-00008F2A0000}"/>
    <cellStyle name="Standard 6 5 20 2 2" xfId="22849" xr:uid="{EBECB6E5-6D83-4FE7-B0FF-4B192D94A46C}"/>
    <cellStyle name="Standard 6 5 20 3" xfId="22848" xr:uid="{F1765414-B4A4-4EDB-9B4D-573C8082A74C}"/>
    <cellStyle name="Standard 6 5 21" xfId="10889" xr:uid="{00000000-0005-0000-0000-0000902A0000}"/>
    <cellStyle name="Standard 6 5 21 2" xfId="22850" xr:uid="{6470ABF3-3CE5-44AC-872B-15AABB4CC1B1}"/>
    <cellStyle name="Standard 6 5 22" xfId="10890" xr:uid="{00000000-0005-0000-0000-0000912A0000}"/>
    <cellStyle name="Standard 6 5 22 2" xfId="22851" xr:uid="{0AF2A8D2-C952-4451-8E97-ECAF61E08A6F}"/>
    <cellStyle name="Standard 6 5 23" xfId="22695" xr:uid="{EB37BCB4-24B1-46EA-98C3-2FC877F50ADC}"/>
    <cellStyle name="Standard 6 5 3" xfId="10891" xr:uid="{00000000-0005-0000-0000-0000922A0000}"/>
    <cellStyle name="Standard 6 5 3 10" xfId="10892" xr:uid="{00000000-0005-0000-0000-0000932A0000}"/>
    <cellStyle name="Standard 6 5 3 10 2" xfId="22853" xr:uid="{CE8902F7-EA06-43C4-A4A1-38C442789FDA}"/>
    <cellStyle name="Standard 6 5 3 11" xfId="22852" xr:uid="{46740070-11F9-4A65-9C81-DD54B5DA8BF5}"/>
    <cellStyle name="Standard 6 5 3 2" xfId="10893" xr:uid="{00000000-0005-0000-0000-0000942A0000}"/>
    <cellStyle name="Standard 6 5 3 2 10" xfId="22854" xr:uid="{72C99013-C326-41DA-BCF9-658372F54612}"/>
    <cellStyle name="Standard 6 5 3 2 2" xfId="10894" xr:uid="{00000000-0005-0000-0000-0000952A0000}"/>
    <cellStyle name="Standard 6 5 3 2 2 2" xfId="10895" xr:uid="{00000000-0005-0000-0000-0000962A0000}"/>
    <cellStyle name="Standard 6 5 3 2 2 2 2" xfId="10896" xr:uid="{00000000-0005-0000-0000-0000972A0000}"/>
    <cellStyle name="Standard 6 5 3 2 2 2 2 2" xfId="22857" xr:uid="{DAB464EB-1F99-4107-8E6F-0E84A6BA6EFD}"/>
    <cellStyle name="Standard 6 5 3 2 2 2 3" xfId="22856" xr:uid="{1A550585-58C5-4CDA-8724-1CD716E8533D}"/>
    <cellStyle name="Standard 6 5 3 2 2 3" xfId="10897" xr:uid="{00000000-0005-0000-0000-0000982A0000}"/>
    <cellStyle name="Standard 6 5 3 2 2 3 2" xfId="22858" xr:uid="{8DCDC865-BF25-40B6-BF20-A56C4C78DD4F}"/>
    <cellStyle name="Standard 6 5 3 2 2 4" xfId="22855" xr:uid="{6E486D6C-B46A-4E92-98A8-8C8C31CDFF0C}"/>
    <cellStyle name="Standard 6 5 3 2 3" xfId="10898" xr:uid="{00000000-0005-0000-0000-0000992A0000}"/>
    <cellStyle name="Standard 6 5 3 2 3 2" xfId="10899" xr:uid="{00000000-0005-0000-0000-00009A2A0000}"/>
    <cellStyle name="Standard 6 5 3 2 3 2 2" xfId="10900" xr:uid="{00000000-0005-0000-0000-00009B2A0000}"/>
    <cellStyle name="Standard 6 5 3 2 3 2 2 2" xfId="22861" xr:uid="{836AA554-9FF3-4D04-9B38-B435B5D2F099}"/>
    <cellStyle name="Standard 6 5 3 2 3 2 3" xfId="22860" xr:uid="{3EF0A9A3-7857-49A2-8219-E043409F0131}"/>
    <cellStyle name="Standard 6 5 3 2 3 3" xfId="10901" xr:uid="{00000000-0005-0000-0000-00009C2A0000}"/>
    <cellStyle name="Standard 6 5 3 2 3 3 2" xfId="22862" xr:uid="{7AC90F12-7A52-4F31-A3CD-BFDB7C8B2E75}"/>
    <cellStyle name="Standard 6 5 3 2 3 4" xfId="22859" xr:uid="{AA0B0FB9-E65C-4624-A3B8-662D16557F4A}"/>
    <cellStyle name="Standard 6 5 3 2 4" xfId="10902" xr:uid="{00000000-0005-0000-0000-00009D2A0000}"/>
    <cellStyle name="Standard 6 5 3 2 4 2" xfId="10903" xr:uid="{00000000-0005-0000-0000-00009E2A0000}"/>
    <cellStyle name="Standard 6 5 3 2 4 2 2" xfId="10904" xr:uid="{00000000-0005-0000-0000-00009F2A0000}"/>
    <cellStyle name="Standard 6 5 3 2 4 2 2 2" xfId="22865" xr:uid="{7A9DB426-AB0E-443E-B299-2F77A9615973}"/>
    <cellStyle name="Standard 6 5 3 2 4 2 3" xfId="22864" xr:uid="{2484B950-27BB-4CDE-86B6-363044808127}"/>
    <cellStyle name="Standard 6 5 3 2 4 3" xfId="10905" xr:uid="{00000000-0005-0000-0000-0000A02A0000}"/>
    <cellStyle name="Standard 6 5 3 2 4 3 2" xfId="22866" xr:uid="{444FC20D-708D-4077-A155-543AF83F5089}"/>
    <cellStyle name="Standard 6 5 3 2 4 4" xfId="22863" xr:uid="{358DA756-2D6A-45B8-BBDA-EBFCEA88ED71}"/>
    <cellStyle name="Standard 6 5 3 2 5" xfId="10906" xr:uid="{00000000-0005-0000-0000-0000A12A0000}"/>
    <cellStyle name="Standard 6 5 3 2 5 2" xfId="10907" xr:uid="{00000000-0005-0000-0000-0000A22A0000}"/>
    <cellStyle name="Standard 6 5 3 2 5 2 2" xfId="10908" xr:uid="{00000000-0005-0000-0000-0000A32A0000}"/>
    <cellStyle name="Standard 6 5 3 2 5 2 2 2" xfId="22869" xr:uid="{F127CB0F-8ABE-4CB2-855E-468DFE6A36AE}"/>
    <cellStyle name="Standard 6 5 3 2 5 2 3" xfId="22868" xr:uid="{11B0138A-B155-4EC5-A5D4-B1B5BBC492EE}"/>
    <cellStyle name="Standard 6 5 3 2 5 3" xfId="10909" xr:uid="{00000000-0005-0000-0000-0000A42A0000}"/>
    <cellStyle name="Standard 6 5 3 2 5 3 2" xfId="22870" xr:uid="{ECFCE795-AD92-4B27-A305-03AE3D1BA751}"/>
    <cellStyle name="Standard 6 5 3 2 5 4" xfId="22867" xr:uid="{6F0FC505-1331-4585-9E66-2D071AEC6654}"/>
    <cellStyle name="Standard 6 5 3 2 6" xfId="10910" xr:uid="{00000000-0005-0000-0000-0000A52A0000}"/>
    <cellStyle name="Standard 6 5 3 2 6 2" xfId="10911" xr:uid="{00000000-0005-0000-0000-0000A62A0000}"/>
    <cellStyle name="Standard 6 5 3 2 6 2 2" xfId="10912" xr:uid="{00000000-0005-0000-0000-0000A72A0000}"/>
    <cellStyle name="Standard 6 5 3 2 6 2 2 2" xfId="22873" xr:uid="{601FF859-36B1-4273-9069-90C90247CFE9}"/>
    <cellStyle name="Standard 6 5 3 2 6 2 3" xfId="22872" xr:uid="{D33D2C16-EB13-4E9F-B9BF-CE2589CA8AD7}"/>
    <cellStyle name="Standard 6 5 3 2 6 3" xfId="10913" xr:uid="{00000000-0005-0000-0000-0000A82A0000}"/>
    <cellStyle name="Standard 6 5 3 2 6 3 2" xfId="22874" xr:uid="{5904DD10-2121-4DA6-95D5-A8E017585C6E}"/>
    <cellStyle name="Standard 6 5 3 2 6 4" xfId="22871" xr:uid="{85EACF4B-B638-4CBC-A25F-F54888018B0D}"/>
    <cellStyle name="Standard 6 5 3 2 7" xfId="10914" xr:uid="{00000000-0005-0000-0000-0000A92A0000}"/>
    <cellStyle name="Standard 6 5 3 2 7 2" xfId="10915" xr:uid="{00000000-0005-0000-0000-0000AA2A0000}"/>
    <cellStyle name="Standard 6 5 3 2 7 2 2" xfId="10916" xr:uid="{00000000-0005-0000-0000-0000AB2A0000}"/>
    <cellStyle name="Standard 6 5 3 2 7 2 2 2" xfId="22877" xr:uid="{8728A9D5-5224-43AA-9BF8-1E3B95262153}"/>
    <cellStyle name="Standard 6 5 3 2 7 2 3" xfId="22876" xr:uid="{B49F107A-3A9C-4CF4-86A0-8214BD7A5F32}"/>
    <cellStyle name="Standard 6 5 3 2 7 3" xfId="10917" xr:uid="{00000000-0005-0000-0000-0000AC2A0000}"/>
    <cellStyle name="Standard 6 5 3 2 7 3 2" xfId="22878" xr:uid="{CDA71614-5A65-4B63-94C2-146453C3317B}"/>
    <cellStyle name="Standard 6 5 3 2 7 4" xfId="22875" xr:uid="{BB6E4F13-2BDF-4654-92A4-EF34F1965E25}"/>
    <cellStyle name="Standard 6 5 3 2 8" xfId="10918" xr:uid="{00000000-0005-0000-0000-0000AD2A0000}"/>
    <cellStyle name="Standard 6 5 3 2 8 2" xfId="10919" xr:uid="{00000000-0005-0000-0000-0000AE2A0000}"/>
    <cellStyle name="Standard 6 5 3 2 8 2 2" xfId="22880" xr:uid="{7D57E622-10A9-431F-B346-DC071836D32E}"/>
    <cellStyle name="Standard 6 5 3 2 8 3" xfId="22879" xr:uid="{E791B79A-6084-4858-AE2C-BFF5D8478307}"/>
    <cellStyle name="Standard 6 5 3 2 9" xfId="10920" xr:uid="{00000000-0005-0000-0000-0000AF2A0000}"/>
    <cellStyle name="Standard 6 5 3 2 9 2" xfId="22881" xr:uid="{28003BA4-68CA-4DFE-8EFF-8322001B6E8F}"/>
    <cellStyle name="Standard 6 5 3 3" xfId="10921" xr:uid="{00000000-0005-0000-0000-0000B02A0000}"/>
    <cellStyle name="Standard 6 5 3 3 2" xfId="10922" xr:uid="{00000000-0005-0000-0000-0000B12A0000}"/>
    <cellStyle name="Standard 6 5 3 3 2 2" xfId="10923" xr:uid="{00000000-0005-0000-0000-0000B22A0000}"/>
    <cellStyle name="Standard 6 5 3 3 2 2 2" xfId="22884" xr:uid="{B8DB3E68-23E4-4690-8F48-3DA3E9F90956}"/>
    <cellStyle name="Standard 6 5 3 3 2 3" xfId="22883" xr:uid="{106B5E46-786E-40FA-AB33-68AFF1008704}"/>
    <cellStyle name="Standard 6 5 3 3 3" xfId="10924" xr:uid="{00000000-0005-0000-0000-0000B32A0000}"/>
    <cellStyle name="Standard 6 5 3 3 3 2" xfId="22885" xr:uid="{058B3E21-9975-4FD3-81F1-FE3ACE33A084}"/>
    <cellStyle name="Standard 6 5 3 3 4" xfId="22882" xr:uid="{FC9661B5-D9EA-4EA3-B99F-854C9429FEC8}"/>
    <cellStyle name="Standard 6 5 3 4" xfId="10925" xr:uid="{00000000-0005-0000-0000-0000B42A0000}"/>
    <cellStyle name="Standard 6 5 3 4 2" xfId="10926" xr:uid="{00000000-0005-0000-0000-0000B52A0000}"/>
    <cellStyle name="Standard 6 5 3 4 2 2" xfId="10927" xr:uid="{00000000-0005-0000-0000-0000B62A0000}"/>
    <cellStyle name="Standard 6 5 3 4 2 2 2" xfId="22888" xr:uid="{F718A27D-6196-4B67-92F7-EB6BFF2DC3D1}"/>
    <cellStyle name="Standard 6 5 3 4 2 3" xfId="22887" xr:uid="{350AE102-A4B9-45C6-9382-863F6FA15603}"/>
    <cellStyle name="Standard 6 5 3 4 3" xfId="10928" xr:uid="{00000000-0005-0000-0000-0000B72A0000}"/>
    <cellStyle name="Standard 6 5 3 4 3 2" xfId="22889" xr:uid="{3AEB6198-2D9E-41A3-B20D-C926486FC2D6}"/>
    <cellStyle name="Standard 6 5 3 4 4" xfId="22886" xr:uid="{518C2D5B-9147-44D5-AD63-12128BB16602}"/>
    <cellStyle name="Standard 6 5 3 5" xfId="10929" xr:uid="{00000000-0005-0000-0000-0000B82A0000}"/>
    <cellStyle name="Standard 6 5 3 5 2" xfId="10930" xr:uid="{00000000-0005-0000-0000-0000B92A0000}"/>
    <cellStyle name="Standard 6 5 3 5 2 2" xfId="10931" xr:uid="{00000000-0005-0000-0000-0000BA2A0000}"/>
    <cellStyle name="Standard 6 5 3 5 2 2 2" xfId="22892" xr:uid="{E7CEE767-2C25-4DD1-AAE6-E24F6AE1EBE1}"/>
    <cellStyle name="Standard 6 5 3 5 2 3" xfId="22891" xr:uid="{A05E1C2D-D747-48F3-9711-589B430FD636}"/>
    <cellStyle name="Standard 6 5 3 5 3" xfId="10932" xr:uid="{00000000-0005-0000-0000-0000BB2A0000}"/>
    <cellStyle name="Standard 6 5 3 5 3 2" xfId="22893" xr:uid="{D204BB48-26F0-4C9B-82BD-7BC702115C76}"/>
    <cellStyle name="Standard 6 5 3 5 4" xfId="22890" xr:uid="{E4599FA2-E8FD-4B19-897A-E6D535E773B1}"/>
    <cellStyle name="Standard 6 5 3 6" xfId="10933" xr:uid="{00000000-0005-0000-0000-0000BC2A0000}"/>
    <cellStyle name="Standard 6 5 3 6 2" xfId="10934" xr:uid="{00000000-0005-0000-0000-0000BD2A0000}"/>
    <cellStyle name="Standard 6 5 3 6 2 2" xfId="10935" xr:uid="{00000000-0005-0000-0000-0000BE2A0000}"/>
    <cellStyle name="Standard 6 5 3 6 2 2 2" xfId="22896" xr:uid="{6438D348-A61D-433E-AE41-8A7E568229B4}"/>
    <cellStyle name="Standard 6 5 3 6 2 3" xfId="22895" xr:uid="{4A38B384-3E16-4301-9E1C-0504A8D118E6}"/>
    <cellStyle name="Standard 6 5 3 6 3" xfId="10936" xr:uid="{00000000-0005-0000-0000-0000BF2A0000}"/>
    <cellStyle name="Standard 6 5 3 6 3 2" xfId="22897" xr:uid="{661BFE6F-3DEF-4196-A2A6-872FFC1F7F93}"/>
    <cellStyle name="Standard 6 5 3 6 4" xfId="22894" xr:uid="{FD173E45-909F-4777-8E6D-05770878EEB7}"/>
    <cellStyle name="Standard 6 5 3 7" xfId="10937" xr:uid="{00000000-0005-0000-0000-0000C02A0000}"/>
    <cellStyle name="Standard 6 5 3 7 2" xfId="10938" xr:uid="{00000000-0005-0000-0000-0000C12A0000}"/>
    <cellStyle name="Standard 6 5 3 7 2 2" xfId="10939" xr:uid="{00000000-0005-0000-0000-0000C22A0000}"/>
    <cellStyle name="Standard 6 5 3 7 2 2 2" xfId="22900" xr:uid="{5E2418B7-7DFB-426F-B66A-B8EF742CFC51}"/>
    <cellStyle name="Standard 6 5 3 7 2 3" xfId="22899" xr:uid="{73666F69-42EA-4F06-AFC8-4A969565FBA0}"/>
    <cellStyle name="Standard 6 5 3 7 3" xfId="10940" xr:uid="{00000000-0005-0000-0000-0000C32A0000}"/>
    <cellStyle name="Standard 6 5 3 7 3 2" xfId="22901" xr:uid="{8F2924BB-96DA-4984-B331-4912AE4A3253}"/>
    <cellStyle name="Standard 6 5 3 7 4" xfId="22898" xr:uid="{49163EB6-2AEA-4045-8B2E-B7E71DEBDDCF}"/>
    <cellStyle name="Standard 6 5 3 8" xfId="10941" xr:uid="{00000000-0005-0000-0000-0000C42A0000}"/>
    <cellStyle name="Standard 6 5 3 8 2" xfId="10942" xr:uid="{00000000-0005-0000-0000-0000C52A0000}"/>
    <cellStyle name="Standard 6 5 3 8 2 2" xfId="10943" xr:uid="{00000000-0005-0000-0000-0000C62A0000}"/>
    <cellStyle name="Standard 6 5 3 8 2 2 2" xfId="22904" xr:uid="{63F9BB8E-6E53-46AE-944C-14701C11CDCF}"/>
    <cellStyle name="Standard 6 5 3 8 2 3" xfId="22903" xr:uid="{2E9E375E-0B3F-4D41-907E-2ECAB3CECB47}"/>
    <cellStyle name="Standard 6 5 3 8 3" xfId="10944" xr:uid="{00000000-0005-0000-0000-0000C72A0000}"/>
    <cellStyle name="Standard 6 5 3 8 3 2" xfId="22905" xr:uid="{195AC404-8294-42A3-8E34-23F78ED75DAD}"/>
    <cellStyle name="Standard 6 5 3 8 4" xfId="22902" xr:uid="{57BAFEA9-6998-4F1A-9F96-5B532F482ADF}"/>
    <cellStyle name="Standard 6 5 3 9" xfId="10945" xr:uid="{00000000-0005-0000-0000-0000C82A0000}"/>
    <cellStyle name="Standard 6 5 3 9 2" xfId="10946" xr:uid="{00000000-0005-0000-0000-0000C92A0000}"/>
    <cellStyle name="Standard 6 5 3 9 2 2" xfId="22907" xr:uid="{B657A2CB-8913-44C2-B4E0-68BF71ED0018}"/>
    <cellStyle name="Standard 6 5 3 9 3" xfId="22906" xr:uid="{B0B558AD-A237-4D65-B495-8E3E37C45E00}"/>
    <cellStyle name="Standard 6 5 4" xfId="10947" xr:uid="{00000000-0005-0000-0000-0000CA2A0000}"/>
    <cellStyle name="Standard 6 5 4 10" xfId="10948" xr:uid="{00000000-0005-0000-0000-0000CB2A0000}"/>
    <cellStyle name="Standard 6 5 4 10 2" xfId="22909" xr:uid="{3B90EF06-88B7-44E1-BA2F-9C91A2D35A88}"/>
    <cellStyle name="Standard 6 5 4 11" xfId="22908" xr:uid="{80CFBE96-7810-4CC6-8F2B-AC5ADC7EC623}"/>
    <cellStyle name="Standard 6 5 4 2" xfId="10949" xr:uid="{00000000-0005-0000-0000-0000CC2A0000}"/>
    <cellStyle name="Standard 6 5 4 2 10" xfId="22910" xr:uid="{FBDF5B14-86E6-49E0-9ED4-F1C2B793B1A1}"/>
    <cellStyle name="Standard 6 5 4 2 2" xfId="10950" xr:uid="{00000000-0005-0000-0000-0000CD2A0000}"/>
    <cellStyle name="Standard 6 5 4 2 2 2" xfId="10951" xr:uid="{00000000-0005-0000-0000-0000CE2A0000}"/>
    <cellStyle name="Standard 6 5 4 2 2 2 2" xfId="10952" xr:uid="{00000000-0005-0000-0000-0000CF2A0000}"/>
    <cellStyle name="Standard 6 5 4 2 2 2 2 2" xfId="22913" xr:uid="{7EF6858D-AB87-4C75-B13C-074A3B53DFBA}"/>
    <cellStyle name="Standard 6 5 4 2 2 2 3" xfId="22912" xr:uid="{CD621655-4250-4157-8C47-726D319AF501}"/>
    <cellStyle name="Standard 6 5 4 2 2 3" xfId="10953" xr:uid="{00000000-0005-0000-0000-0000D02A0000}"/>
    <cellStyle name="Standard 6 5 4 2 2 3 2" xfId="22914" xr:uid="{EE4A0E7C-C649-47F3-BE87-48DB6C20936D}"/>
    <cellStyle name="Standard 6 5 4 2 2 4" xfId="22911" xr:uid="{A86454AC-A82A-4B0C-9884-0261384419F5}"/>
    <cellStyle name="Standard 6 5 4 2 3" xfId="10954" xr:uid="{00000000-0005-0000-0000-0000D12A0000}"/>
    <cellStyle name="Standard 6 5 4 2 3 2" xfId="10955" xr:uid="{00000000-0005-0000-0000-0000D22A0000}"/>
    <cellStyle name="Standard 6 5 4 2 3 2 2" xfId="10956" xr:uid="{00000000-0005-0000-0000-0000D32A0000}"/>
    <cellStyle name="Standard 6 5 4 2 3 2 2 2" xfId="22917" xr:uid="{2F345108-01D4-40D1-9ABD-4A6B5B917000}"/>
    <cellStyle name="Standard 6 5 4 2 3 2 3" xfId="22916" xr:uid="{F3CC279E-8D32-4C17-B842-CE41FA3971DB}"/>
    <cellStyle name="Standard 6 5 4 2 3 3" xfId="10957" xr:uid="{00000000-0005-0000-0000-0000D42A0000}"/>
    <cellStyle name="Standard 6 5 4 2 3 3 2" xfId="22918" xr:uid="{7CBCB068-255D-4651-92ED-ECE2D0E50707}"/>
    <cellStyle name="Standard 6 5 4 2 3 4" xfId="22915" xr:uid="{18164FB2-5E0E-4965-8846-DECED02DC838}"/>
    <cellStyle name="Standard 6 5 4 2 4" xfId="10958" xr:uid="{00000000-0005-0000-0000-0000D52A0000}"/>
    <cellStyle name="Standard 6 5 4 2 4 2" xfId="10959" xr:uid="{00000000-0005-0000-0000-0000D62A0000}"/>
    <cellStyle name="Standard 6 5 4 2 4 2 2" xfId="10960" xr:uid="{00000000-0005-0000-0000-0000D72A0000}"/>
    <cellStyle name="Standard 6 5 4 2 4 2 2 2" xfId="22921" xr:uid="{B980298C-5D2E-4FD6-AF52-EDCF0760E81F}"/>
    <cellStyle name="Standard 6 5 4 2 4 2 3" xfId="22920" xr:uid="{1EB76862-CD1D-4A91-9E18-E22216351A5E}"/>
    <cellStyle name="Standard 6 5 4 2 4 3" xfId="10961" xr:uid="{00000000-0005-0000-0000-0000D82A0000}"/>
    <cellStyle name="Standard 6 5 4 2 4 3 2" xfId="22922" xr:uid="{FF6EA96F-52FF-4CC0-BD3D-0F6D537F436F}"/>
    <cellStyle name="Standard 6 5 4 2 4 4" xfId="22919" xr:uid="{70331B51-60A3-40EA-910D-178044642CC0}"/>
    <cellStyle name="Standard 6 5 4 2 5" xfId="10962" xr:uid="{00000000-0005-0000-0000-0000D92A0000}"/>
    <cellStyle name="Standard 6 5 4 2 5 2" xfId="10963" xr:uid="{00000000-0005-0000-0000-0000DA2A0000}"/>
    <cellStyle name="Standard 6 5 4 2 5 2 2" xfId="10964" xr:uid="{00000000-0005-0000-0000-0000DB2A0000}"/>
    <cellStyle name="Standard 6 5 4 2 5 2 2 2" xfId="22925" xr:uid="{3005BD47-AC70-4543-8E7F-3F65574F91A5}"/>
    <cellStyle name="Standard 6 5 4 2 5 2 3" xfId="22924" xr:uid="{9A5DD96E-021E-42D9-9070-8BD2635B3F29}"/>
    <cellStyle name="Standard 6 5 4 2 5 3" xfId="10965" xr:uid="{00000000-0005-0000-0000-0000DC2A0000}"/>
    <cellStyle name="Standard 6 5 4 2 5 3 2" xfId="22926" xr:uid="{AEF74DF6-3264-42B5-B70C-888D27CC8116}"/>
    <cellStyle name="Standard 6 5 4 2 5 4" xfId="22923" xr:uid="{1652DC70-E453-4807-BDED-F3BD0F7CF1E4}"/>
    <cellStyle name="Standard 6 5 4 2 6" xfId="10966" xr:uid="{00000000-0005-0000-0000-0000DD2A0000}"/>
    <cellStyle name="Standard 6 5 4 2 6 2" xfId="10967" xr:uid="{00000000-0005-0000-0000-0000DE2A0000}"/>
    <cellStyle name="Standard 6 5 4 2 6 2 2" xfId="10968" xr:uid="{00000000-0005-0000-0000-0000DF2A0000}"/>
    <cellStyle name="Standard 6 5 4 2 6 2 2 2" xfId="22929" xr:uid="{81415EC2-E963-4133-81FB-09B4E61D88C1}"/>
    <cellStyle name="Standard 6 5 4 2 6 2 3" xfId="22928" xr:uid="{DFA49B45-B6DA-42C6-9A7E-DFFCF2C8B84D}"/>
    <cellStyle name="Standard 6 5 4 2 6 3" xfId="10969" xr:uid="{00000000-0005-0000-0000-0000E02A0000}"/>
    <cellStyle name="Standard 6 5 4 2 6 3 2" xfId="22930" xr:uid="{B60823CE-BC42-454B-8804-608F09C1E0F4}"/>
    <cellStyle name="Standard 6 5 4 2 6 4" xfId="22927" xr:uid="{18851A5A-7124-41B7-9426-1BD4BE4D0415}"/>
    <cellStyle name="Standard 6 5 4 2 7" xfId="10970" xr:uid="{00000000-0005-0000-0000-0000E12A0000}"/>
    <cellStyle name="Standard 6 5 4 2 7 2" xfId="10971" xr:uid="{00000000-0005-0000-0000-0000E22A0000}"/>
    <cellStyle name="Standard 6 5 4 2 7 2 2" xfId="10972" xr:uid="{00000000-0005-0000-0000-0000E32A0000}"/>
    <cellStyle name="Standard 6 5 4 2 7 2 2 2" xfId="22933" xr:uid="{DCC225B1-3B97-48B6-AC6B-3ED073C81151}"/>
    <cellStyle name="Standard 6 5 4 2 7 2 3" xfId="22932" xr:uid="{F2688ADC-7E4A-4441-B37C-46EE0A608A0D}"/>
    <cellStyle name="Standard 6 5 4 2 7 3" xfId="10973" xr:uid="{00000000-0005-0000-0000-0000E42A0000}"/>
    <cellStyle name="Standard 6 5 4 2 7 3 2" xfId="22934" xr:uid="{CB47C476-A577-47BA-8BA5-A6772B55453D}"/>
    <cellStyle name="Standard 6 5 4 2 7 4" xfId="22931" xr:uid="{5582B536-94B5-4798-8990-5E34E233DC45}"/>
    <cellStyle name="Standard 6 5 4 2 8" xfId="10974" xr:uid="{00000000-0005-0000-0000-0000E52A0000}"/>
    <cellStyle name="Standard 6 5 4 2 8 2" xfId="10975" xr:uid="{00000000-0005-0000-0000-0000E62A0000}"/>
    <cellStyle name="Standard 6 5 4 2 8 2 2" xfId="22936" xr:uid="{3C77557B-B5D2-4742-8ECF-0F355442C048}"/>
    <cellStyle name="Standard 6 5 4 2 8 3" xfId="22935" xr:uid="{395BA76F-7239-4ECD-AC04-004B521EF022}"/>
    <cellStyle name="Standard 6 5 4 2 9" xfId="10976" xr:uid="{00000000-0005-0000-0000-0000E72A0000}"/>
    <cellStyle name="Standard 6 5 4 2 9 2" xfId="22937" xr:uid="{7D981DBF-299D-4FC8-A8A0-E4041525E298}"/>
    <cellStyle name="Standard 6 5 4 3" xfId="10977" xr:uid="{00000000-0005-0000-0000-0000E82A0000}"/>
    <cellStyle name="Standard 6 5 4 3 2" xfId="10978" xr:uid="{00000000-0005-0000-0000-0000E92A0000}"/>
    <cellStyle name="Standard 6 5 4 3 2 2" xfId="10979" xr:uid="{00000000-0005-0000-0000-0000EA2A0000}"/>
    <cellStyle name="Standard 6 5 4 3 2 2 2" xfId="22940" xr:uid="{8431AB86-0FE7-48B5-A94C-407CE708E239}"/>
    <cellStyle name="Standard 6 5 4 3 2 3" xfId="22939" xr:uid="{24C96898-BC77-435B-AC5F-D57127ADEE32}"/>
    <cellStyle name="Standard 6 5 4 3 3" xfId="10980" xr:uid="{00000000-0005-0000-0000-0000EB2A0000}"/>
    <cellStyle name="Standard 6 5 4 3 3 2" xfId="22941" xr:uid="{FA45C57F-53C6-442D-8E27-48ED26EE3A9B}"/>
    <cellStyle name="Standard 6 5 4 3 4" xfId="22938" xr:uid="{BBC7708D-A436-4A8E-A45C-1F54106A845E}"/>
    <cellStyle name="Standard 6 5 4 4" xfId="10981" xr:uid="{00000000-0005-0000-0000-0000EC2A0000}"/>
    <cellStyle name="Standard 6 5 4 4 2" xfId="10982" xr:uid="{00000000-0005-0000-0000-0000ED2A0000}"/>
    <cellStyle name="Standard 6 5 4 4 2 2" xfId="10983" xr:uid="{00000000-0005-0000-0000-0000EE2A0000}"/>
    <cellStyle name="Standard 6 5 4 4 2 2 2" xfId="22944" xr:uid="{343C0A87-9E0A-45C4-8CBB-9940BC07CA7E}"/>
    <cellStyle name="Standard 6 5 4 4 2 3" xfId="22943" xr:uid="{E3A504D8-BF53-4EC4-B75F-37946A77D163}"/>
    <cellStyle name="Standard 6 5 4 4 3" xfId="10984" xr:uid="{00000000-0005-0000-0000-0000EF2A0000}"/>
    <cellStyle name="Standard 6 5 4 4 3 2" xfId="22945" xr:uid="{5EFBF3F5-5715-49DE-99D4-D85349342836}"/>
    <cellStyle name="Standard 6 5 4 4 4" xfId="22942" xr:uid="{901B67BA-77A2-4CF3-AFA3-332A6D7AC1D5}"/>
    <cellStyle name="Standard 6 5 4 5" xfId="10985" xr:uid="{00000000-0005-0000-0000-0000F02A0000}"/>
    <cellStyle name="Standard 6 5 4 5 2" xfId="10986" xr:uid="{00000000-0005-0000-0000-0000F12A0000}"/>
    <cellStyle name="Standard 6 5 4 5 2 2" xfId="10987" xr:uid="{00000000-0005-0000-0000-0000F22A0000}"/>
    <cellStyle name="Standard 6 5 4 5 2 2 2" xfId="22948" xr:uid="{696D540C-A762-4ACF-8E3F-F46B70293B1F}"/>
    <cellStyle name="Standard 6 5 4 5 2 3" xfId="22947" xr:uid="{D63076C1-E438-4DD3-92EF-7C974A84C490}"/>
    <cellStyle name="Standard 6 5 4 5 3" xfId="10988" xr:uid="{00000000-0005-0000-0000-0000F32A0000}"/>
    <cellStyle name="Standard 6 5 4 5 3 2" xfId="22949" xr:uid="{A21D4217-32B8-4974-868C-5AE79E08F941}"/>
    <cellStyle name="Standard 6 5 4 5 4" xfId="22946" xr:uid="{9CA15EEA-EF9C-4AA5-A62D-740B65ABA0F3}"/>
    <cellStyle name="Standard 6 5 4 6" xfId="10989" xr:uid="{00000000-0005-0000-0000-0000F42A0000}"/>
    <cellStyle name="Standard 6 5 4 6 2" xfId="10990" xr:uid="{00000000-0005-0000-0000-0000F52A0000}"/>
    <cellStyle name="Standard 6 5 4 6 2 2" xfId="10991" xr:uid="{00000000-0005-0000-0000-0000F62A0000}"/>
    <cellStyle name="Standard 6 5 4 6 2 2 2" xfId="22952" xr:uid="{97E3C219-247F-476F-B950-55E5121630D3}"/>
    <cellStyle name="Standard 6 5 4 6 2 3" xfId="22951" xr:uid="{185EDF92-5A00-4111-BD5B-AEC6BFDFF8A4}"/>
    <cellStyle name="Standard 6 5 4 6 3" xfId="10992" xr:uid="{00000000-0005-0000-0000-0000F72A0000}"/>
    <cellStyle name="Standard 6 5 4 6 3 2" xfId="22953" xr:uid="{45221B08-E2E7-466C-9E72-CDFFEF1D7265}"/>
    <cellStyle name="Standard 6 5 4 6 4" xfId="22950" xr:uid="{460C2B0D-49A6-4E62-B5E6-7FA82E84F040}"/>
    <cellStyle name="Standard 6 5 4 7" xfId="10993" xr:uid="{00000000-0005-0000-0000-0000F82A0000}"/>
    <cellStyle name="Standard 6 5 4 7 2" xfId="10994" xr:uid="{00000000-0005-0000-0000-0000F92A0000}"/>
    <cellStyle name="Standard 6 5 4 7 2 2" xfId="10995" xr:uid="{00000000-0005-0000-0000-0000FA2A0000}"/>
    <cellStyle name="Standard 6 5 4 7 2 2 2" xfId="22956" xr:uid="{78E1E085-DEB2-40BD-85B4-8D440902F34F}"/>
    <cellStyle name="Standard 6 5 4 7 2 3" xfId="22955" xr:uid="{D1084084-B854-4AD0-9656-2E4924A586A6}"/>
    <cellStyle name="Standard 6 5 4 7 3" xfId="10996" xr:uid="{00000000-0005-0000-0000-0000FB2A0000}"/>
    <cellStyle name="Standard 6 5 4 7 3 2" xfId="22957" xr:uid="{7DB544A8-2A7A-4C6B-9374-5090576B91CB}"/>
    <cellStyle name="Standard 6 5 4 7 4" xfId="22954" xr:uid="{8D4E2ACA-BEF5-45D7-99C6-F35F3B937EF3}"/>
    <cellStyle name="Standard 6 5 4 8" xfId="10997" xr:uid="{00000000-0005-0000-0000-0000FC2A0000}"/>
    <cellStyle name="Standard 6 5 4 8 2" xfId="10998" xr:uid="{00000000-0005-0000-0000-0000FD2A0000}"/>
    <cellStyle name="Standard 6 5 4 8 2 2" xfId="10999" xr:uid="{00000000-0005-0000-0000-0000FE2A0000}"/>
    <cellStyle name="Standard 6 5 4 8 2 2 2" xfId="22960" xr:uid="{E9663366-AA1D-4D2D-BE9E-FAC09601832C}"/>
    <cellStyle name="Standard 6 5 4 8 2 3" xfId="22959" xr:uid="{97421C74-0E81-419A-A669-92FC77928D16}"/>
    <cellStyle name="Standard 6 5 4 8 3" xfId="11000" xr:uid="{00000000-0005-0000-0000-0000FF2A0000}"/>
    <cellStyle name="Standard 6 5 4 8 3 2" xfId="22961" xr:uid="{7316B210-7B74-4475-9C51-1E63A949601D}"/>
    <cellStyle name="Standard 6 5 4 8 4" xfId="22958" xr:uid="{34EDD10C-89BE-4577-8D76-55DD57BF4921}"/>
    <cellStyle name="Standard 6 5 4 9" xfId="11001" xr:uid="{00000000-0005-0000-0000-0000002B0000}"/>
    <cellStyle name="Standard 6 5 4 9 2" xfId="11002" xr:uid="{00000000-0005-0000-0000-0000012B0000}"/>
    <cellStyle name="Standard 6 5 4 9 2 2" xfId="22963" xr:uid="{1F506A3A-09D9-47D8-9D68-F7C0668F6C40}"/>
    <cellStyle name="Standard 6 5 4 9 3" xfId="22962" xr:uid="{61FC0C3D-8D7E-4B0D-B0CC-280E3D45CA55}"/>
    <cellStyle name="Standard 6 5 5" xfId="11003" xr:uid="{00000000-0005-0000-0000-0000022B0000}"/>
    <cellStyle name="Standard 6 5 5 10" xfId="11004" xr:uid="{00000000-0005-0000-0000-0000032B0000}"/>
    <cellStyle name="Standard 6 5 5 10 2" xfId="22965" xr:uid="{B5751E4C-86EB-45F3-A926-D49E590CCB5C}"/>
    <cellStyle name="Standard 6 5 5 11" xfId="22964" xr:uid="{65593AF5-1127-4A2B-AED6-2C6B99A238CF}"/>
    <cellStyle name="Standard 6 5 5 2" xfId="11005" xr:uid="{00000000-0005-0000-0000-0000042B0000}"/>
    <cellStyle name="Standard 6 5 5 2 10" xfId="22966" xr:uid="{1FA8DF6B-D419-4D69-8810-E261FB5CBC7C}"/>
    <cellStyle name="Standard 6 5 5 2 2" xfId="11006" xr:uid="{00000000-0005-0000-0000-0000052B0000}"/>
    <cellStyle name="Standard 6 5 5 2 2 2" xfId="11007" xr:uid="{00000000-0005-0000-0000-0000062B0000}"/>
    <cellStyle name="Standard 6 5 5 2 2 2 2" xfId="11008" xr:uid="{00000000-0005-0000-0000-0000072B0000}"/>
    <cellStyle name="Standard 6 5 5 2 2 2 2 2" xfId="22969" xr:uid="{A04D39CB-76A3-4645-87E8-FA8D398347AA}"/>
    <cellStyle name="Standard 6 5 5 2 2 2 3" xfId="22968" xr:uid="{3743F101-5F04-4648-9B2C-076DCCE13620}"/>
    <cellStyle name="Standard 6 5 5 2 2 3" xfId="11009" xr:uid="{00000000-0005-0000-0000-0000082B0000}"/>
    <cellStyle name="Standard 6 5 5 2 2 3 2" xfId="22970" xr:uid="{5374DE9F-E55F-4459-9600-5CB6D7928651}"/>
    <cellStyle name="Standard 6 5 5 2 2 4" xfId="22967" xr:uid="{A63BDF52-DEA4-4905-871D-2F7D330F2957}"/>
    <cellStyle name="Standard 6 5 5 2 3" xfId="11010" xr:uid="{00000000-0005-0000-0000-0000092B0000}"/>
    <cellStyle name="Standard 6 5 5 2 3 2" xfId="11011" xr:uid="{00000000-0005-0000-0000-00000A2B0000}"/>
    <cellStyle name="Standard 6 5 5 2 3 2 2" xfId="11012" xr:uid="{00000000-0005-0000-0000-00000B2B0000}"/>
    <cellStyle name="Standard 6 5 5 2 3 2 2 2" xfId="22973" xr:uid="{AC98C72C-E4BA-42CA-8BC2-E06166338920}"/>
    <cellStyle name="Standard 6 5 5 2 3 2 3" xfId="22972" xr:uid="{FF3132C7-84B0-40B4-97E6-EA7A9BCE39D0}"/>
    <cellStyle name="Standard 6 5 5 2 3 3" xfId="11013" xr:uid="{00000000-0005-0000-0000-00000C2B0000}"/>
    <cellStyle name="Standard 6 5 5 2 3 3 2" xfId="22974" xr:uid="{105B7130-DD5B-428B-B93A-C97C7DDA4CE6}"/>
    <cellStyle name="Standard 6 5 5 2 3 4" xfId="22971" xr:uid="{24CD3BB5-3F2B-4E71-8967-91C1EBA05882}"/>
    <cellStyle name="Standard 6 5 5 2 4" xfId="11014" xr:uid="{00000000-0005-0000-0000-00000D2B0000}"/>
    <cellStyle name="Standard 6 5 5 2 4 2" xfId="11015" xr:uid="{00000000-0005-0000-0000-00000E2B0000}"/>
    <cellStyle name="Standard 6 5 5 2 4 2 2" xfId="11016" xr:uid="{00000000-0005-0000-0000-00000F2B0000}"/>
    <cellStyle name="Standard 6 5 5 2 4 2 2 2" xfId="22977" xr:uid="{4E182FFF-130B-435B-AD51-72143E872021}"/>
    <cellStyle name="Standard 6 5 5 2 4 2 3" xfId="22976" xr:uid="{98305680-EDC3-41BC-9C2B-9D29D8BF7803}"/>
    <cellStyle name="Standard 6 5 5 2 4 3" xfId="11017" xr:uid="{00000000-0005-0000-0000-0000102B0000}"/>
    <cellStyle name="Standard 6 5 5 2 4 3 2" xfId="22978" xr:uid="{B1D860D8-FE3B-49AA-8BEA-530881305A10}"/>
    <cellStyle name="Standard 6 5 5 2 4 4" xfId="22975" xr:uid="{00C57B38-8F52-472E-AF60-BA7DA449A19E}"/>
    <cellStyle name="Standard 6 5 5 2 5" xfId="11018" xr:uid="{00000000-0005-0000-0000-0000112B0000}"/>
    <cellStyle name="Standard 6 5 5 2 5 2" xfId="11019" xr:uid="{00000000-0005-0000-0000-0000122B0000}"/>
    <cellStyle name="Standard 6 5 5 2 5 2 2" xfId="11020" xr:uid="{00000000-0005-0000-0000-0000132B0000}"/>
    <cellStyle name="Standard 6 5 5 2 5 2 2 2" xfId="22981" xr:uid="{3BDE7D0E-785A-46BF-9F35-0B6F119F7AD2}"/>
    <cellStyle name="Standard 6 5 5 2 5 2 3" xfId="22980" xr:uid="{0198AECD-9C93-44FD-9E3D-AB4A5EB55010}"/>
    <cellStyle name="Standard 6 5 5 2 5 3" xfId="11021" xr:uid="{00000000-0005-0000-0000-0000142B0000}"/>
    <cellStyle name="Standard 6 5 5 2 5 3 2" xfId="22982" xr:uid="{9CAB82D1-2838-4F27-BB98-44833C65BE06}"/>
    <cellStyle name="Standard 6 5 5 2 5 4" xfId="22979" xr:uid="{7B74E695-06EB-4FE4-974F-CF4AA39E2BAC}"/>
    <cellStyle name="Standard 6 5 5 2 6" xfId="11022" xr:uid="{00000000-0005-0000-0000-0000152B0000}"/>
    <cellStyle name="Standard 6 5 5 2 6 2" xfId="11023" xr:uid="{00000000-0005-0000-0000-0000162B0000}"/>
    <cellStyle name="Standard 6 5 5 2 6 2 2" xfId="11024" xr:uid="{00000000-0005-0000-0000-0000172B0000}"/>
    <cellStyle name="Standard 6 5 5 2 6 2 2 2" xfId="22985" xr:uid="{BFD07523-6AE3-428B-94DF-08AA313C0482}"/>
    <cellStyle name="Standard 6 5 5 2 6 2 3" xfId="22984" xr:uid="{135C8512-AB24-40DA-A542-514114253285}"/>
    <cellStyle name="Standard 6 5 5 2 6 3" xfId="11025" xr:uid="{00000000-0005-0000-0000-0000182B0000}"/>
    <cellStyle name="Standard 6 5 5 2 6 3 2" xfId="22986" xr:uid="{F35C6413-79B8-470A-A0EF-D2A243F57069}"/>
    <cellStyle name="Standard 6 5 5 2 6 4" xfId="22983" xr:uid="{D9A96679-DF58-4800-BB4E-83631228675A}"/>
    <cellStyle name="Standard 6 5 5 2 7" xfId="11026" xr:uid="{00000000-0005-0000-0000-0000192B0000}"/>
    <cellStyle name="Standard 6 5 5 2 7 2" xfId="11027" xr:uid="{00000000-0005-0000-0000-00001A2B0000}"/>
    <cellStyle name="Standard 6 5 5 2 7 2 2" xfId="11028" xr:uid="{00000000-0005-0000-0000-00001B2B0000}"/>
    <cellStyle name="Standard 6 5 5 2 7 2 2 2" xfId="22989" xr:uid="{4E9FE9F1-D6D7-4E5B-AEB1-C772B765FD1C}"/>
    <cellStyle name="Standard 6 5 5 2 7 2 3" xfId="22988" xr:uid="{330F494F-9824-47C1-9758-8547B6850927}"/>
    <cellStyle name="Standard 6 5 5 2 7 3" xfId="11029" xr:uid="{00000000-0005-0000-0000-00001C2B0000}"/>
    <cellStyle name="Standard 6 5 5 2 7 3 2" xfId="22990" xr:uid="{CC7B07ED-F8B9-4B4C-BF20-900F4685DAFE}"/>
    <cellStyle name="Standard 6 5 5 2 7 4" xfId="22987" xr:uid="{C7BE392A-553A-4362-98CA-F5A631F4D654}"/>
    <cellStyle name="Standard 6 5 5 2 8" xfId="11030" xr:uid="{00000000-0005-0000-0000-00001D2B0000}"/>
    <cellStyle name="Standard 6 5 5 2 8 2" xfId="11031" xr:uid="{00000000-0005-0000-0000-00001E2B0000}"/>
    <cellStyle name="Standard 6 5 5 2 8 2 2" xfId="22992" xr:uid="{6BD6C257-43F7-453C-B145-DA4063CE1937}"/>
    <cellStyle name="Standard 6 5 5 2 8 3" xfId="22991" xr:uid="{E0E3A89B-B05F-4C3A-862A-F9588B250397}"/>
    <cellStyle name="Standard 6 5 5 2 9" xfId="11032" xr:uid="{00000000-0005-0000-0000-00001F2B0000}"/>
    <cellStyle name="Standard 6 5 5 2 9 2" xfId="22993" xr:uid="{25361A87-D3C3-44B7-8162-8A9BD505199A}"/>
    <cellStyle name="Standard 6 5 5 3" xfId="11033" xr:uid="{00000000-0005-0000-0000-0000202B0000}"/>
    <cellStyle name="Standard 6 5 5 3 2" xfId="11034" xr:uid="{00000000-0005-0000-0000-0000212B0000}"/>
    <cellStyle name="Standard 6 5 5 3 2 2" xfId="11035" xr:uid="{00000000-0005-0000-0000-0000222B0000}"/>
    <cellStyle name="Standard 6 5 5 3 2 2 2" xfId="22996" xr:uid="{D9E53484-3C5F-496B-9D79-5E8248B8D29D}"/>
    <cellStyle name="Standard 6 5 5 3 2 3" xfId="22995" xr:uid="{54A35E8F-4699-4B7B-BD36-6F12A5ACC215}"/>
    <cellStyle name="Standard 6 5 5 3 3" xfId="11036" xr:uid="{00000000-0005-0000-0000-0000232B0000}"/>
    <cellStyle name="Standard 6 5 5 3 3 2" xfId="22997" xr:uid="{9186E948-BC92-40FB-A5B2-40FB05300F2C}"/>
    <cellStyle name="Standard 6 5 5 3 4" xfId="22994" xr:uid="{A809C833-ED96-4097-97FC-75496C623AA7}"/>
    <cellStyle name="Standard 6 5 5 4" xfId="11037" xr:uid="{00000000-0005-0000-0000-0000242B0000}"/>
    <cellStyle name="Standard 6 5 5 4 2" xfId="11038" xr:uid="{00000000-0005-0000-0000-0000252B0000}"/>
    <cellStyle name="Standard 6 5 5 4 2 2" xfId="11039" xr:uid="{00000000-0005-0000-0000-0000262B0000}"/>
    <cellStyle name="Standard 6 5 5 4 2 2 2" xfId="23000" xr:uid="{A0A41F29-62CF-4AF0-BA3F-ECDE3A9FEF0C}"/>
    <cellStyle name="Standard 6 5 5 4 2 3" xfId="22999" xr:uid="{675C49B6-D60F-437D-BF22-E87459E864B3}"/>
    <cellStyle name="Standard 6 5 5 4 3" xfId="11040" xr:uid="{00000000-0005-0000-0000-0000272B0000}"/>
    <cellStyle name="Standard 6 5 5 4 3 2" xfId="23001" xr:uid="{3E7BA038-DEEC-49BD-BFAD-6080F5AD418A}"/>
    <cellStyle name="Standard 6 5 5 4 4" xfId="22998" xr:uid="{4143152E-FF61-4D97-828D-BC53B609156E}"/>
    <cellStyle name="Standard 6 5 5 5" xfId="11041" xr:uid="{00000000-0005-0000-0000-0000282B0000}"/>
    <cellStyle name="Standard 6 5 5 5 2" xfId="11042" xr:uid="{00000000-0005-0000-0000-0000292B0000}"/>
    <cellStyle name="Standard 6 5 5 5 2 2" xfId="11043" xr:uid="{00000000-0005-0000-0000-00002A2B0000}"/>
    <cellStyle name="Standard 6 5 5 5 2 2 2" xfId="23004" xr:uid="{5EC35AA4-8597-4C27-9928-17117E8EAC83}"/>
    <cellStyle name="Standard 6 5 5 5 2 3" xfId="23003" xr:uid="{C04B52C6-3844-4F97-B2E9-9D3F4B190BF9}"/>
    <cellStyle name="Standard 6 5 5 5 3" xfId="11044" xr:uid="{00000000-0005-0000-0000-00002B2B0000}"/>
    <cellStyle name="Standard 6 5 5 5 3 2" xfId="23005" xr:uid="{DD74F3A6-FCA2-4CC9-82E6-5A2BB4AA0963}"/>
    <cellStyle name="Standard 6 5 5 5 4" xfId="23002" xr:uid="{87CFAAA0-22FF-44DB-ACCF-F5C42AEF3332}"/>
    <cellStyle name="Standard 6 5 5 6" xfId="11045" xr:uid="{00000000-0005-0000-0000-00002C2B0000}"/>
    <cellStyle name="Standard 6 5 5 6 2" xfId="11046" xr:uid="{00000000-0005-0000-0000-00002D2B0000}"/>
    <cellStyle name="Standard 6 5 5 6 2 2" xfId="11047" xr:uid="{00000000-0005-0000-0000-00002E2B0000}"/>
    <cellStyle name="Standard 6 5 5 6 2 2 2" xfId="23008" xr:uid="{290D889C-CD09-45BC-A05F-03BA55802C0D}"/>
    <cellStyle name="Standard 6 5 5 6 2 3" xfId="23007" xr:uid="{CCFE3C5A-300C-43F6-BF1D-41958A188038}"/>
    <cellStyle name="Standard 6 5 5 6 3" xfId="11048" xr:uid="{00000000-0005-0000-0000-00002F2B0000}"/>
    <cellStyle name="Standard 6 5 5 6 3 2" xfId="23009" xr:uid="{B109EB91-95D2-40E8-9CC8-6CAEB7AD2BDB}"/>
    <cellStyle name="Standard 6 5 5 6 4" xfId="23006" xr:uid="{80BF41ED-B4A9-4B17-BAF4-DBC59DA3E490}"/>
    <cellStyle name="Standard 6 5 5 7" xfId="11049" xr:uid="{00000000-0005-0000-0000-0000302B0000}"/>
    <cellStyle name="Standard 6 5 5 7 2" xfId="11050" xr:uid="{00000000-0005-0000-0000-0000312B0000}"/>
    <cellStyle name="Standard 6 5 5 7 2 2" xfId="11051" xr:uid="{00000000-0005-0000-0000-0000322B0000}"/>
    <cellStyle name="Standard 6 5 5 7 2 2 2" xfId="23012" xr:uid="{00968EDC-8178-494B-94BB-3DDCC005D296}"/>
    <cellStyle name="Standard 6 5 5 7 2 3" xfId="23011" xr:uid="{F07261AA-B9CF-44EB-B886-E4C4A5B2D976}"/>
    <cellStyle name="Standard 6 5 5 7 3" xfId="11052" xr:uid="{00000000-0005-0000-0000-0000332B0000}"/>
    <cellStyle name="Standard 6 5 5 7 3 2" xfId="23013" xr:uid="{CD96FF6A-1A3A-442C-91AE-22A7DF2EE744}"/>
    <cellStyle name="Standard 6 5 5 7 4" xfId="23010" xr:uid="{6D0B6805-B188-4F03-B685-2064F5B42AC3}"/>
    <cellStyle name="Standard 6 5 5 8" xfId="11053" xr:uid="{00000000-0005-0000-0000-0000342B0000}"/>
    <cellStyle name="Standard 6 5 5 8 2" xfId="11054" xr:uid="{00000000-0005-0000-0000-0000352B0000}"/>
    <cellStyle name="Standard 6 5 5 8 2 2" xfId="11055" xr:uid="{00000000-0005-0000-0000-0000362B0000}"/>
    <cellStyle name="Standard 6 5 5 8 2 2 2" xfId="23016" xr:uid="{8409D9B2-AF2E-4BB1-9A46-81FC1722C4CF}"/>
    <cellStyle name="Standard 6 5 5 8 2 3" xfId="23015" xr:uid="{2BD62502-BB22-4121-8A47-05079C420432}"/>
    <cellStyle name="Standard 6 5 5 8 3" xfId="11056" xr:uid="{00000000-0005-0000-0000-0000372B0000}"/>
    <cellStyle name="Standard 6 5 5 8 3 2" xfId="23017" xr:uid="{1C730DE4-9BDB-4ABF-9056-8F347836DA15}"/>
    <cellStyle name="Standard 6 5 5 8 4" xfId="23014" xr:uid="{A07EE503-5134-47A4-8F81-426C8364F1A8}"/>
    <cellStyle name="Standard 6 5 5 9" xfId="11057" xr:uid="{00000000-0005-0000-0000-0000382B0000}"/>
    <cellStyle name="Standard 6 5 5 9 2" xfId="11058" xr:uid="{00000000-0005-0000-0000-0000392B0000}"/>
    <cellStyle name="Standard 6 5 5 9 2 2" xfId="23019" xr:uid="{E0AD78A9-4A5F-4BEB-ADFC-4BB63AD13C73}"/>
    <cellStyle name="Standard 6 5 5 9 3" xfId="23018" xr:uid="{1AAE0FAC-665B-4406-8FD0-DB7FC1E7B3FD}"/>
    <cellStyle name="Standard 6 5 6" xfId="11059" xr:uid="{00000000-0005-0000-0000-00003A2B0000}"/>
    <cellStyle name="Standard 6 5 6 10" xfId="11060" xr:uid="{00000000-0005-0000-0000-00003B2B0000}"/>
    <cellStyle name="Standard 6 5 6 10 2" xfId="23021" xr:uid="{3B32A86F-E0EA-406B-92D1-83BCABF40FF5}"/>
    <cellStyle name="Standard 6 5 6 11" xfId="23020" xr:uid="{7A8085F6-DD48-42EE-866B-6B146FC90E6C}"/>
    <cellStyle name="Standard 6 5 6 2" xfId="11061" xr:uid="{00000000-0005-0000-0000-00003C2B0000}"/>
    <cellStyle name="Standard 6 5 6 2 10" xfId="23022" xr:uid="{61CD1C70-9689-4A90-86BC-CC8C08586621}"/>
    <cellStyle name="Standard 6 5 6 2 2" xfId="11062" xr:uid="{00000000-0005-0000-0000-00003D2B0000}"/>
    <cellStyle name="Standard 6 5 6 2 2 2" xfId="11063" xr:uid="{00000000-0005-0000-0000-00003E2B0000}"/>
    <cellStyle name="Standard 6 5 6 2 2 2 2" xfId="11064" xr:uid="{00000000-0005-0000-0000-00003F2B0000}"/>
    <cellStyle name="Standard 6 5 6 2 2 2 2 2" xfId="23025" xr:uid="{51C1FF45-D0D6-4569-8A67-4C333D7A47FE}"/>
    <cellStyle name="Standard 6 5 6 2 2 2 3" xfId="23024" xr:uid="{2916C02B-07A5-44F1-AECA-A69717BA5D88}"/>
    <cellStyle name="Standard 6 5 6 2 2 3" xfId="11065" xr:uid="{00000000-0005-0000-0000-0000402B0000}"/>
    <cellStyle name="Standard 6 5 6 2 2 3 2" xfId="23026" xr:uid="{6497328C-715C-46E2-8C09-1F4AD5D187C3}"/>
    <cellStyle name="Standard 6 5 6 2 2 4" xfId="23023" xr:uid="{A2F77A9B-1D83-4C11-9ED0-3381CB6BFD81}"/>
    <cellStyle name="Standard 6 5 6 2 3" xfId="11066" xr:uid="{00000000-0005-0000-0000-0000412B0000}"/>
    <cellStyle name="Standard 6 5 6 2 3 2" xfId="11067" xr:uid="{00000000-0005-0000-0000-0000422B0000}"/>
    <cellStyle name="Standard 6 5 6 2 3 2 2" xfId="11068" xr:uid="{00000000-0005-0000-0000-0000432B0000}"/>
    <cellStyle name="Standard 6 5 6 2 3 2 2 2" xfId="23029" xr:uid="{28B9CE40-7731-45E3-8E92-A6E489D57EB5}"/>
    <cellStyle name="Standard 6 5 6 2 3 2 3" xfId="23028" xr:uid="{15B39146-1811-4AE9-876F-9FD669BD1648}"/>
    <cellStyle name="Standard 6 5 6 2 3 3" xfId="11069" xr:uid="{00000000-0005-0000-0000-0000442B0000}"/>
    <cellStyle name="Standard 6 5 6 2 3 3 2" xfId="23030" xr:uid="{11C0F26F-9F4C-46BD-973F-B7632910CF1C}"/>
    <cellStyle name="Standard 6 5 6 2 3 4" xfId="23027" xr:uid="{E232206D-6A5E-4E6D-B36F-B8224535E484}"/>
    <cellStyle name="Standard 6 5 6 2 4" xfId="11070" xr:uid="{00000000-0005-0000-0000-0000452B0000}"/>
    <cellStyle name="Standard 6 5 6 2 4 2" xfId="11071" xr:uid="{00000000-0005-0000-0000-0000462B0000}"/>
    <cellStyle name="Standard 6 5 6 2 4 2 2" xfId="11072" xr:uid="{00000000-0005-0000-0000-0000472B0000}"/>
    <cellStyle name="Standard 6 5 6 2 4 2 2 2" xfId="23033" xr:uid="{710FE5FD-9ECF-4129-B307-E299A5641F68}"/>
    <cellStyle name="Standard 6 5 6 2 4 2 3" xfId="23032" xr:uid="{5F376DD9-6D11-4F4E-8E4F-A3E1F23EAC49}"/>
    <cellStyle name="Standard 6 5 6 2 4 3" xfId="11073" xr:uid="{00000000-0005-0000-0000-0000482B0000}"/>
    <cellStyle name="Standard 6 5 6 2 4 3 2" xfId="23034" xr:uid="{195DF0B4-C64C-4CB5-B050-9E35EFDF15AF}"/>
    <cellStyle name="Standard 6 5 6 2 4 4" xfId="23031" xr:uid="{5AC675A7-DE89-4ED8-86FF-FD7A950522D7}"/>
    <cellStyle name="Standard 6 5 6 2 5" xfId="11074" xr:uid="{00000000-0005-0000-0000-0000492B0000}"/>
    <cellStyle name="Standard 6 5 6 2 5 2" xfId="11075" xr:uid="{00000000-0005-0000-0000-00004A2B0000}"/>
    <cellStyle name="Standard 6 5 6 2 5 2 2" xfId="11076" xr:uid="{00000000-0005-0000-0000-00004B2B0000}"/>
    <cellStyle name="Standard 6 5 6 2 5 2 2 2" xfId="23037" xr:uid="{D0CCF816-8D2E-4345-9901-B17459E2405F}"/>
    <cellStyle name="Standard 6 5 6 2 5 2 3" xfId="23036" xr:uid="{9B550BCD-6DC2-4D52-8815-BD4C6CBE9FA1}"/>
    <cellStyle name="Standard 6 5 6 2 5 3" xfId="11077" xr:uid="{00000000-0005-0000-0000-00004C2B0000}"/>
    <cellStyle name="Standard 6 5 6 2 5 3 2" xfId="23038" xr:uid="{0E694DAC-C681-48A8-9397-465035D2BF57}"/>
    <cellStyle name="Standard 6 5 6 2 5 4" xfId="23035" xr:uid="{8477DD16-7B7F-4765-B24E-E27906C282B4}"/>
    <cellStyle name="Standard 6 5 6 2 6" xfId="11078" xr:uid="{00000000-0005-0000-0000-00004D2B0000}"/>
    <cellStyle name="Standard 6 5 6 2 6 2" xfId="11079" xr:uid="{00000000-0005-0000-0000-00004E2B0000}"/>
    <cellStyle name="Standard 6 5 6 2 6 2 2" xfId="11080" xr:uid="{00000000-0005-0000-0000-00004F2B0000}"/>
    <cellStyle name="Standard 6 5 6 2 6 2 2 2" xfId="23041" xr:uid="{F3D77620-AD4D-4F4D-8075-FC139969C3E0}"/>
    <cellStyle name="Standard 6 5 6 2 6 2 3" xfId="23040" xr:uid="{6EAF456E-FA4D-48D3-A9F0-443CBD91F480}"/>
    <cellStyle name="Standard 6 5 6 2 6 3" xfId="11081" xr:uid="{00000000-0005-0000-0000-0000502B0000}"/>
    <cellStyle name="Standard 6 5 6 2 6 3 2" xfId="23042" xr:uid="{4742FE8C-EB83-4734-95F8-556A1575413C}"/>
    <cellStyle name="Standard 6 5 6 2 6 4" xfId="23039" xr:uid="{6FA62F7C-775C-4FF2-990C-794ED32E4A99}"/>
    <cellStyle name="Standard 6 5 6 2 7" xfId="11082" xr:uid="{00000000-0005-0000-0000-0000512B0000}"/>
    <cellStyle name="Standard 6 5 6 2 7 2" xfId="11083" xr:uid="{00000000-0005-0000-0000-0000522B0000}"/>
    <cellStyle name="Standard 6 5 6 2 7 2 2" xfId="11084" xr:uid="{00000000-0005-0000-0000-0000532B0000}"/>
    <cellStyle name="Standard 6 5 6 2 7 2 2 2" xfId="23045" xr:uid="{A9E0407B-D100-4A80-8A7C-F5223EE6CD28}"/>
    <cellStyle name="Standard 6 5 6 2 7 2 3" xfId="23044" xr:uid="{DF2476B1-7C34-4A82-BCC4-894A1B5E5878}"/>
    <cellStyle name="Standard 6 5 6 2 7 3" xfId="11085" xr:uid="{00000000-0005-0000-0000-0000542B0000}"/>
    <cellStyle name="Standard 6 5 6 2 7 3 2" xfId="23046" xr:uid="{22491DDD-0039-4212-8093-80A413FBEF8F}"/>
    <cellStyle name="Standard 6 5 6 2 7 4" xfId="23043" xr:uid="{8F13DE0A-8892-4721-A123-17B1EC382CEC}"/>
    <cellStyle name="Standard 6 5 6 2 8" xfId="11086" xr:uid="{00000000-0005-0000-0000-0000552B0000}"/>
    <cellStyle name="Standard 6 5 6 2 8 2" xfId="11087" xr:uid="{00000000-0005-0000-0000-0000562B0000}"/>
    <cellStyle name="Standard 6 5 6 2 8 2 2" xfId="23048" xr:uid="{4DF0E93B-752D-4945-B297-DA38D7413F7D}"/>
    <cellStyle name="Standard 6 5 6 2 8 3" xfId="23047" xr:uid="{3B3EC2ED-39B8-42BE-AFF9-485AEE59BE90}"/>
    <cellStyle name="Standard 6 5 6 2 9" xfId="11088" xr:uid="{00000000-0005-0000-0000-0000572B0000}"/>
    <cellStyle name="Standard 6 5 6 2 9 2" xfId="23049" xr:uid="{194352CB-1389-41CD-AAEE-21B2ADF2750B}"/>
    <cellStyle name="Standard 6 5 6 3" xfId="11089" xr:uid="{00000000-0005-0000-0000-0000582B0000}"/>
    <cellStyle name="Standard 6 5 6 3 2" xfId="11090" xr:uid="{00000000-0005-0000-0000-0000592B0000}"/>
    <cellStyle name="Standard 6 5 6 3 2 2" xfId="11091" xr:uid="{00000000-0005-0000-0000-00005A2B0000}"/>
    <cellStyle name="Standard 6 5 6 3 2 2 2" xfId="23052" xr:uid="{6F9434B2-B33C-4D77-9C2E-E7C0773D05DC}"/>
    <cellStyle name="Standard 6 5 6 3 2 3" xfId="23051" xr:uid="{FF3F754C-A966-4C7E-89D0-58EB0E467D1B}"/>
    <cellStyle name="Standard 6 5 6 3 3" xfId="11092" xr:uid="{00000000-0005-0000-0000-00005B2B0000}"/>
    <cellStyle name="Standard 6 5 6 3 3 2" xfId="23053" xr:uid="{3AB64EA2-F118-46E5-A19B-B13FF7434563}"/>
    <cellStyle name="Standard 6 5 6 3 4" xfId="23050" xr:uid="{D335F616-4F18-4671-9C4C-9483C645EAFC}"/>
    <cellStyle name="Standard 6 5 6 4" xfId="11093" xr:uid="{00000000-0005-0000-0000-00005C2B0000}"/>
    <cellStyle name="Standard 6 5 6 4 2" xfId="11094" xr:uid="{00000000-0005-0000-0000-00005D2B0000}"/>
    <cellStyle name="Standard 6 5 6 4 2 2" xfId="11095" xr:uid="{00000000-0005-0000-0000-00005E2B0000}"/>
    <cellStyle name="Standard 6 5 6 4 2 2 2" xfId="23056" xr:uid="{791ECB9D-1E1D-4E9F-AEB0-F359C53A4ABF}"/>
    <cellStyle name="Standard 6 5 6 4 2 3" xfId="23055" xr:uid="{47DFA77F-03E7-4E1F-91AF-A8701F6A370C}"/>
    <cellStyle name="Standard 6 5 6 4 3" xfId="11096" xr:uid="{00000000-0005-0000-0000-00005F2B0000}"/>
    <cellStyle name="Standard 6 5 6 4 3 2" xfId="23057" xr:uid="{B0CF8ACA-6238-4744-99F4-07721D047A92}"/>
    <cellStyle name="Standard 6 5 6 4 4" xfId="23054" xr:uid="{F90A94B2-5426-4BA5-AA84-FF8610EE49F5}"/>
    <cellStyle name="Standard 6 5 6 5" xfId="11097" xr:uid="{00000000-0005-0000-0000-0000602B0000}"/>
    <cellStyle name="Standard 6 5 6 5 2" xfId="11098" xr:uid="{00000000-0005-0000-0000-0000612B0000}"/>
    <cellStyle name="Standard 6 5 6 5 2 2" xfId="11099" xr:uid="{00000000-0005-0000-0000-0000622B0000}"/>
    <cellStyle name="Standard 6 5 6 5 2 2 2" xfId="23060" xr:uid="{FE5F382A-24D9-49FF-915B-866381E6D0B3}"/>
    <cellStyle name="Standard 6 5 6 5 2 3" xfId="23059" xr:uid="{18CEF96F-B709-402E-89C6-B693DE1421AF}"/>
    <cellStyle name="Standard 6 5 6 5 3" xfId="11100" xr:uid="{00000000-0005-0000-0000-0000632B0000}"/>
    <cellStyle name="Standard 6 5 6 5 3 2" xfId="23061" xr:uid="{7A181FD7-8FCA-46E7-A79B-333ED8287B66}"/>
    <cellStyle name="Standard 6 5 6 5 4" xfId="23058" xr:uid="{44910785-89F9-46AD-BB71-5ACC846B561C}"/>
    <cellStyle name="Standard 6 5 6 6" xfId="11101" xr:uid="{00000000-0005-0000-0000-0000642B0000}"/>
    <cellStyle name="Standard 6 5 6 6 2" xfId="11102" xr:uid="{00000000-0005-0000-0000-0000652B0000}"/>
    <cellStyle name="Standard 6 5 6 6 2 2" xfId="11103" xr:uid="{00000000-0005-0000-0000-0000662B0000}"/>
    <cellStyle name="Standard 6 5 6 6 2 2 2" xfId="23064" xr:uid="{D51889FB-EC7F-481D-9332-F1B364E8D2BB}"/>
    <cellStyle name="Standard 6 5 6 6 2 3" xfId="23063" xr:uid="{43D82E32-280F-4113-8B05-BCE0F1C06AB1}"/>
    <cellStyle name="Standard 6 5 6 6 3" xfId="11104" xr:uid="{00000000-0005-0000-0000-0000672B0000}"/>
    <cellStyle name="Standard 6 5 6 6 3 2" xfId="23065" xr:uid="{F7C4EBBD-5670-450C-80E4-88929B8F8582}"/>
    <cellStyle name="Standard 6 5 6 6 4" xfId="23062" xr:uid="{D56DE7FE-10F9-4965-9272-9FC9B7ACC419}"/>
    <cellStyle name="Standard 6 5 6 7" xfId="11105" xr:uid="{00000000-0005-0000-0000-0000682B0000}"/>
    <cellStyle name="Standard 6 5 6 7 2" xfId="11106" xr:uid="{00000000-0005-0000-0000-0000692B0000}"/>
    <cellStyle name="Standard 6 5 6 7 2 2" xfId="11107" xr:uid="{00000000-0005-0000-0000-00006A2B0000}"/>
    <cellStyle name="Standard 6 5 6 7 2 2 2" xfId="23068" xr:uid="{CEC23C17-9F96-4F2A-BC5C-364AFB0C206E}"/>
    <cellStyle name="Standard 6 5 6 7 2 3" xfId="23067" xr:uid="{0127624D-11B0-4552-AD2A-CD4B8C5747E5}"/>
    <cellStyle name="Standard 6 5 6 7 3" xfId="11108" xr:uid="{00000000-0005-0000-0000-00006B2B0000}"/>
    <cellStyle name="Standard 6 5 6 7 3 2" xfId="23069" xr:uid="{A481E7E3-F52D-4714-B42B-34CFE7C6A543}"/>
    <cellStyle name="Standard 6 5 6 7 4" xfId="23066" xr:uid="{AD5396A3-EE60-4C48-AD14-12A4A789CD07}"/>
    <cellStyle name="Standard 6 5 6 8" xfId="11109" xr:uid="{00000000-0005-0000-0000-00006C2B0000}"/>
    <cellStyle name="Standard 6 5 6 8 2" xfId="11110" xr:uid="{00000000-0005-0000-0000-00006D2B0000}"/>
    <cellStyle name="Standard 6 5 6 8 2 2" xfId="11111" xr:uid="{00000000-0005-0000-0000-00006E2B0000}"/>
    <cellStyle name="Standard 6 5 6 8 2 2 2" xfId="23072" xr:uid="{F1C859B6-3276-4238-BFDF-6D1029C1AE04}"/>
    <cellStyle name="Standard 6 5 6 8 2 3" xfId="23071" xr:uid="{A894B153-6CA4-43CF-9C1F-35074DF58159}"/>
    <cellStyle name="Standard 6 5 6 8 3" xfId="11112" xr:uid="{00000000-0005-0000-0000-00006F2B0000}"/>
    <cellStyle name="Standard 6 5 6 8 3 2" xfId="23073" xr:uid="{BCA20004-6CDD-48AF-B96D-44E37A7D1E7E}"/>
    <cellStyle name="Standard 6 5 6 8 4" xfId="23070" xr:uid="{14C933E3-8AF2-4176-A858-82FC9FB84466}"/>
    <cellStyle name="Standard 6 5 6 9" xfId="11113" xr:uid="{00000000-0005-0000-0000-0000702B0000}"/>
    <cellStyle name="Standard 6 5 6 9 2" xfId="11114" xr:uid="{00000000-0005-0000-0000-0000712B0000}"/>
    <cellStyle name="Standard 6 5 6 9 2 2" xfId="23075" xr:uid="{1AD29F10-B8AC-41DB-91DA-50565D12D6BE}"/>
    <cellStyle name="Standard 6 5 6 9 3" xfId="23074" xr:uid="{37E77AEE-795E-4273-8932-45828630EE0B}"/>
    <cellStyle name="Standard 6 5 7" xfId="11115" xr:uid="{00000000-0005-0000-0000-0000722B0000}"/>
    <cellStyle name="Standard 6 5 7 10" xfId="11116" xr:uid="{00000000-0005-0000-0000-0000732B0000}"/>
    <cellStyle name="Standard 6 5 7 10 2" xfId="23077" xr:uid="{01E99084-4707-45E6-BD68-D11141C10C74}"/>
    <cellStyle name="Standard 6 5 7 11" xfId="23076" xr:uid="{47DC6559-D56E-4228-AF8C-A23737D8F8BB}"/>
    <cellStyle name="Standard 6 5 7 2" xfId="11117" xr:uid="{00000000-0005-0000-0000-0000742B0000}"/>
    <cellStyle name="Standard 6 5 7 2 10" xfId="23078" xr:uid="{601D2D72-AF89-4BC7-86C7-8E92AB6E1A75}"/>
    <cellStyle name="Standard 6 5 7 2 2" xfId="11118" xr:uid="{00000000-0005-0000-0000-0000752B0000}"/>
    <cellStyle name="Standard 6 5 7 2 2 2" xfId="11119" xr:uid="{00000000-0005-0000-0000-0000762B0000}"/>
    <cellStyle name="Standard 6 5 7 2 2 2 2" xfId="11120" xr:uid="{00000000-0005-0000-0000-0000772B0000}"/>
    <cellStyle name="Standard 6 5 7 2 2 2 2 2" xfId="23081" xr:uid="{D743E7AF-EC4D-432D-8DC8-18561EAA39FB}"/>
    <cellStyle name="Standard 6 5 7 2 2 2 3" xfId="23080" xr:uid="{E823B93A-05D7-417E-8152-0E4448D42708}"/>
    <cellStyle name="Standard 6 5 7 2 2 3" xfId="11121" xr:uid="{00000000-0005-0000-0000-0000782B0000}"/>
    <cellStyle name="Standard 6 5 7 2 2 3 2" xfId="23082" xr:uid="{7D04A828-E2BB-4E65-95D6-3938EB1DB4D0}"/>
    <cellStyle name="Standard 6 5 7 2 2 4" xfId="23079" xr:uid="{2A1BF14B-39DD-435A-A37A-005303839B34}"/>
    <cellStyle name="Standard 6 5 7 2 3" xfId="11122" xr:uid="{00000000-0005-0000-0000-0000792B0000}"/>
    <cellStyle name="Standard 6 5 7 2 3 2" xfId="11123" xr:uid="{00000000-0005-0000-0000-00007A2B0000}"/>
    <cellStyle name="Standard 6 5 7 2 3 2 2" xfId="11124" xr:uid="{00000000-0005-0000-0000-00007B2B0000}"/>
    <cellStyle name="Standard 6 5 7 2 3 2 2 2" xfId="23085" xr:uid="{B93D43CC-E7D9-4986-A1F2-CCD56C23C918}"/>
    <cellStyle name="Standard 6 5 7 2 3 2 3" xfId="23084" xr:uid="{6F9F999A-0268-4E67-ACA6-29C129CC338C}"/>
    <cellStyle name="Standard 6 5 7 2 3 3" xfId="11125" xr:uid="{00000000-0005-0000-0000-00007C2B0000}"/>
    <cellStyle name="Standard 6 5 7 2 3 3 2" xfId="23086" xr:uid="{0CB50DC5-660F-4220-9F60-D10D8D3DCEE8}"/>
    <cellStyle name="Standard 6 5 7 2 3 4" xfId="23083" xr:uid="{0020AAC3-0CBA-42DB-939A-097AB6DCA1C7}"/>
    <cellStyle name="Standard 6 5 7 2 4" xfId="11126" xr:uid="{00000000-0005-0000-0000-00007D2B0000}"/>
    <cellStyle name="Standard 6 5 7 2 4 2" xfId="11127" xr:uid="{00000000-0005-0000-0000-00007E2B0000}"/>
    <cellStyle name="Standard 6 5 7 2 4 2 2" xfId="11128" xr:uid="{00000000-0005-0000-0000-00007F2B0000}"/>
    <cellStyle name="Standard 6 5 7 2 4 2 2 2" xfId="23089" xr:uid="{D2D9B776-58EA-4E7F-9741-E0179874D243}"/>
    <cellStyle name="Standard 6 5 7 2 4 2 3" xfId="23088" xr:uid="{F0A67D96-2507-4FA1-B30E-6C101E75E724}"/>
    <cellStyle name="Standard 6 5 7 2 4 3" xfId="11129" xr:uid="{00000000-0005-0000-0000-0000802B0000}"/>
    <cellStyle name="Standard 6 5 7 2 4 3 2" xfId="23090" xr:uid="{07FA766E-53AB-4495-AFD3-8D7AD3ED1AC0}"/>
    <cellStyle name="Standard 6 5 7 2 4 4" xfId="23087" xr:uid="{7ACC1218-75FA-49B4-B5E8-3A08FCA8B7AA}"/>
    <cellStyle name="Standard 6 5 7 2 5" xfId="11130" xr:uid="{00000000-0005-0000-0000-0000812B0000}"/>
    <cellStyle name="Standard 6 5 7 2 5 2" xfId="11131" xr:uid="{00000000-0005-0000-0000-0000822B0000}"/>
    <cellStyle name="Standard 6 5 7 2 5 2 2" xfId="11132" xr:uid="{00000000-0005-0000-0000-0000832B0000}"/>
    <cellStyle name="Standard 6 5 7 2 5 2 2 2" xfId="23093" xr:uid="{B804304C-D866-4D18-9F36-640DAD73010D}"/>
    <cellStyle name="Standard 6 5 7 2 5 2 3" xfId="23092" xr:uid="{FC0C27D7-6D66-4E4D-A26F-0095DEFC2B95}"/>
    <cellStyle name="Standard 6 5 7 2 5 3" xfId="11133" xr:uid="{00000000-0005-0000-0000-0000842B0000}"/>
    <cellStyle name="Standard 6 5 7 2 5 3 2" xfId="23094" xr:uid="{ADE50F02-D11C-4C94-8CBA-7FA810ED2F70}"/>
    <cellStyle name="Standard 6 5 7 2 5 4" xfId="23091" xr:uid="{BBB3428A-3F0B-401F-B441-038A59DD0CC3}"/>
    <cellStyle name="Standard 6 5 7 2 6" xfId="11134" xr:uid="{00000000-0005-0000-0000-0000852B0000}"/>
    <cellStyle name="Standard 6 5 7 2 6 2" xfId="11135" xr:uid="{00000000-0005-0000-0000-0000862B0000}"/>
    <cellStyle name="Standard 6 5 7 2 6 2 2" xfId="11136" xr:uid="{00000000-0005-0000-0000-0000872B0000}"/>
    <cellStyle name="Standard 6 5 7 2 6 2 2 2" xfId="23097" xr:uid="{A71B2924-AFFB-45B7-9AD5-691F92F5FB11}"/>
    <cellStyle name="Standard 6 5 7 2 6 2 3" xfId="23096" xr:uid="{EC697B1F-2D91-4C3E-AB01-DC2C9E05B3CF}"/>
    <cellStyle name="Standard 6 5 7 2 6 3" xfId="11137" xr:uid="{00000000-0005-0000-0000-0000882B0000}"/>
    <cellStyle name="Standard 6 5 7 2 6 3 2" xfId="23098" xr:uid="{2A6235CF-C9B1-43BE-8650-C859EB2D5AE0}"/>
    <cellStyle name="Standard 6 5 7 2 6 4" xfId="23095" xr:uid="{EF3D1FDD-FC42-40CC-8583-32D1509D4694}"/>
    <cellStyle name="Standard 6 5 7 2 7" xfId="11138" xr:uid="{00000000-0005-0000-0000-0000892B0000}"/>
    <cellStyle name="Standard 6 5 7 2 7 2" xfId="11139" xr:uid="{00000000-0005-0000-0000-00008A2B0000}"/>
    <cellStyle name="Standard 6 5 7 2 7 2 2" xfId="11140" xr:uid="{00000000-0005-0000-0000-00008B2B0000}"/>
    <cellStyle name="Standard 6 5 7 2 7 2 2 2" xfId="23101" xr:uid="{54DA364E-BCCB-4F15-A58C-56FF8515DC72}"/>
    <cellStyle name="Standard 6 5 7 2 7 2 3" xfId="23100" xr:uid="{64AD234B-18BE-42A1-B2FB-4E1FDA5510C5}"/>
    <cellStyle name="Standard 6 5 7 2 7 3" xfId="11141" xr:uid="{00000000-0005-0000-0000-00008C2B0000}"/>
    <cellStyle name="Standard 6 5 7 2 7 3 2" xfId="23102" xr:uid="{AD8031C9-D99F-4442-85D4-2DE448B8C9DF}"/>
    <cellStyle name="Standard 6 5 7 2 7 4" xfId="23099" xr:uid="{65E6F081-DC69-424D-8E1A-247A316673A2}"/>
    <cellStyle name="Standard 6 5 7 2 8" xfId="11142" xr:uid="{00000000-0005-0000-0000-00008D2B0000}"/>
    <cellStyle name="Standard 6 5 7 2 8 2" xfId="11143" xr:uid="{00000000-0005-0000-0000-00008E2B0000}"/>
    <cellStyle name="Standard 6 5 7 2 8 2 2" xfId="23104" xr:uid="{2457316C-C3E8-4294-AE2E-65F0F5A26CB1}"/>
    <cellStyle name="Standard 6 5 7 2 8 3" xfId="23103" xr:uid="{E7C22BA6-F9CA-40F6-BA3B-BC0894D0F882}"/>
    <cellStyle name="Standard 6 5 7 2 9" xfId="11144" xr:uid="{00000000-0005-0000-0000-00008F2B0000}"/>
    <cellStyle name="Standard 6 5 7 2 9 2" xfId="23105" xr:uid="{F6A7CB9C-744E-47AB-BC7F-14B08F053B42}"/>
    <cellStyle name="Standard 6 5 7 3" xfId="11145" xr:uid="{00000000-0005-0000-0000-0000902B0000}"/>
    <cellStyle name="Standard 6 5 7 3 2" xfId="11146" xr:uid="{00000000-0005-0000-0000-0000912B0000}"/>
    <cellStyle name="Standard 6 5 7 3 2 2" xfId="11147" xr:uid="{00000000-0005-0000-0000-0000922B0000}"/>
    <cellStyle name="Standard 6 5 7 3 2 2 2" xfId="23108" xr:uid="{0EEF3591-BE42-4131-A92E-451F19453637}"/>
    <cellStyle name="Standard 6 5 7 3 2 3" xfId="23107" xr:uid="{CF39AE39-C45F-4688-ABA0-BB910E26325C}"/>
    <cellStyle name="Standard 6 5 7 3 3" xfId="11148" xr:uid="{00000000-0005-0000-0000-0000932B0000}"/>
    <cellStyle name="Standard 6 5 7 3 3 2" xfId="23109" xr:uid="{5FD7FA2C-EBD6-4E79-AB18-B4E607E554CC}"/>
    <cellStyle name="Standard 6 5 7 3 4" xfId="23106" xr:uid="{E8B5779E-714E-4DC9-A985-6E7D146EC9C7}"/>
    <cellStyle name="Standard 6 5 7 4" xfId="11149" xr:uid="{00000000-0005-0000-0000-0000942B0000}"/>
    <cellStyle name="Standard 6 5 7 4 2" xfId="11150" xr:uid="{00000000-0005-0000-0000-0000952B0000}"/>
    <cellStyle name="Standard 6 5 7 4 2 2" xfId="11151" xr:uid="{00000000-0005-0000-0000-0000962B0000}"/>
    <cellStyle name="Standard 6 5 7 4 2 2 2" xfId="23112" xr:uid="{4D2DE077-41B1-4E53-8C8C-754CA88B5148}"/>
    <cellStyle name="Standard 6 5 7 4 2 3" xfId="23111" xr:uid="{563F85C4-4D56-444E-9CE3-1F33BC642F2A}"/>
    <cellStyle name="Standard 6 5 7 4 3" xfId="11152" xr:uid="{00000000-0005-0000-0000-0000972B0000}"/>
    <cellStyle name="Standard 6 5 7 4 3 2" xfId="23113" xr:uid="{EB6F3D76-FEAB-4FE9-A249-5349C508319C}"/>
    <cellStyle name="Standard 6 5 7 4 4" xfId="23110" xr:uid="{E4CB806F-8C3B-4C54-AD48-0F35D967983B}"/>
    <cellStyle name="Standard 6 5 7 5" xfId="11153" xr:uid="{00000000-0005-0000-0000-0000982B0000}"/>
    <cellStyle name="Standard 6 5 7 5 2" xfId="11154" xr:uid="{00000000-0005-0000-0000-0000992B0000}"/>
    <cellStyle name="Standard 6 5 7 5 2 2" xfId="11155" xr:uid="{00000000-0005-0000-0000-00009A2B0000}"/>
    <cellStyle name="Standard 6 5 7 5 2 2 2" xfId="23116" xr:uid="{B1C2718C-5C05-4950-B972-8A2870192677}"/>
    <cellStyle name="Standard 6 5 7 5 2 3" xfId="23115" xr:uid="{A1C9065C-A116-47DA-A21A-BCC51DE8F936}"/>
    <cellStyle name="Standard 6 5 7 5 3" xfId="11156" xr:uid="{00000000-0005-0000-0000-00009B2B0000}"/>
    <cellStyle name="Standard 6 5 7 5 3 2" xfId="23117" xr:uid="{E66AEBA3-D049-4892-873C-59DE8A1DE56A}"/>
    <cellStyle name="Standard 6 5 7 5 4" xfId="23114" xr:uid="{995B6E22-A064-4402-AAF9-BF1B59AA3743}"/>
    <cellStyle name="Standard 6 5 7 6" xfId="11157" xr:uid="{00000000-0005-0000-0000-00009C2B0000}"/>
    <cellStyle name="Standard 6 5 7 6 2" xfId="11158" xr:uid="{00000000-0005-0000-0000-00009D2B0000}"/>
    <cellStyle name="Standard 6 5 7 6 2 2" xfId="11159" xr:uid="{00000000-0005-0000-0000-00009E2B0000}"/>
    <cellStyle name="Standard 6 5 7 6 2 2 2" xfId="23120" xr:uid="{FFA8DDD3-7422-477A-AF25-670E5B22C1C4}"/>
    <cellStyle name="Standard 6 5 7 6 2 3" xfId="23119" xr:uid="{8FBB47B5-EEB0-490A-93D3-863418BCC15D}"/>
    <cellStyle name="Standard 6 5 7 6 3" xfId="11160" xr:uid="{00000000-0005-0000-0000-00009F2B0000}"/>
    <cellStyle name="Standard 6 5 7 6 3 2" xfId="23121" xr:uid="{7F1F531D-7B0C-489A-A34F-EB5E7E836A99}"/>
    <cellStyle name="Standard 6 5 7 6 4" xfId="23118" xr:uid="{66CC2D81-1AAB-4982-A91C-F3B2AE83300E}"/>
    <cellStyle name="Standard 6 5 7 7" xfId="11161" xr:uid="{00000000-0005-0000-0000-0000A02B0000}"/>
    <cellStyle name="Standard 6 5 7 7 2" xfId="11162" xr:uid="{00000000-0005-0000-0000-0000A12B0000}"/>
    <cellStyle name="Standard 6 5 7 7 2 2" xfId="11163" xr:uid="{00000000-0005-0000-0000-0000A22B0000}"/>
    <cellStyle name="Standard 6 5 7 7 2 2 2" xfId="23124" xr:uid="{7742CDA4-10C4-4F9C-97BA-39F6F5F46386}"/>
    <cellStyle name="Standard 6 5 7 7 2 3" xfId="23123" xr:uid="{02EB3C3B-47AE-4949-9DE0-C52A574D0BAF}"/>
    <cellStyle name="Standard 6 5 7 7 3" xfId="11164" xr:uid="{00000000-0005-0000-0000-0000A32B0000}"/>
    <cellStyle name="Standard 6 5 7 7 3 2" xfId="23125" xr:uid="{43528F1A-99A9-4652-868E-170B70C93E15}"/>
    <cellStyle name="Standard 6 5 7 7 4" xfId="23122" xr:uid="{092F0871-835D-497F-BC73-3EB4EC78BBB3}"/>
    <cellStyle name="Standard 6 5 7 8" xfId="11165" xr:uid="{00000000-0005-0000-0000-0000A42B0000}"/>
    <cellStyle name="Standard 6 5 7 8 2" xfId="11166" xr:uid="{00000000-0005-0000-0000-0000A52B0000}"/>
    <cellStyle name="Standard 6 5 7 8 2 2" xfId="11167" xr:uid="{00000000-0005-0000-0000-0000A62B0000}"/>
    <cellStyle name="Standard 6 5 7 8 2 2 2" xfId="23128" xr:uid="{C240E43C-4016-46ED-BEDD-6F09EE270FA4}"/>
    <cellStyle name="Standard 6 5 7 8 2 3" xfId="23127" xr:uid="{DDFB57BE-573B-4C78-96E0-5BA9F6AC72F7}"/>
    <cellStyle name="Standard 6 5 7 8 3" xfId="11168" xr:uid="{00000000-0005-0000-0000-0000A72B0000}"/>
    <cellStyle name="Standard 6 5 7 8 3 2" xfId="23129" xr:uid="{3A84EE39-EECD-48A9-BA13-53D86FE0982A}"/>
    <cellStyle name="Standard 6 5 7 8 4" xfId="23126" xr:uid="{21AB15E8-EC6E-4FB4-A9EF-ADDB20B89499}"/>
    <cellStyle name="Standard 6 5 7 9" xfId="11169" xr:uid="{00000000-0005-0000-0000-0000A82B0000}"/>
    <cellStyle name="Standard 6 5 7 9 2" xfId="11170" xr:uid="{00000000-0005-0000-0000-0000A92B0000}"/>
    <cellStyle name="Standard 6 5 7 9 2 2" xfId="23131" xr:uid="{28CD9DFB-4334-4C6A-B58F-AA768E6E20AD}"/>
    <cellStyle name="Standard 6 5 7 9 3" xfId="23130" xr:uid="{39FD4668-5F59-4083-B247-5B03AA9D4F5B}"/>
    <cellStyle name="Standard 6 5 8" xfId="11171" xr:uid="{00000000-0005-0000-0000-0000AA2B0000}"/>
    <cellStyle name="Standard 6 5 8 10" xfId="23132" xr:uid="{60F34AD4-DE67-4322-A020-EE6C2BEA10B9}"/>
    <cellStyle name="Standard 6 5 8 2" xfId="11172" xr:uid="{00000000-0005-0000-0000-0000AB2B0000}"/>
    <cellStyle name="Standard 6 5 8 2 2" xfId="11173" xr:uid="{00000000-0005-0000-0000-0000AC2B0000}"/>
    <cellStyle name="Standard 6 5 8 2 2 2" xfId="11174" xr:uid="{00000000-0005-0000-0000-0000AD2B0000}"/>
    <cellStyle name="Standard 6 5 8 2 2 2 2" xfId="23135" xr:uid="{E9DBC371-786F-4842-A1FB-05ED0374652C}"/>
    <cellStyle name="Standard 6 5 8 2 2 3" xfId="23134" xr:uid="{2E329CB0-591B-441B-A6E4-B0DD4EF4B857}"/>
    <cellStyle name="Standard 6 5 8 2 3" xfId="11175" xr:uid="{00000000-0005-0000-0000-0000AE2B0000}"/>
    <cellStyle name="Standard 6 5 8 2 3 2" xfId="23136" xr:uid="{1790ECA7-1929-497A-A8C1-455DD7DC5B34}"/>
    <cellStyle name="Standard 6 5 8 2 4" xfId="23133" xr:uid="{984F5BAF-E01E-47AA-B003-9B73E115BDDA}"/>
    <cellStyle name="Standard 6 5 8 3" xfId="11176" xr:uid="{00000000-0005-0000-0000-0000AF2B0000}"/>
    <cellStyle name="Standard 6 5 8 3 2" xfId="11177" xr:uid="{00000000-0005-0000-0000-0000B02B0000}"/>
    <cellStyle name="Standard 6 5 8 3 2 2" xfId="11178" xr:uid="{00000000-0005-0000-0000-0000B12B0000}"/>
    <cellStyle name="Standard 6 5 8 3 2 2 2" xfId="23139" xr:uid="{7DED533D-5767-42D3-A2BB-7CA889A53425}"/>
    <cellStyle name="Standard 6 5 8 3 2 3" xfId="23138" xr:uid="{A095F399-89EE-4AEE-8B05-E3636AFED4A5}"/>
    <cellStyle name="Standard 6 5 8 3 3" xfId="11179" xr:uid="{00000000-0005-0000-0000-0000B22B0000}"/>
    <cellStyle name="Standard 6 5 8 3 3 2" xfId="23140" xr:uid="{BB1A0454-13FB-4427-B3E0-0760D8F362EC}"/>
    <cellStyle name="Standard 6 5 8 3 4" xfId="23137" xr:uid="{8EA7FAC9-F7DD-4BFB-919F-351503EDA402}"/>
    <cellStyle name="Standard 6 5 8 4" xfId="11180" xr:uid="{00000000-0005-0000-0000-0000B32B0000}"/>
    <cellStyle name="Standard 6 5 8 4 2" xfId="11181" xr:uid="{00000000-0005-0000-0000-0000B42B0000}"/>
    <cellStyle name="Standard 6 5 8 4 2 2" xfId="11182" xr:uid="{00000000-0005-0000-0000-0000B52B0000}"/>
    <cellStyle name="Standard 6 5 8 4 2 2 2" xfId="23143" xr:uid="{57B86D50-AC52-4812-A36F-BC69EF5845A3}"/>
    <cellStyle name="Standard 6 5 8 4 2 3" xfId="23142" xr:uid="{63AD93DC-979F-49FC-97F7-C0BAEC48A360}"/>
    <cellStyle name="Standard 6 5 8 4 3" xfId="11183" xr:uid="{00000000-0005-0000-0000-0000B62B0000}"/>
    <cellStyle name="Standard 6 5 8 4 3 2" xfId="23144" xr:uid="{95379702-9AE2-4614-88FA-B07898FA58A1}"/>
    <cellStyle name="Standard 6 5 8 4 4" xfId="23141" xr:uid="{78695D3E-CB5D-4101-A099-537027CDFEC8}"/>
    <cellStyle name="Standard 6 5 8 5" xfId="11184" xr:uid="{00000000-0005-0000-0000-0000B72B0000}"/>
    <cellStyle name="Standard 6 5 8 5 2" xfId="11185" xr:uid="{00000000-0005-0000-0000-0000B82B0000}"/>
    <cellStyle name="Standard 6 5 8 5 2 2" xfId="11186" xr:uid="{00000000-0005-0000-0000-0000B92B0000}"/>
    <cellStyle name="Standard 6 5 8 5 2 2 2" xfId="23147" xr:uid="{84E5EA38-9859-484A-BF5E-4E5309D07C54}"/>
    <cellStyle name="Standard 6 5 8 5 2 3" xfId="23146" xr:uid="{E0A3B0C3-DA77-498B-9786-3233E85DACD7}"/>
    <cellStyle name="Standard 6 5 8 5 3" xfId="11187" xr:uid="{00000000-0005-0000-0000-0000BA2B0000}"/>
    <cellStyle name="Standard 6 5 8 5 3 2" xfId="23148" xr:uid="{E3E4ED6E-8285-438F-BA9A-21BC255A8A3E}"/>
    <cellStyle name="Standard 6 5 8 5 4" xfId="23145" xr:uid="{09F216B1-5E26-4621-8BB8-224A93ADA65B}"/>
    <cellStyle name="Standard 6 5 8 6" xfId="11188" xr:uid="{00000000-0005-0000-0000-0000BB2B0000}"/>
    <cellStyle name="Standard 6 5 8 6 2" xfId="11189" xr:uid="{00000000-0005-0000-0000-0000BC2B0000}"/>
    <cellStyle name="Standard 6 5 8 6 2 2" xfId="11190" xr:uid="{00000000-0005-0000-0000-0000BD2B0000}"/>
    <cellStyle name="Standard 6 5 8 6 2 2 2" xfId="23151" xr:uid="{06FEE9D4-EBE0-47B1-A4C5-5E5C8693F1BC}"/>
    <cellStyle name="Standard 6 5 8 6 2 3" xfId="23150" xr:uid="{78A17D83-E8F2-4D7B-8632-CD121000D32C}"/>
    <cellStyle name="Standard 6 5 8 6 3" xfId="11191" xr:uid="{00000000-0005-0000-0000-0000BE2B0000}"/>
    <cellStyle name="Standard 6 5 8 6 3 2" xfId="23152" xr:uid="{BF0C203D-393B-4502-AC97-F4508AC3302A}"/>
    <cellStyle name="Standard 6 5 8 6 4" xfId="23149" xr:uid="{BC5E5716-321C-4592-97EE-704E6A91B828}"/>
    <cellStyle name="Standard 6 5 8 7" xfId="11192" xr:uid="{00000000-0005-0000-0000-0000BF2B0000}"/>
    <cellStyle name="Standard 6 5 8 7 2" xfId="11193" xr:uid="{00000000-0005-0000-0000-0000C02B0000}"/>
    <cellStyle name="Standard 6 5 8 7 2 2" xfId="11194" xr:uid="{00000000-0005-0000-0000-0000C12B0000}"/>
    <cellStyle name="Standard 6 5 8 7 2 2 2" xfId="23155" xr:uid="{918E2EED-E063-4641-8EA1-88C4BF3872EE}"/>
    <cellStyle name="Standard 6 5 8 7 2 3" xfId="23154" xr:uid="{6F71CB76-DAB7-4570-9AB2-0DB0314431DE}"/>
    <cellStyle name="Standard 6 5 8 7 3" xfId="11195" xr:uid="{00000000-0005-0000-0000-0000C22B0000}"/>
    <cellStyle name="Standard 6 5 8 7 3 2" xfId="23156" xr:uid="{55807DDF-970B-4166-87B3-9574F11A0D74}"/>
    <cellStyle name="Standard 6 5 8 7 4" xfId="23153" xr:uid="{368E2E27-6046-4133-815E-1F4D9E7482C8}"/>
    <cellStyle name="Standard 6 5 8 8" xfId="11196" xr:uid="{00000000-0005-0000-0000-0000C32B0000}"/>
    <cellStyle name="Standard 6 5 8 8 2" xfId="11197" xr:uid="{00000000-0005-0000-0000-0000C42B0000}"/>
    <cellStyle name="Standard 6 5 8 8 2 2" xfId="23158" xr:uid="{40EA15A6-1FFE-48D5-82A1-83C7D2FF2557}"/>
    <cellStyle name="Standard 6 5 8 8 3" xfId="23157" xr:uid="{1979A140-5263-41BD-9569-7AAA52346032}"/>
    <cellStyle name="Standard 6 5 8 9" xfId="11198" xr:uid="{00000000-0005-0000-0000-0000C52B0000}"/>
    <cellStyle name="Standard 6 5 8 9 2" xfId="23159" xr:uid="{6DB84F3F-F258-4B3A-92A8-34D320A01CC2}"/>
    <cellStyle name="Standard 6 5 9" xfId="11199" xr:uid="{00000000-0005-0000-0000-0000C62B0000}"/>
    <cellStyle name="Standard 6 5 9 2" xfId="11200" xr:uid="{00000000-0005-0000-0000-0000C72B0000}"/>
    <cellStyle name="Standard 6 5 9 2 2" xfId="11201" xr:uid="{00000000-0005-0000-0000-0000C82B0000}"/>
    <cellStyle name="Standard 6 5 9 2 2 2" xfId="11202" xr:uid="{00000000-0005-0000-0000-0000C92B0000}"/>
    <cellStyle name="Standard 6 5 9 2 2 2 2" xfId="23163" xr:uid="{E1645A67-3A81-438B-A93F-904AB1F1663C}"/>
    <cellStyle name="Standard 6 5 9 2 2 3" xfId="23162" xr:uid="{56B13E4C-9A6D-4CFC-934A-D490A4DBEE1B}"/>
    <cellStyle name="Standard 6 5 9 2 3" xfId="11203" xr:uid="{00000000-0005-0000-0000-0000CA2B0000}"/>
    <cellStyle name="Standard 6 5 9 2 3 2" xfId="23164" xr:uid="{DD4D87F8-9E34-442B-AC69-A2E460E24A35}"/>
    <cellStyle name="Standard 6 5 9 2 4" xfId="23161" xr:uid="{373063FB-B5AB-41F3-A84F-E832CEFF328E}"/>
    <cellStyle name="Standard 6 5 9 3" xfId="11204" xr:uid="{00000000-0005-0000-0000-0000CB2B0000}"/>
    <cellStyle name="Standard 6 5 9 3 2" xfId="11205" xr:uid="{00000000-0005-0000-0000-0000CC2B0000}"/>
    <cellStyle name="Standard 6 5 9 3 2 2" xfId="11206" xr:uid="{00000000-0005-0000-0000-0000CD2B0000}"/>
    <cellStyle name="Standard 6 5 9 3 2 2 2" xfId="23167" xr:uid="{BC368944-D25C-44B5-AA11-F01077BE9CCB}"/>
    <cellStyle name="Standard 6 5 9 3 2 3" xfId="23166" xr:uid="{834FA6D2-EBE0-45A2-9984-6F79BCC565C0}"/>
    <cellStyle name="Standard 6 5 9 3 3" xfId="11207" xr:uid="{00000000-0005-0000-0000-0000CE2B0000}"/>
    <cellStyle name="Standard 6 5 9 3 3 2" xfId="23168" xr:uid="{61A6A8E7-68BE-4676-8590-2931AAE11DD6}"/>
    <cellStyle name="Standard 6 5 9 3 4" xfId="23165" xr:uid="{206F93F7-3D36-4DBC-92D1-DDBD3C8ACB5A}"/>
    <cellStyle name="Standard 6 5 9 4" xfId="11208" xr:uid="{00000000-0005-0000-0000-0000CF2B0000}"/>
    <cellStyle name="Standard 6 5 9 4 2" xfId="11209" xr:uid="{00000000-0005-0000-0000-0000D02B0000}"/>
    <cellStyle name="Standard 6 5 9 4 2 2" xfId="11210" xr:uid="{00000000-0005-0000-0000-0000D12B0000}"/>
    <cellStyle name="Standard 6 5 9 4 2 2 2" xfId="23171" xr:uid="{4A620C23-708F-4D1D-A958-42EEB4AFBD23}"/>
    <cellStyle name="Standard 6 5 9 4 2 3" xfId="23170" xr:uid="{9DD5A4E6-56DD-4DE1-BABA-BCD68C9F33A5}"/>
    <cellStyle name="Standard 6 5 9 4 3" xfId="11211" xr:uid="{00000000-0005-0000-0000-0000D22B0000}"/>
    <cellStyle name="Standard 6 5 9 4 3 2" xfId="23172" xr:uid="{1692956E-743E-4AC1-A206-6E33899C928B}"/>
    <cellStyle name="Standard 6 5 9 4 4" xfId="23169" xr:uid="{67115CD6-7A33-48B7-91F3-BA3867DFCCF7}"/>
    <cellStyle name="Standard 6 5 9 5" xfId="11212" xr:uid="{00000000-0005-0000-0000-0000D32B0000}"/>
    <cellStyle name="Standard 6 5 9 5 2" xfId="11213" xr:uid="{00000000-0005-0000-0000-0000D42B0000}"/>
    <cellStyle name="Standard 6 5 9 5 2 2" xfId="11214" xr:uid="{00000000-0005-0000-0000-0000D52B0000}"/>
    <cellStyle name="Standard 6 5 9 5 2 2 2" xfId="23175" xr:uid="{41302E85-CC46-4E84-8BFC-9BAF69B1C9FA}"/>
    <cellStyle name="Standard 6 5 9 5 2 3" xfId="23174" xr:uid="{4DCA8F84-614D-4DEB-A7F8-8F85577F43D4}"/>
    <cellStyle name="Standard 6 5 9 5 3" xfId="11215" xr:uid="{00000000-0005-0000-0000-0000D62B0000}"/>
    <cellStyle name="Standard 6 5 9 5 3 2" xfId="23176" xr:uid="{294CB537-7C68-4314-AB91-83E1AEFBC6BF}"/>
    <cellStyle name="Standard 6 5 9 5 4" xfId="23173" xr:uid="{D6F52C42-E0AF-4BB6-8462-AB4F393D2762}"/>
    <cellStyle name="Standard 6 5 9 6" xfId="11216" xr:uid="{00000000-0005-0000-0000-0000D72B0000}"/>
    <cellStyle name="Standard 6 5 9 6 2" xfId="11217" xr:uid="{00000000-0005-0000-0000-0000D82B0000}"/>
    <cellStyle name="Standard 6 5 9 6 2 2" xfId="11218" xr:uid="{00000000-0005-0000-0000-0000D92B0000}"/>
    <cellStyle name="Standard 6 5 9 6 2 2 2" xfId="23179" xr:uid="{D257A46D-5BD7-4345-A562-8944318DEAF9}"/>
    <cellStyle name="Standard 6 5 9 6 2 3" xfId="23178" xr:uid="{3D643E1C-A391-4200-864C-8CE163635F89}"/>
    <cellStyle name="Standard 6 5 9 6 3" xfId="11219" xr:uid="{00000000-0005-0000-0000-0000DA2B0000}"/>
    <cellStyle name="Standard 6 5 9 6 3 2" xfId="23180" xr:uid="{40A750BC-EA9C-40DB-85D1-D16AC879C4E1}"/>
    <cellStyle name="Standard 6 5 9 6 4" xfId="23177" xr:uid="{2AAD847E-D8B4-4A7A-9C03-836F3047D4ED}"/>
    <cellStyle name="Standard 6 5 9 7" xfId="11220" xr:uid="{00000000-0005-0000-0000-0000DB2B0000}"/>
    <cellStyle name="Standard 6 5 9 7 2" xfId="11221" xr:uid="{00000000-0005-0000-0000-0000DC2B0000}"/>
    <cellStyle name="Standard 6 5 9 7 2 2" xfId="23182" xr:uid="{18DC73FA-3886-449F-BFA0-F875CDD38B03}"/>
    <cellStyle name="Standard 6 5 9 7 3" xfId="23181" xr:uid="{75ED63FB-D190-422D-96DB-0D7E0D7B7BBD}"/>
    <cellStyle name="Standard 6 5 9 8" xfId="11222" xr:uid="{00000000-0005-0000-0000-0000DD2B0000}"/>
    <cellStyle name="Standard 6 5 9 8 2" xfId="23183" xr:uid="{8F0D1C25-B9BD-443E-8DCE-38FE2FB59BE8}"/>
    <cellStyle name="Standard 6 5 9 9" xfId="23160" xr:uid="{53F4AA6B-1E6C-4EFA-8419-57E9C64FBC91}"/>
    <cellStyle name="Standard 6 6" xfId="11223" xr:uid="{00000000-0005-0000-0000-0000DE2B0000}"/>
    <cellStyle name="Standard 6 6 10" xfId="11224" xr:uid="{00000000-0005-0000-0000-0000DF2B0000}"/>
    <cellStyle name="Standard 6 6 10 2" xfId="11225" xr:uid="{00000000-0005-0000-0000-0000E02B0000}"/>
    <cellStyle name="Standard 6 6 10 2 2" xfId="11226" xr:uid="{00000000-0005-0000-0000-0000E12B0000}"/>
    <cellStyle name="Standard 6 6 10 2 2 2" xfId="23187" xr:uid="{5BB7E27D-419E-4451-98EA-2E5D90E0AEE6}"/>
    <cellStyle name="Standard 6 6 10 2 3" xfId="23186" xr:uid="{1235E6C4-CCEA-4570-886E-001B78B61B07}"/>
    <cellStyle name="Standard 6 6 10 3" xfId="11227" xr:uid="{00000000-0005-0000-0000-0000E22B0000}"/>
    <cellStyle name="Standard 6 6 10 3 2" xfId="23188" xr:uid="{E05956F1-96CA-46C3-9C0A-B20EEE6C3D61}"/>
    <cellStyle name="Standard 6 6 10 4" xfId="23185" xr:uid="{822FB5D9-877D-489D-8AEF-6603CCD2B020}"/>
    <cellStyle name="Standard 6 6 11" xfId="11228" xr:uid="{00000000-0005-0000-0000-0000E32B0000}"/>
    <cellStyle name="Standard 6 6 11 2" xfId="11229" xr:uid="{00000000-0005-0000-0000-0000E42B0000}"/>
    <cellStyle name="Standard 6 6 11 2 2" xfId="11230" xr:uid="{00000000-0005-0000-0000-0000E52B0000}"/>
    <cellStyle name="Standard 6 6 11 2 2 2" xfId="23191" xr:uid="{766B6FE0-A478-43AF-A082-C2B8F03C8DB4}"/>
    <cellStyle name="Standard 6 6 11 2 3" xfId="23190" xr:uid="{19B7E719-871A-45BA-B875-6E54E877BF2F}"/>
    <cellStyle name="Standard 6 6 11 3" xfId="11231" xr:uid="{00000000-0005-0000-0000-0000E62B0000}"/>
    <cellStyle name="Standard 6 6 11 3 2" xfId="23192" xr:uid="{E0B3A159-3236-427F-9018-A15690F33BD0}"/>
    <cellStyle name="Standard 6 6 11 4" xfId="23189" xr:uid="{A31DAAA3-B8B7-49BD-8579-F0A332206C4C}"/>
    <cellStyle name="Standard 6 6 12" xfId="11232" xr:uid="{00000000-0005-0000-0000-0000E72B0000}"/>
    <cellStyle name="Standard 6 6 12 2" xfId="11233" xr:uid="{00000000-0005-0000-0000-0000E82B0000}"/>
    <cellStyle name="Standard 6 6 12 2 2" xfId="11234" xr:uid="{00000000-0005-0000-0000-0000E92B0000}"/>
    <cellStyle name="Standard 6 6 12 2 2 2" xfId="23195" xr:uid="{A271E5AB-1BCF-43F6-B490-195088FB3162}"/>
    <cellStyle name="Standard 6 6 12 2 3" xfId="23194" xr:uid="{31805FD7-C06C-4AB3-9018-2B77EBF47CCB}"/>
    <cellStyle name="Standard 6 6 12 3" xfId="11235" xr:uid="{00000000-0005-0000-0000-0000EA2B0000}"/>
    <cellStyle name="Standard 6 6 12 3 2" xfId="23196" xr:uid="{F657373F-907E-4FED-A778-B1226A970C4B}"/>
    <cellStyle name="Standard 6 6 12 4" xfId="23193" xr:uid="{563D3DF8-8C75-4EC5-8C1E-DE73428BE239}"/>
    <cellStyle name="Standard 6 6 13" xfId="11236" xr:uid="{00000000-0005-0000-0000-0000EB2B0000}"/>
    <cellStyle name="Standard 6 6 13 2" xfId="11237" xr:uid="{00000000-0005-0000-0000-0000EC2B0000}"/>
    <cellStyle name="Standard 6 6 13 2 2" xfId="11238" xr:uid="{00000000-0005-0000-0000-0000ED2B0000}"/>
    <cellStyle name="Standard 6 6 13 2 2 2" xfId="23199" xr:uid="{01D4778D-E75A-4047-A928-397B6EE93BE9}"/>
    <cellStyle name="Standard 6 6 13 2 3" xfId="23198" xr:uid="{280A6B95-A76B-4254-9000-0F471B7CF547}"/>
    <cellStyle name="Standard 6 6 13 3" xfId="11239" xr:uid="{00000000-0005-0000-0000-0000EE2B0000}"/>
    <cellStyle name="Standard 6 6 13 3 2" xfId="23200" xr:uid="{882161DE-3FB3-49D7-BA90-2379B8BA0480}"/>
    <cellStyle name="Standard 6 6 13 4" xfId="23197" xr:uid="{9A4E7565-976D-432B-9CB9-417252DF0B07}"/>
    <cellStyle name="Standard 6 6 14" xfId="11240" xr:uid="{00000000-0005-0000-0000-0000EF2B0000}"/>
    <cellStyle name="Standard 6 6 14 2" xfId="11241" xr:uid="{00000000-0005-0000-0000-0000F02B0000}"/>
    <cellStyle name="Standard 6 6 14 2 2" xfId="11242" xr:uid="{00000000-0005-0000-0000-0000F12B0000}"/>
    <cellStyle name="Standard 6 6 14 2 2 2" xfId="23203" xr:uid="{624D8143-27C8-4C04-91FB-00C0C0467E87}"/>
    <cellStyle name="Standard 6 6 14 2 3" xfId="23202" xr:uid="{64ADD8A1-2B67-4C29-8996-5C395208385F}"/>
    <cellStyle name="Standard 6 6 14 3" xfId="11243" xr:uid="{00000000-0005-0000-0000-0000F22B0000}"/>
    <cellStyle name="Standard 6 6 14 3 2" xfId="23204" xr:uid="{4B5084E5-19D3-4B49-A61E-EF7A108B24BB}"/>
    <cellStyle name="Standard 6 6 14 4" xfId="23201" xr:uid="{F3BB2EAB-4182-45A9-AAA2-13D080DDB130}"/>
    <cellStyle name="Standard 6 6 15" xfId="11244" xr:uid="{00000000-0005-0000-0000-0000F32B0000}"/>
    <cellStyle name="Standard 6 6 15 2" xfId="11245" xr:uid="{00000000-0005-0000-0000-0000F42B0000}"/>
    <cellStyle name="Standard 6 6 15 2 2" xfId="11246" xr:uid="{00000000-0005-0000-0000-0000F52B0000}"/>
    <cellStyle name="Standard 6 6 15 2 2 2" xfId="23207" xr:uid="{32D1FC95-F90D-4E99-8013-B546319B3244}"/>
    <cellStyle name="Standard 6 6 15 2 3" xfId="23206" xr:uid="{94E70A07-3918-42E0-BC63-9944C7971280}"/>
    <cellStyle name="Standard 6 6 15 3" xfId="11247" xr:uid="{00000000-0005-0000-0000-0000F62B0000}"/>
    <cellStyle name="Standard 6 6 15 3 2" xfId="23208" xr:uid="{CCEE2B13-C9BB-495E-AF2E-B501215B2E75}"/>
    <cellStyle name="Standard 6 6 15 4" xfId="23205" xr:uid="{EB162A9C-9A10-422F-93D9-80FE726EB46E}"/>
    <cellStyle name="Standard 6 6 16" xfId="11248" xr:uid="{00000000-0005-0000-0000-0000F72B0000}"/>
    <cellStyle name="Standard 6 6 16 2" xfId="11249" xr:uid="{00000000-0005-0000-0000-0000F82B0000}"/>
    <cellStyle name="Standard 6 6 16 2 2" xfId="11250" xr:uid="{00000000-0005-0000-0000-0000F92B0000}"/>
    <cellStyle name="Standard 6 6 16 2 2 2" xfId="23211" xr:uid="{83400B24-D1E1-4898-9648-4BA874505E17}"/>
    <cellStyle name="Standard 6 6 16 2 3" xfId="23210" xr:uid="{268AD781-C866-4E7C-80AF-B94CA6248D81}"/>
    <cellStyle name="Standard 6 6 16 3" xfId="11251" xr:uid="{00000000-0005-0000-0000-0000FA2B0000}"/>
    <cellStyle name="Standard 6 6 16 3 2" xfId="23212" xr:uid="{AC01B877-A1D1-49F9-8EE1-CAD3CA56C698}"/>
    <cellStyle name="Standard 6 6 16 4" xfId="23209" xr:uid="{4AC69D84-DC80-4C42-B25F-65C48825835C}"/>
    <cellStyle name="Standard 6 6 17" xfId="11252" xr:uid="{00000000-0005-0000-0000-0000FB2B0000}"/>
    <cellStyle name="Standard 6 6 17 2" xfId="11253" xr:uid="{00000000-0005-0000-0000-0000FC2B0000}"/>
    <cellStyle name="Standard 6 6 17 2 2" xfId="11254" xr:uid="{00000000-0005-0000-0000-0000FD2B0000}"/>
    <cellStyle name="Standard 6 6 17 2 2 2" xfId="23215" xr:uid="{4F09DFDB-F75B-4639-9CFB-2D3669DBC48B}"/>
    <cellStyle name="Standard 6 6 17 2 3" xfId="23214" xr:uid="{CB0A8CBC-5073-445F-88DD-115D2B38B8EC}"/>
    <cellStyle name="Standard 6 6 17 3" xfId="11255" xr:uid="{00000000-0005-0000-0000-0000FE2B0000}"/>
    <cellStyle name="Standard 6 6 17 3 2" xfId="23216" xr:uid="{CA235686-57CC-4917-B311-9AE4E6C7CE64}"/>
    <cellStyle name="Standard 6 6 17 4" xfId="23213" xr:uid="{889A8168-1C31-4861-9EF3-144B65C05094}"/>
    <cellStyle name="Standard 6 6 18" xfId="11256" xr:uid="{00000000-0005-0000-0000-0000FF2B0000}"/>
    <cellStyle name="Standard 6 6 18 2" xfId="11257" xr:uid="{00000000-0005-0000-0000-0000002C0000}"/>
    <cellStyle name="Standard 6 6 18 2 2" xfId="11258" xr:uid="{00000000-0005-0000-0000-0000012C0000}"/>
    <cellStyle name="Standard 6 6 18 2 2 2" xfId="23219" xr:uid="{7B933093-AB71-4024-B52C-8FB673CC6B90}"/>
    <cellStyle name="Standard 6 6 18 2 3" xfId="23218" xr:uid="{0F0967DC-73DE-4424-BFFA-D2371BF6E312}"/>
    <cellStyle name="Standard 6 6 18 3" xfId="11259" xr:uid="{00000000-0005-0000-0000-0000022C0000}"/>
    <cellStyle name="Standard 6 6 18 3 2" xfId="23220" xr:uid="{8BCCA6E0-9A96-4093-BA0A-7FAE1E6139E1}"/>
    <cellStyle name="Standard 6 6 18 4" xfId="23217" xr:uid="{5736E4EA-78F7-4D8F-97B5-6B8A96803E23}"/>
    <cellStyle name="Standard 6 6 19" xfId="11260" xr:uid="{00000000-0005-0000-0000-0000032C0000}"/>
    <cellStyle name="Standard 6 6 19 2" xfId="11261" xr:uid="{00000000-0005-0000-0000-0000042C0000}"/>
    <cellStyle name="Standard 6 6 19 2 2" xfId="11262" xr:uid="{00000000-0005-0000-0000-0000052C0000}"/>
    <cellStyle name="Standard 6 6 19 2 2 2" xfId="23223" xr:uid="{03CC250B-CFE1-40FA-8148-72DE870D2F50}"/>
    <cellStyle name="Standard 6 6 19 2 3" xfId="23222" xr:uid="{E293E91E-A472-4D2E-81E9-F9083DD7F99E}"/>
    <cellStyle name="Standard 6 6 19 3" xfId="11263" xr:uid="{00000000-0005-0000-0000-0000062C0000}"/>
    <cellStyle name="Standard 6 6 19 3 2" xfId="23224" xr:uid="{BACAE4EE-C722-4B91-A9D9-FE11AF1D6486}"/>
    <cellStyle name="Standard 6 6 19 4" xfId="23221" xr:uid="{64BCC985-C007-4C69-BD0D-E91243FC2167}"/>
    <cellStyle name="Standard 6 6 2" xfId="11264" xr:uid="{00000000-0005-0000-0000-0000072C0000}"/>
    <cellStyle name="Standard 6 6 2 10" xfId="11265" xr:uid="{00000000-0005-0000-0000-0000082C0000}"/>
    <cellStyle name="Standard 6 6 2 10 2" xfId="11266" xr:uid="{00000000-0005-0000-0000-0000092C0000}"/>
    <cellStyle name="Standard 6 6 2 10 2 2" xfId="23227" xr:uid="{98E79C67-8D55-49A1-8227-4C81DFFBEF78}"/>
    <cellStyle name="Standard 6 6 2 10 3" xfId="23226" xr:uid="{3F19CF5D-087B-4EFE-A1E1-93FAAE415211}"/>
    <cellStyle name="Standard 6 6 2 11" xfId="11267" xr:uid="{00000000-0005-0000-0000-00000A2C0000}"/>
    <cellStyle name="Standard 6 6 2 11 2" xfId="23228" xr:uid="{5FAB2F9D-3755-4074-944F-E25C71CBF4B2}"/>
    <cellStyle name="Standard 6 6 2 12" xfId="23225" xr:uid="{C2D94969-CDF7-4AD7-8A95-7685F45E1469}"/>
    <cellStyle name="Standard 6 6 2 2" xfId="11268" xr:uid="{00000000-0005-0000-0000-00000B2C0000}"/>
    <cellStyle name="Standard 6 6 2 2 10" xfId="11269" xr:uid="{00000000-0005-0000-0000-00000C2C0000}"/>
    <cellStyle name="Standard 6 6 2 2 10 2" xfId="23230" xr:uid="{33425AF5-98B3-4BA2-A737-1498BB5EA925}"/>
    <cellStyle name="Standard 6 6 2 2 11" xfId="23229" xr:uid="{D4BA9982-6555-4E45-B903-6D122484FD7E}"/>
    <cellStyle name="Standard 6 6 2 2 2" xfId="11270" xr:uid="{00000000-0005-0000-0000-00000D2C0000}"/>
    <cellStyle name="Standard 6 6 2 2 2 10" xfId="23231" xr:uid="{397CA805-8B62-4EC3-8657-9CDFE4D18874}"/>
    <cellStyle name="Standard 6 6 2 2 2 2" xfId="11271" xr:uid="{00000000-0005-0000-0000-00000E2C0000}"/>
    <cellStyle name="Standard 6 6 2 2 2 2 2" xfId="11272" xr:uid="{00000000-0005-0000-0000-00000F2C0000}"/>
    <cellStyle name="Standard 6 6 2 2 2 2 2 2" xfId="11273" xr:uid="{00000000-0005-0000-0000-0000102C0000}"/>
    <cellStyle name="Standard 6 6 2 2 2 2 2 2 2" xfId="23234" xr:uid="{BB88CC4A-1F0B-4657-B79B-FF20707785F8}"/>
    <cellStyle name="Standard 6 6 2 2 2 2 2 3" xfId="23233" xr:uid="{7E6E8411-29AE-4EC1-86B3-13470F3AD671}"/>
    <cellStyle name="Standard 6 6 2 2 2 2 3" xfId="11274" xr:uid="{00000000-0005-0000-0000-0000112C0000}"/>
    <cellStyle name="Standard 6 6 2 2 2 2 3 2" xfId="23235" xr:uid="{481F068F-D98E-4EBB-B0E8-DE1A737B3028}"/>
    <cellStyle name="Standard 6 6 2 2 2 2 4" xfId="23232" xr:uid="{99EA795C-5815-4E80-AA5E-81F8E9148BFA}"/>
    <cellStyle name="Standard 6 6 2 2 2 3" xfId="11275" xr:uid="{00000000-0005-0000-0000-0000122C0000}"/>
    <cellStyle name="Standard 6 6 2 2 2 3 2" xfId="11276" xr:uid="{00000000-0005-0000-0000-0000132C0000}"/>
    <cellStyle name="Standard 6 6 2 2 2 3 2 2" xfId="11277" xr:uid="{00000000-0005-0000-0000-0000142C0000}"/>
    <cellStyle name="Standard 6 6 2 2 2 3 2 2 2" xfId="23238" xr:uid="{479AC978-FDBE-4772-A3D9-A1F378BE44EC}"/>
    <cellStyle name="Standard 6 6 2 2 2 3 2 3" xfId="23237" xr:uid="{F38C4819-662E-4A36-AFD8-467230742E57}"/>
    <cellStyle name="Standard 6 6 2 2 2 3 3" xfId="11278" xr:uid="{00000000-0005-0000-0000-0000152C0000}"/>
    <cellStyle name="Standard 6 6 2 2 2 3 3 2" xfId="23239" xr:uid="{418BE3BE-B433-4DE8-A3BF-47D00C6F367B}"/>
    <cellStyle name="Standard 6 6 2 2 2 3 4" xfId="23236" xr:uid="{5134F4DE-8F18-453F-9CE5-10AADCD18DCC}"/>
    <cellStyle name="Standard 6 6 2 2 2 4" xfId="11279" xr:uid="{00000000-0005-0000-0000-0000162C0000}"/>
    <cellStyle name="Standard 6 6 2 2 2 4 2" xfId="11280" xr:uid="{00000000-0005-0000-0000-0000172C0000}"/>
    <cellStyle name="Standard 6 6 2 2 2 4 2 2" xfId="11281" xr:uid="{00000000-0005-0000-0000-0000182C0000}"/>
    <cellStyle name="Standard 6 6 2 2 2 4 2 2 2" xfId="23242" xr:uid="{A084CC73-58DF-4184-A46D-544ED6E95053}"/>
    <cellStyle name="Standard 6 6 2 2 2 4 2 3" xfId="23241" xr:uid="{CC44DC83-D9F8-47C2-9157-F1C2B66ED4F5}"/>
    <cellStyle name="Standard 6 6 2 2 2 4 3" xfId="11282" xr:uid="{00000000-0005-0000-0000-0000192C0000}"/>
    <cellStyle name="Standard 6 6 2 2 2 4 3 2" xfId="23243" xr:uid="{8F3CDE43-004F-480C-B363-8A0A66538FAD}"/>
    <cellStyle name="Standard 6 6 2 2 2 4 4" xfId="23240" xr:uid="{C0761973-4EC0-4DB6-92F2-50064CE3DEFE}"/>
    <cellStyle name="Standard 6 6 2 2 2 5" xfId="11283" xr:uid="{00000000-0005-0000-0000-00001A2C0000}"/>
    <cellStyle name="Standard 6 6 2 2 2 5 2" xfId="11284" xr:uid="{00000000-0005-0000-0000-00001B2C0000}"/>
    <cellStyle name="Standard 6 6 2 2 2 5 2 2" xfId="11285" xr:uid="{00000000-0005-0000-0000-00001C2C0000}"/>
    <cellStyle name="Standard 6 6 2 2 2 5 2 2 2" xfId="23246" xr:uid="{01F344EC-BA22-4633-B241-3497887D65DA}"/>
    <cellStyle name="Standard 6 6 2 2 2 5 2 3" xfId="23245" xr:uid="{2D972A58-0F18-4B8C-860C-980A8C56FBE7}"/>
    <cellStyle name="Standard 6 6 2 2 2 5 3" xfId="11286" xr:uid="{00000000-0005-0000-0000-00001D2C0000}"/>
    <cellStyle name="Standard 6 6 2 2 2 5 3 2" xfId="23247" xr:uid="{97E1E178-358E-4DF6-8E08-0D052F683878}"/>
    <cellStyle name="Standard 6 6 2 2 2 5 4" xfId="23244" xr:uid="{BB37D914-F72D-4780-BF87-72DA320F5111}"/>
    <cellStyle name="Standard 6 6 2 2 2 6" xfId="11287" xr:uid="{00000000-0005-0000-0000-00001E2C0000}"/>
    <cellStyle name="Standard 6 6 2 2 2 6 2" xfId="11288" xr:uid="{00000000-0005-0000-0000-00001F2C0000}"/>
    <cellStyle name="Standard 6 6 2 2 2 6 2 2" xfId="11289" xr:uid="{00000000-0005-0000-0000-0000202C0000}"/>
    <cellStyle name="Standard 6 6 2 2 2 6 2 2 2" xfId="23250" xr:uid="{2A009F0C-7431-437E-9183-95C592153E04}"/>
    <cellStyle name="Standard 6 6 2 2 2 6 2 3" xfId="23249" xr:uid="{9DA33D7D-F669-4FB4-9CA5-69BF370869ED}"/>
    <cellStyle name="Standard 6 6 2 2 2 6 3" xfId="11290" xr:uid="{00000000-0005-0000-0000-0000212C0000}"/>
    <cellStyle name="Standard 6 6 2 2 2 6 3 2" xfId="23251" xr:uid="{BA89FEE7-AED9-45B7-AE0C-C641136B0E32}"/>
    <cellStyle name="Standard 6 6 2 2 2 6 4" xfId="23248" xr:uid="{B96BE36F-C09C-4424-A768-BD5F7E3BFEF9}"/>
    <cellStyle name="Standard 6 6 2 2 2 7" xfId="11291" xr:uid="{00000000-0005-0000-0000-0000222C0000}"/>
    <cellStyle name="Standard 6 6 2 2 2 7 2" xfId="11292" xr:uid="{00000000-0005-0000-0000-0000232C0000}"/>
    <cellStyle name="Standard 6 6 2 2 2 7 2 2" xfId="11293" xr:uid="{00000000-0005-0000-0000-0000242C0000}"/>
    <cellStyle name="Standard 6 6 2 2 2 7 2 2 2" xfId="23254" xr:uid="{791EBA6B-CB15-4E04-B3F8-7847ADD00C8E}"/>
    <cellStyle name="Standard 6 6 2 2 2 7 2 3" xfId="23253" xr:uid="{9394C56A-B74C-482D-A999-8F38F0775345}"/>
    <cellStyle name="Standard 6 6 2 2 2 7 3" xfId="11294" xr:uid="{00000000-0005-0000-0000-0000252C0000}"/>
    <cellStyle name="Standard 6 6 2 2 2 7 3 2" xfId="23255" xr:uid="{17CD8B69-008E-4155-97F0-5B3C3D1F77E9}"/>
    <cellStyle name="Standard 6 6 2 2 2 7 4" xfId="23252" xr:uid="{2AB1E0DE-5130-413A-8472-1BFE1ED29B40}"/>
    <cellStyle name="Standard 6 6 2 2 2 8" xfId="11295" xr:uid="{00000000-0005-0000-0000-0000262C0000}"/>
    <cellStyle name="Standard 6 6 2 2 2 8 2" xfId="11296" xr:uid="{00000000-0005-0000-0000-0000272C0000}"/>
    <cellStyle name="Standard 6 6 2 2 2 8 2 2" xfId="23257" xr:uid="{CC234558-AFF9-40A1-9AD6-1434E4EC83D5}"/>
    <cellStyle name="Standard 6 6 2 2 2 8 3" xfId="23256" xr:uid="{4A9606E7-8C94-4980-A1FF-9B396689BFCB}"/>
    <cellStyle name="Standard 6 6 2 2 2 9" xfId="11297" xr:uid="{00000000-0005-0000-0000-0000282C0000}"/>
    <cellStyle name="Standard 6 6 2 2 2 9 2" xfId="23258" xr:uid="{3BCCD84C-D06C-490A-ADC7-898B7D985B48}"/>
    <cellStyle name="Standard 6 6 2 2 3" xfId="11298" xr:uid="{00000000-0005-0000-0000-0000292C0000}"/>
    <cellStyle name="Standard 6 6 2 2 3 2" xfId="11299" xr:uid="{00000000-0005-0000-0000-00002A2C0000}"/>
    <cellStyle name="Standard 6 6 2 2 3 2 2" xfId="11300" xr:uid="{00000000-0005-0000-0000-00002B2C0000}"/>
    <cellStyle name="Standard 6 6 2 2 3 2 2 2" xfId="23261" xr:uid="{993EFDBE-6127-4F9E-8185-FB36C3341591}"/>
    <cellStyle name="Standard 6 6 2 2 3 2 3" xfId="23260" xr:uid="{2CE4E4F3-CA7C-43EB-9630-665065FB63AB}"/>
    <cellStyle name="Standard 6 6 2 2 3 3" xfId="11301" xr:uid="{00000000-0005-0000-0000-00002C2C0000}"/>
    <cellStyle name="Standard 6 6 2 2 3 3 2" xfId="23262" xr:uid="{B918907F-B71C-44A0-AAA3-640308389E6F}"/>
    <cellStyle name="Standard 6 6 2 2 3 4" xfId="23259" xr:uid="{9C2057DF-CE19-4434-9C9E-19071DBDA157}"/>
    <cellStyle name="Standard 6 6 2 2 4" xfId="11302" xr:uid="{00000000-0005-0000-0000-00002D2C0000}"/>
    <cellStyle name="Standard 6 6 2 2 4 2" xfId="11303" xr:uid="{00000000-0005-0000-0000-00002E2C0000}"/>
    <cellStyle name="Standard 6 6 2 2 4 2 2" xfId="11304" xr:uid="{00000000-0005-0000-0000-00002F2C0000}"/>
    <cellStyle name="Standard 6 6 2 2 4 2 2 2" xfId="23265" xr:uid="{89A70D5C-9438-4A2A-A24A-255FC30CEE82}"/>
    <cellStyle name="Standard 6 6 2 2 4 2 3" xfId="23264" xr:uid="{D76F52F8-72C7-417A-AE66-BE24448BE0C5}"/>
    <cellStyle name="Standard 6 6 2 2 4 3" xfId="11305" xr:uid="{00000000-0005-0000-0000-0000302C0000}"/>
    <cellStyle name="Standard 6 6 2 2 4 3 2" xfId="23266" xr:uid="{2BAEBA21-61C7-49B6-827F-B276716EA9FC}"/>
    <cellStyle name="Standard 6 6 2 2 4 4" xfId="23263" xr:uid="{6D1B0DC9-F7C0-45E5-BFD0-D794374AD70F}"/>
    <cellStyle name="Standard 6 6 2 2 5" xfId="11306" xr:uid="{00000000-0005-0000-0000-0000312C0000}"/>
    <cellStyle name="Standard 6 6 2 2 5 2" xfId="11307" xr:uid="{00000000-0005-0000-0000-0000322C0000}"/>
    <cellStyle name="Standard 6 6 2 2 5 2 2" xfId="11308" xr:uid="{00000000-0005-0000-0000-0000332C0000}"/>
    <cellStyle name="Standard 6 6 2 2 5 2 2 2" xfId="23269" xr:uid="{F6A862A2-D1B0-47F5-81FB-876A22DF3732}"/>
    <cellStyle name="Standard 6 6 2 2 5 2 3" xfId="23268" xr:uid="{D3927CDB-9676-49F5-801F-FEAB640AB230}"/>
    <cellStyle name="Standard 6 6 2 2 5 3" xfId="11309" xr:uid="{00000000-0005-0000-0000-0000342C0000}"/>
    <cellStyle name="Standard 6 6 2 2 5 3 2" xfId="23270" xr:uid="{75E3D5E4-A399-4D37-A7D3-2DFD6D2801E8}"/>
    <cellStyle name="Standard 6 6 2 2 5 4" xfId="23267" xr:uid="{D09145D1-4CDD-4756-B51D-A3FD1B40CE99}"/>
    <cellStyle name="Standard 6 6 2 2 6" xfId="11310" xr:uid="{00000000-0005-0000-0000-0000352C0000}"/>
    <cellStyle name="Standard 6 6 2 2 6 2" xfId="11311" xr:uid="{00000000-0005-0000-0000-0000362C0000}"/>
    <cellStyle name="Standard 6 6 2 2 6 2 2" xfId="11312" xr:uid="{00000000-0005-0000-0000-0000372C0000}"/>
    <cellStyle name="Standard 6 6 2 2 6 2 2 2" xfId="23273" xr:uid="{52C078D9-77D9-4FC6-B287-A4AADC34E5F3}"/>
    <cellStyle name="Standard 6 6 2 2 6 2 3" xfId="23272" xr:uid="{B91EBB1A-D334-4F75-8116-A6FCF92418F1}"/>
    <cellStyle name="Standard 6 6 2 2 6 3" xfId="11313" xr:uid="{00000000-0005-0000-0000-0000382C0000}"/>
    <cellStyle name="Standard 6 6 2 2 6 3 2" xfId="23274" xr:uid="{98B017C2-2F3A-415D-B3C9-060BC0B1F261}"/>
    <cellStyle name="Standard 6 6 2 2 6 4" xfId="23271" xr:uid="{C667A92C-5C9C-48E5-B7A6-F311D1F775BE}"/>
    <cellStyle name="Standard 6 6 2 2 7" xfId="11314" xr:uid="{00000000-0005-0000-0000-0000392C0000}"/>
    <cellStyle name="Standard 6 6 2 2 7 2" xfId="11315" xr:uid="{00000000-0005-0000-0000-00003A2C0000}"/>
    <cellStyle name="Standard 6 6 2 2 7 2 2" xfId="11316" xr:uid="{00000000-0005-0000-0000-00003B2C0000}"/>
    <cellStyle name="Standard 6 6 2 2 7 2 2 2" xfId="23277" xr:uid="{CA9AD6A9-50C6-4AA2-9470-7F21EDDCB262}"/>
    <cellStyle name="Standard 6 6 2 2 7 2 3" xfId="23276" xr:uid="{FFEB056D-43F6-4D55-877C-75CE69E99AC0}"/>
    <cellStyle name="Standard 6 6 2 2 7 3" xfId="11317" xr:uid="{00000000-0005-0000-0000-00003C2C0000}"/>
    <cellStyle name="Standard 6 6 2 2 7 3 2" xfId="23278" xr:uid="{E2986A70-B79C-45FB-A17C-4227075A7895}"/>
    <cellStyle name="Standard 6 6 2 2 7 4" xfId="23275" xr:uid="{210104E4-ABB9-4E76-BDFE-6FB49F4427FE}"/>
    <cellStyle name="Standard 6 6 2 2 8" xfId="11318" xr:uid="{00000000-0005-0000-0000-00003D2C0000}"/>
    <cellStyle name="Standard 6 6 2 2 8 2" xfId="11319" xr:uid="{00000000-0005-0000-0000-00003E2C0000}"/>
    <cellStyle name="Standard 6 6 2 2 8 2 2" xfId="11320" xr:uid="{00000000-0005-0000-0000-00003F2C0000}"/>
    <cellStyle name="Standard 6 6 2 2 8 2 2 2" xfId="23281" xr:uid="{B5CEBDC0-431B-4B08-96B0-A3ABB965D976}"/>
    <cellStyle name="Standard 6 6 2 2 8 2 3" xfId="23280" xr:uid="{30DE71B0-C5C7-4B54-8632-29DFABB9DD0E}"/>
    <cellStyle name="Standard 6 6 2 2 8 3" xfId="11321" xr:uid="{00000000-0005-0000-0000-0000402C0000}"/>
    <cellStyle name="Standard 6 6 2 2 8 3 2" xfId="23282" xr:uid="{B028DA99-B12F-4F12-B7E7-65B3834104BC}"/>
    <cellStyle name="Standard 6 6 2 2 8 4" xfId="23279" xr:uid="{46E1359A-BB0B-4C23-94B4-0DF777F6E786}"/>
    <cellStyle name="Standard 6 6 2 2 9" xfId="11322" xr:uid="{00000000-0005-0000-0000-0000412C0000}"/>
    <cellStyle name="Standard 6 6 2 2 9 2" xfId="11323" xr:uid="{00000000-0005-0000-0000-0000422C0000}"/>
    <cellStyle name="Standard 6 6 2 2 9 2 2" xfId="23284" xr:uid="{1CF1CB43-4B11-4F8B-B69F-9BA7B2825279}"/>
    <cellStyle name="Standard 6 6 2 2 9 3" xfId="23283" xr:uid="{29C47AC1-BF69-4908-AC84-9B9914CA3C0B}"/>
    <cellStyle name="Standard 6 6 2 3" xfId="11324" xr:uid="{00000000-0005-0000-0000-0000432C0000}"/>
    <cellStyle name="Standard 6 6 2 3 10" xfId="23285" xr:uid="{32428688-9B7E-4698-86CA-305BEAAA30C4}"/>
    <cellStyle name="Standard 6 6 2 3 2" xfId="11325" xr:uid="{00000000-0005-0000-0000-0000442C0000}"/>
    <cellStyle name="Standard 6 6 2 3 2 2" xfId="11326" xr:uid="{00000000-0005-0000-0000-0000452C0000}"/>
    <cellStyle name="Standard 6 6 2 3 2 2 2" xfId="11327" xr:uid="{00000000-0005-0000-0000-0000462C0000}"/>
    <cellStyle name="Standard 6 6 2 3 2 2 2 2" xfId="23288" xr:uid="{78859026-7245-44AC-9E89-028433837912}"/>
    <cellStyle name="Standard 6 6 2 3 2 2 3" xfId="23287" xr:uid="{366EDA52-DB46-4781-8E33-3FC26BBAE32E}"/>
    <cellStyle name="Standard 6 6 2 3 2 3" xfId="11328" xr:uid="{00000000-0005-0000-0000-0000472C0000}"/>
    <cellStyle name="Standard 6 6 2 3 2 3 2" xfId="23289" xr:uid="{A2E34696-A5C0-4856-855B-2D2C15CA041E}"/>
    <cellStyle name="Standard 6 6 2 3 2 4" xfId="23286" xr:uid="{02F65087-51CC-4AA7-87EC-1834AE298100}"/>
    <cellStyle name="Standard 6 6 2 3 3" xfId="11329" xr:uid="{00000000-0005-0000-0000-0000482C0000}"/>
    <cellStyle name="Standard 6 6 2 3 3 2" xfId="11330" xr:uid="{00000000-0005-0000-0000-0000492C0000}"/>
    <cellStyle name="Standard 6 6 2 3 3 2 2" xfId="11331" xr:uid="{00000000-0005-0000-0000-00004A2C0000}"/>
    <cellStyle name="Standard 6 6 2 3 3 2 2 2" xfId="23292" xr:uid="{EC4997B5-E89D-4CCE-8FFD-D92789712E6C}"/>
    <cellStyle name="Standard 6 6 2 3 3 2 3" xfId="23291" xr:uid="{7555B7A6-F0FE-43FF-8BFD-BEB90A1D0135}"/>
    <cellStyle name="Standard 6 6 2 3 3 3" xfId="11332" xr:uid="{00000000-0005-0000-0000-00004B2C0000}"/>
    <cellStyle name="Standard 6 6 2 3 3 3 2" xfId="23293" xr:uid="{1E1029C3-5A16-4E19-90CB-F95254DA7A69}"/>
    <cellStyle name="Standard 6 6 2 3 3 4" xfId="23290" xr:uid="{6F16435B-B048-4541-8EE9-CCE0907973E4}"/>
    <cellStyle name="Standard 6 6 2 3 4" xfId="11333" xr:uid="{00000000-0005-0000-0000-00004C2C0000}"/>
    <cellStyle name="Standard 6 6 2 3 4 2" xfId="11334" xr:uid="{00000000-0005-0000-0000-00004D2C0000}"/>
    <cellStyle name="Standard 6 6 2 3 4 2 2" xfId="11335" xr:uid="{00000000-0005-0000-0000-00004E2C0000}"/>
    <cellStyle name="Standard 6 6 2 3 4 2 2 2" xfId="23296" xr:uid="{89A67324-2336-4A32-9225-8DA1639EAE37}"/>
    <cellStyle name="Standard 6 6 2 3 4 2 3" xfId="23295" xr:uid="{0AB0754E-CD5A-4651-A5AD-D05703B8628C}"/>
    <cellStyle name="Standard 6 6 2 3 4 3" xfId="11336" xr:uid="{00000000-0005-0000-0000-00004F2C0000}"/>
    <cellStyle name="Standard 6 6 2 3 4 3 2" xfId="23297" xr:uid="{BD95E85E-DF20-470A-8774-4E2708F05A4A}"/>
    <cellStyle name="Standard 6 6 2 3 4 4" xfId="23294" xr:uid="{204F218E-F214-4D2F-9692-67CE85F87C98}"/>
    <cellStyle name="Standard 6 6 2 3 5" xfId="11337" xr:uid="{00000000-0005-0000-0000-0000502C0000}"/>
    <cellStyle name="Standard 6 6 2 3 5 2" xfId="11338" xr:uid="{00000000-0005-0000-0000-0000512C0000}"/>
    <cellStyle name="Standard 6 6 2 3 5 2 2" xfId="11339" xr:uid="{00000000-0005-0000-0000-0000522C0000}"/>
    <cellStyle name="Standard 6 6 2 3 5 2 2 2" xfId="23300" xr:uid="{7821C3FA-33F7-4F44-B624-02EB61E834A0}"/>
    <cellStyle name="Standard 6 6 2 3 5 2 3" xfId="23299" xr:uid="{0FA56ED4-DE39-4566-A275-7470A052D054}"/>
    <cellStyle name="Standard 6 6 2 3 5 3" xfId="11340" xr:uid="{00000000-0005-0000-0000-0000532C0000}"/>
    <cellStyle name="Standard 6 6 2 3 5 3 2" xfId="23301" xr:uid="{8D60884E-51FA-4586-B545-C2B453620B05}"/>
    <cellStyle name="Standard 6 6 2 3 5 4" xfId="23298" xr:uid="{733A3BBD-4E10-4019-96BB-1F832E6C222D}"/>
    <cellStyle name="Standard 6 6 2 3 6" xfId="11341" xr:uid="{00000000-0005-0000-0000-0000542C0000}"/>
    <cellStyle name="Standard 6 6 2 3 6 2" xfId="11342" xr:uid="{00000000-0005-0000-0000-0000552C0000}"/>
    <cellStyle name="Standard 6 6 2 3 6 2 2" xfId="11343" xr:uid="{00000000-0005-0000-0000-0000562C0000}"/>
    <cellStyle name="Standard 6 6 2 3 6 2 2 2" xfId="23304" xr:uid="{D5DDF081-5791-471A-BA3E-92129100AC65}"/>
    <cellStyle name="Standard 6 6 2 3 6 2 3" xfId="23303" xr:uid="{086B6A2A-29E9-4795-8A5E-C6863A1B4D23}"/>
    <cellStyle name="Standard 6 6 2 3 6 3" xfId="11344" xr:uid="{00000000-0005-0000-0000-0000572C0000}"/>
    <cellStyle name="Standard 6 6 2 3 6 3 2" xfId="23305" xr:uid="{2F9F4CF7-BAC9-4C52-A5AA-F0F3099B428E}"/>
    <cellStyle name="Standard 6 6 2 3 6 4" xfId="23302" xr:uid="{FBD6DCCA-FFD9-4631-A0FF-C46BA4E1DB4F}"/>
    <cellStyle name="Standard 6 6 2 3 7" xfId="11345" xr:uid="{00000000-0005-0000-0000-0000582C0000}"/>
    <cellStyle name="Standard 6 6 2 3 7 2" xfId="11346" xr:uid="{00000000-0005-0000-0000-0000592C0000}"/>
    <cellStyle name="Standard 6 6 2 3 7 2 2" xfId="11347" xr:uid="{00000000-0005-0000-0000-00005A2C0000}"/>
    <cellStyle name="Standard 6 6 2 3 7 2 2 2" xfId="23308" xr:uid="{65468AB6-C00D-4DF3-81E0-54DC9C207A14}"/>
    <cellStyle name="Standard 6 6 2 3 7 2 3" xfId="23307" xr:uid="{7F8337B3-8C23-4C40-9A3E-2A11B5498C71}"/>
    <cellStyle name="Standard 6 6 2 3 7 3" xfId="11348" xr:uid="{00000000-0005-0000-0000-00005B2C0000}"/>
    <cellStyle name="Standard 6 6 2 3 7 3 2" xfId="23309" xr:uid="{662A81F1-07AE-4523-8691-CE362C7CF155}"/>
    <cellStyle name="Standard 6 6 2 3 7 4" xfId="23306" xr:uid="{157FF91B-D383-403D-87F0-2366C30869A3}"/>
    <cellStyle name="Standard 6 6 2 3 8" xfId="11349" xr:uid="{00000000-0005-0000-0000-00005C2C0000}"/>
    <cellStyle name="Standard 6 6 2 3 8 2" xfId="11350" xr:uid="{00000000-0005-0000-0000-00005D2C0000}"/>
    <cellStyle name="Standard 6 6 2 3 8 2 2" xfId="23311" xr:uid="{F85E71A6-257D-4C8A-9B3F-497D8BF0F391}"/>
    <cellStyle name="Standard 6 6 2 3 8 3" xfId="23310" xr:uid="{0890791F-F762-494F-8EC9-0EA6317C696F}"/>
    <cellStyle name="Standard 6 6 2 3 9" xfId="11351" xr:uid="{00000000-0005-0000-0000-00005E2C0000}"/>
    <cellStyle name="Standard 6 6 2 3 9 2" xfId="23312" xr:uid="{AF90BAC9-6A06-4E5D-B4BD-A8F32668E178}"/>
    <cellStyle name="Standard 6 6 2 4" xfId="11352" xr:uid="{00000000-0005-0000-0000-00005F2C0000}"/>
    <cellStyle name="Standard 6 6 2 4 2" xfId="11353" xr:uid="{00000000-0005-0000-0000-0000602C0000}"/>
    <cellStyle name="Standard 6 6 2 4 2 2" xfId="11354" xr:uid="{00000000-0005-0000-0000-0000612C0000}"/>
    <cellStyle name="Standard 6 6 2 4 2 2 2" xfId="23315" xr:uid="{B424CCF8-E3C5-4ED3-9474-8CE3E32F2B95}"/>
    <cellStyle name="Standard 6 6 2 4 2 3" xfId="23314" xr:uid="{CA0145F5-E0D1-41D4-870D-55CB5C354E16}"/>
    <cellStyle name="Standard 6 6 2 4 3" xfId="11355" xr:uid="{00000000-0005-0000-0000-0000622C0000}"/>
    <cellStyle name="Standard 6 6 2 4 3 2" xfId="23316" xr:uid="{682EE64D-F2A1-47C7-A66D-43298B5CEC7D}"/>
    <cellStyle name="Standard 6 6 2 4 4" xfId="23313" xr:uid="{D081004E-C731-4E63-BE94-713F61D4642A}"/>
    <cellStyle name="Standard 6 6 2 5" xfId="11356" xr:uid="{00000000-0005-0000-0000-0000632C0000}"/>
    <cellStyle name="Standard 6 6 2 5 2" xfId="11357" xr:uid="{00000000-0005-0000-0000-0000642C0000}"/>
    <cellStyle name="Standard 6 6 2 5 2 2" xfId="11358" xr:uid="{00000000-0005-0000-0000-0000652C0000}"/>
    <cellStyle name="Standard 6 6 2 5 2 2 2" xfId="23319" xr:uid="{4AB49654-8BA9-40FC-A482-F17DF1DC0438}"/>
    <cellStyle name="Standard 6 6 2 5 2 3" xfId="23318" xr:uid="{EC608CC8-0491-4331-AE67-5B726962930F}"/>
    <cellStyle name="Standard 6 6 2 5 3" xfId="11359" xr:uid="{00000000-0005-0000-0000-0000662C0000}"/>
    <cellStyle name="Standard 6 6 2 5 3 2" xfId="23320" xr:uid="{63238203-026C-4BB9-8659-FF8F5E1F9D36}"/>
    <cellStyle name="Standard 6 6 2 5 4" xfId="23317" xr:uid="{22DF1F17-1247-4BD7-B4D2-2598393E9FC7}"/>
    <cellStyle name="Standard 6 6 2 6" xfId="11360" xr:uid="{00000000-0005-0000-0000-0000672C0000}"/>
    <cellStyle name="Standard 6 6 2 6 2" xfId="11361" xr:uid="{00000000-0005-0000-0000-0000682C0000}"/>
    <cellStyle name="Standard 6 6 2 6 2 2" xfId="11362" xr:uid="{00000000-0005-0000-0000-0000692C0000}"/>
    <cellStyle name="Standard 6 6 2 6 2 2 2" xfId="23323" xr:uid="{3E80914F-47AE-4E66-BD31-A488AF0DC84F}"/>
    <cellStyle name="Standard 6 6 2 6 2 3" xfId="23322" xr:uid="{E2CCBAE7-6E0F-4A81-B086-D88B9F30136D}"/>
    <cellStyle name="Standard 6 6 2 6 3" xfId="11363" xr:uid="{00000000-0005-0000-0000-00006A2C0000}"/>
    <cellStyle name="Standard 6 6 2 6 3 2" xfId="23324" xr:uid="{0CA40D36-6C4A-4017-B408-311BB3F07E8D}"/>
    <cellStyle name="Standard 6 6 2 6 4" xfId="23321" xr:uid="{785EC6DD-B2CC-47CF-A5FE-12B1537895EB}"/>
    <cellStyle name="Standard 6 6 2 7" xfId="11364" xr:uid="{00000000-0005-0000-0000-00006B2C0000}"/>
    <cellStyle name="Standard 6 6 2 7 2" xfId="11365" xr:uid="{00000000-0005-0000-0000-00006C2C0000}"/>
    <cellStyle name="Standard 6 6 2 7 2 2" xfId="11366" xr:uid="{00000000-0005-0000-0000-00006D2C0000}"/>
    <cellStyle name="Standard 6 6 2 7 2 2 2" xfId="23327" xr:uid="{A79FA5FB-4AD1-44A1-BEE1-EDC2FAE86577}"/>
    <cellStyle name="Standard 6 6 2 7 2 3" xfId="23326" xr:uid="{FC4CB730-0671-4F3D-B4F5-04FC7F86FD94}"/>
    <cellStyle name="Standard 6 6 2 7 3" xfId="11367" xr:uid="{00000000-0005-0000-0000-00006E2C0000}"/>
    <cellStyle name="Standard 6 6 2 7 3 2" xfId="23328" xr:uid="{AFBB22BF-866D-4ED0-8B64-068A35D34B29}"/>
    <cellStyle name="Standard 6 6 2 7 4" xfId="23325" xr:uid="{DF1D6795-433F-4BC9-8824-DFECE58FA01F}"/>
    <cellStyle name="Standard 6 6 2 8" xfId="11368" xr:uid="{00000000-0005-0000-0000-00006F2C0000}"/>
    <cellStyle name="Standard 6 6 2 8 2" xfId="11369" xr:uid="{00000000-0005-0000-0000-0000702C0000}"/>
    <cellStyle name="Standard 6 6 2 8 2 2" xfId="11370" xr:uid="{00000000-0005-0000-0000-0000712C0000}"/>
    <cellStyle name="Standard 6 6 2 8 2 2 2" xfId="23331" xr:uid="{241AF4BB-3612-4D5F-8EE0-ACFA997BCEF7}"/>
    <cellStyle name="Standard 6 6 2 8 2 3" xfId="23330" xr:uid="{36D72D56-A2E7-4441-8EE1-0D8D418A82E5}"/>
    <cellStyle name="Standard 6 6 2 8 3" xfId="11371" xr:uid="{00000000-0005-0000-0000-0000722C0000}"/>
    <cellStyle name="Standard 6 6 2 8 3 2" xfId="23332" xr:uid="{94C9E079-A3F6-4B26-831A-A9C8619D33DB}"/>
    <cellStyle name="Standard 6 6 2 8 4" xfId="23329" xr:uid="{44176494-6291-48C2-B45C-1DE37AEEC15F}"/>
    <cellStyle name="Standard 6 6 2 9" xfId="11372" xr:uid="{00000000-0005-0000-0000-0000732C0000}"/>
    <cellStyle name="Standard 6 6 2 9 2" xfId="11373" xr:uid="{00000000-0005-0000-0000-0000742C0000}"/>
    <cellStyle name="Standard 6 6 2 9 2 2" xfId="11374" xr:uid="{00000000-0005-0000-0000-0000752C0000}"/>
    <cellStyle name="Standard 6 6 2 9 2 2 2" xfId="23335" xr:uid="{1899E8A6-E40F-4A41-B3B4-454F3079BB7D}"/>
    <cellStyle name="Standard 6 6 2 9 2 3" xfId="23334" xr:uid="{753BCAB1-6B91-4AA6-8663-BCD2081CD950}"/>
    <cellStyle name="Standard 6 6 2 9 3" xfId="11375" xr:uid="{00000000-0005-0000-0000-0000762C0000}"/>
    <cellStyle name="Standard 6 6 2 9 3 2" xfId="23336" xr:uid="{29B9CA4A-F6AE-4874-8BFB-BCD6491AF428}"/>
    <cellStyle name="Standard 6 6 2 9 4" xfId="23333" xr:uid="{6D0D2E2F-0ED0-4B4E-8FC4-42CCF28BC977}"/>
    <cellStyle name="Standard 6 6 20" xfId="11376" xr:uid="{00000000-0005-0000-0000-0000772C0000}"/>
    <cellStyle name="Standard 6 6 20 2" xfId="11377" xr:uid="{00000000-0005-0000-0000-0000782C0000}"/>
    <cellStyle name="Standard 6 6 20 2 2" xfId="23338" xr:uid="{B343F221-A945-46A4-8147-6629EAADE21F}"/>
    <cellStyle name="Standard 6 6 20 3" xfId="23337" xr:uid="{9CA6135B-D9EC-4C91-9FFF-6126AFCA444B}"/>
    <cellStyle name="Standard 6 6 21" xfId="11378" xr:uid="{00000000-0005-0000-0000-0000792C0000}"/>
    <cellStyle name="Standard 6 6 21 2" xfId="23339" xr:uid="{3EB24063-BF3B-437E-83D9-FC5653C27DBC}"/>
    <cellStyle name="Standard 6 6 22" xfId="11379" xr:uid="{00000000-0005-0000-0000-00007A2C0000}"/>
    <cellStyle name="Standard 6 6 22 2" xfId="23340" xr:uid="{7C65DB7F-5019-4767-AAE6-A94DF6FD5C87}"/>
    <cellStyle name="Standard 6 6 23" xfId="23184" xr:uid="{EC3AC167-5D01-49E1-BD21-939E7FF1FA99}"/>
    <cellStyle name="Standard 6 6 3" xfId="11380" xr:uid="{00000000-0005-0000-0000-00007B2C0000}"/>
    <cellStyle name="Standard 6 6 3 10" xfId="11381" xr:uid="{00000000-0005-0000-0000-00007C2C0000}"/>
    <cellStyle name="Standard 6 6 3 10 2" xfId="23342" xr:uid="{6BE463B5-FE10-4052-9D26-A61F714EC3E8}"/>
    <cellStyle name="Standard 6 6 3 11" xfId="23341" xr:uid="{6CA4C66F-8256-4C1D-84FB-0C50FD0F4754}"/>
    <cellStyle name="Standard 6 6 3 2" xfId="11382" xr:uid="{00000000-0005-0000-0000-00007D2C0000}"/>
    <cellStyle name="Standard 6 6 3 2 10" xfId="23343" xr:uid="{EE9834D6-D475-46D9-BCE2-1AB8F160DA34}"/>
    <cellStyle name="Standard 6 6 3 2 2" xfId="11383" xr:uid="{00000000-0005-0000-0000-00007E2C0000}"/>
    <cellStyle name="Standard 6 6 3 2 2 2" xfId="11384" xr:uid="{00000000-0005-0000-0000-00007F2C0000}"/>
    <cellStyle name="Standard 6 6 3 2 2 2 2" xfId="11385" xr:uid="{00000000-0005-0000-0000-0000802C0000}"/>
    <cellStyle name="Standard 6 6 3 2 2 2 2 2" xfId="23346" xr:uid="{A8A7F0CC-04DC-4CDE-BACE-9E7F825C0CC2}"/>
    <cellStyle name="Standard 6 6 3 2 2 2 3" xfId="23345" xr:uid="{A729E362-04A3-480A-86BE-B8FD550B7A46}"/>
    <cellStyle name="Standard 6 6 3 2 2 3" xfId="11386" xr:uid="{00000000-0005-0000-0000-0000812C0000}"/>
    <cellStyle name="Standard 6 6 3 2 2 3 2" xfId="23347" xr:uid="{C8EA8850-DADC-43C8-B7FA-F9BA3EED70C4}"/>
    <cellStyle name="Standard 6 6 3 2 2 4" xfId="23344" xr:uid="{99A86BCF-0AA7-4776-8C37-2EE48A76363F}"/>
    <cellStyle name="Standard 6 6 3 2 3" xfId="11387" xr:uid="{00000000-0005-0000-0000-0000822C0000}"/>
    <cellStyle name="Standard 6 6 3 2 3 2" xfId="11388" xr:uid="{00000000-0005-0000-0000-0000832C0000}"/>
    <cellStyle name="Standard 6 6 3 2 3 2 2" xfId="11389" xr:uid="{00000000-0005-0000-0000-0000842C0000}"/>
    <cellStyle name="Standard 6 6 3 2 3 2 2 2" xfId="23350" xr:uid="{6CA7EB7D-660D-4E61-8921-954DC9CEBA48}"/>
    <cellStyle name="Standard 6 6 3 2 3 2 3" xfId="23349" xr:uid="{F84663D6-A85E-4EAD-9102-25C949FEE62F}"/>
    <cellStyle name="Standard 6 6 3 2 3 3" xfId="11390" xr:uid="{00000000-0005-0000-0000-0000852C0000}"/>
    <cellStyle name="Standard 6 6 3 2 3 3 2" xfId="23351" xr:uid="{6BDB68F9-53D8-43AD-B558-B66FFB3F8DC0}"/>
    <cellStyle name="Standard 6 6 3 2 3 4" xfId="23348" xr:uid="{4D9CFA66-2110-44F0-B8B4-622DCA8C65CC}"/>
    <cellStyle name="Standard 6 6 3 2 4" xfId="11391" xr:uid="{00000000-0005-0000-0000-0000862C0000}"/>
    <cellStyle name="Standard 6 6 3 2 4 2" xfId="11392" xr:uid="{00000000-0005-0000-0000-0000872C0000}"/>
    <cellStyle name="Standard 6 6 3 2 4 2 2" xfId="11393" xr:uid="{00000000-0005-0000-0000-0000882C0000}"/>
    <cellStyle name="Standard 6 6 3 2 4 2 2 2" xfId="23354" xr:uid="{51AD3C86-98D0-4836-A328-1B5F5322DF98}"/>
    <cellStyle name="Standard 6 6 3 2 4 2 3" xfId="23353" xr:uid="{17708F97-379E-48FF-8C2C-77461DDD5B4F}"/>
    <cellStyle name="Standard 6 6 3 2 4 3" xfId="11394" xr:uid="{00000000-0005-0000-0000-0000892C0000}"/>
    <cellStyle name="Standard 6 6 3 2 4 3 2" xfId="23355" xr:uid="{252ED54E-7E1A-4389-8935-7423344D833F}"/>
    <cellStyle name="Standard 6 6 3 2 4 4" xfId="23352" xr:uid="{5B50EAF5-C561-4A34-B479-22C693EA26AE}"/>
    <cellStyle name="Standard 6 6 3 2 5" xfId="11395" xr:uid="{00000000-0005-0000-0000-00008A2C0000}"/>
    <cellStyle name="Standard 6 6 3 2 5 2" xfId="11396" xr:uid="{00000000-0005-0000-0000-00008B2C0000}"/>
    <cellStyle name="Standard 6 6 3 2 5 2 2" xfId="11397" xr:uid="{00000000-0005-0000-0000-00008C2C0000}"/>
    <cellStyle name="Standard 6 6 3 2 5 2 2 2" xfId="23358" xr:uid="{A6F1E9A5-EE8F-4725-8943-7BD4814BDFCC}"/>
    <cellStyle name="Standard 6 6 3 2 5 2 3" xfId="23357" xr:uid="{6DCE360B-EC25-4049-A778-152429A95A64}"/>
    <cellStyle name="Standard 6 6 3 2 5 3" xfId="11398" xr:uid="{00000000-0005-0000-0000-00008D2C0000}"/>
    <cellStyle name="Standard 6 6 3 2 5 3 2" xfId="23359" xr:uid="{AF37F073-510C-41C6-ADFF-71EF2FFAFE7A}"/>
    <cellStyle name="Standard 6 6 3 2 5 4" xfId="23356" xr:uid="{B974F252-AF6D-4770-9A4A-84EA13C34A10}"/>
    <cellStyle name="Standard 6 6 3 2 6" xfId="11399" xr:uid="{00000000-0005-0000-0000-00008E2C0000}"/>
    <cellStyle name="Standard 6 6 3 2 6 2" xfId="11400" xr:uid="{00000000-0005-0000-0000-00008F2C0000}"/>
    <cellStyle name="Standard 6 6 3 2 6 2 2" xfId="11401" xr:uid="{00000000-0005-0000-0000-0000902C0000}"/>
    <cellStyle name="Standard 6 6 3 2 6 2 2 2" xfId="23362" xr:uid="{602DECBE-C697-41DD-9E3A-CAA2E46A3240}"/>
    <cellStyle name="Standard 6 6 3 2 6 2 3" xfId="23361" xr:uid="{0C1DE778-3A67-4466-BB6A-830027E06996}"/>
    <cellStyle name="Standard 6 6 3 2 6 3" xfId="11402" xr:uid="{00000000-0005-0000-0000-0000912C0000}"/>
    <cellStyle name="Standard 6 6 3 2 6 3 2" xfId="23363" xr:uid="{FCB31FBF-069F-45A1-8604-D06B85129467}"/>
    <cellStyle name="Standard 6 6 3 2 6 4" xfId="23360" xr:uid="{5A3B0234-EC88-45E4-B1F5-DD41B99D3349}"/>
    <cellStyle name="Standard 6 6 3 2 7" xfId="11403" xr:uid="{00000000-0005-0000-0000-0000922C0000}"/>
    <cellStyle name="Standard 6 6 3 2 7 2" xfId="11404" xr:uid="{00000000-0005-0000-0000-0000932C0000}"/>
    <cellStyle name="Standard 6 6 3 2 7 2 2" xfId="11405" xr:uid="{00000000-0005-0000-0000-0000942C0000}"/>
    <cellStyle name="Standard 6 6 3 2 7 2 2 2" xfId="23366" xr:uid="{BB787F45-D885-496E-8E20-5219C3DA5387}"/>
    <cellStyle name="Standard 6 6 3 2 7 2 3" xfId="23365" xr:uid="{7E79720F-571A-4D8B-BE8A-50867704CDB6}"/>
    <cellStyle name="Standard 6 6 3 2 7 3" xfId="11406" xr:uid="{00000000-0005-0000-0000-0000952C0000}"/>
    <cellStyle name="Standard 6 6 3 2 7 3 2" xfId="23367" xr:uid="{54AFE547-FEB5-4DFC-8F71-37EAEA772571}"/>
    <cellStyle name="Standard 6 6 3 2 7 4" xfId="23364" xr:uid="{A5675257-C894-4632-AFD4-002014463997}"/>
    <cellStyle name="Standard 6 6 3 2 8" xfId="11407" xr:uid="{00000000-0005-0000-0000-0000962C0000}"/>
    <cellStyle name="Standard 6 6 3 2 8 2" xfId="11408" xr:uid="{00000000-0005-0000-0000-0000972C0000}"/>
    <cellStyle name="Standard 6 6 3 2 8 2 2" xfId="23369" xr:uid="{5DCA2DEE-5A93-471D-91DD-F8A59BE4BAED}"/>
    <cellStyle name="Standard 6 6 3 2 8 3" xfId="23368" xr:uid="{9602488F-DB77-4BAF-AA32-EA8836035D41}"/>
    <cellStyle name="Standard 6 6 3 2 9" xfId="11409" xr:uid="{00000000-0005-0000-0000-0000982C0000}"/>
    <cellStyle name="Standard 6 6 3 2 9 2" xfId="23370" xr:uid="{95494E09-45F0-4EB0-9F0B-D122E438583E}"/>
    <cellStyle name="Standard 6 6 3 3" xfId="11410" xr:uid="{00000000-0005-0000-0000-0000992C0000}"/>
    <cellStyle name="Standard 6 6 3 3 2" xfId="11411" xr:uid="{00000000-0005-0000-0000-00009A2C0000}"/>
    <cellStyle name="Standard 6 6 3 3 2 2" xfId="11412" xr:uid="{00000000-0005-0000-0000-00009B2C0000}"/>
    <cellStyle name="Standard 6 6 3 3 2 2 2" xfId="23373" xr:uid="{CFF20A8D-F379-45AF-A6D4-C11AC19CC836}"/>
    <cellStyle name="Standard 6 6 3 3 2 3" xfId="23372" xr:uid="{DC9097DC-3FB8-4C02-BEA8-5B103F85C6F7}"/>
    <cellStyle name="Standard 6 6 3 3 3" xfId="11413" xr:uid="{00000000-0005-0000-0000-00009C2C0000}"/>
    <cellStyle name="Standard 6 6 3 3 3 2" xfId="23374" xr:uid="{6AB5ACCA-74EE-47D1-B86D-33E5EA9271C5}"/>
    <cellStyle name="Standard 6 6 3 3 4" xfId="23371" xr:uid="{2A13DCDD-B290-4271-B28A-29A201ACF7AE}"/>
    <cellStyle name="Standard 6 6 3 4" xfId="11414" xr:uid="{00000000-0005-0000-0000-00009D2C0000}"/>
    <cellStyle name="Standard 6 6 3 4 2" xfId="11415" xr:uid="{00000000-0005-0000-0000-00009E2C0000}"/>
    <cellStyle name="Standard 6 6 3 4 2 2" xfId="11416" xr:uid="{00000000-0005-0000-0000-00009F2C0000}"/>
    <cellStyle name="Standard 6 6 3 4 2 2 2" xfId="23377" xr:uid="{A34F4D9D-E09D-4AC6-A614-9C792FFAB15F}"/>
    <cellStyle name="Standard 6 6 3 4 2 3" xfId="23376" xr:uid="{E145821C-F972-421F-B2D7-39DB040F09FD}"/>
    <cellStyle name="Standard 6 6 3 4 3" xfId="11417" xr:uid="{00000000-0005-0000-0000-0000A02C0000}"/>
    <cellStyle name="Standard 6 6 3 4 3 2" xfId="23378" xr:uid="{5DA5F6B0-06CF-4C15-A364-FABB9377D80F}"/>
    <cellStyle name="Standard 6 6 3 4 4" xfId="23375" xr:uid="{41198EEA-5497-45E8-B3CD-9BD4B1497C8F}"/>
    <cellStyle name="Standard 6 6 3 5" xfId="11418" xr:uid="{00000000-0005-0000-0000-0000A12C0000}"/>
    <cellStyle name="Standard 6 6 3 5 2" xfId="11419" xr:uid="{00000000-0005-0000-0000-0000A22C0000}"/>
    <cellStyle name="Standard 6 6 3 5 2 2" xfId="11420" xr:uid="{00000000-0005-0000-0000-0000A32C0000}"/>
    <cellStyle name="Standard 6 6 3 5 2 2 2" xfId="23381" xr:uid="{50141115-5B80-4456-B0B3-A235738C724E}"/>
    <cellStyle name="Standard 6 6 3 5 2 3" xfId="23380" xr:uid="{9841EFF6-3668-404B-B2EF-37B8DA18C6E1}"/>
    <cellStyle name="Standard 6 6 3 5 3" xfId="11421" xr:uid="{00000000-0005-0000-0000-0000A42C0000}"/>
    <cellStyle name="Standard 6 6 3 5 3 2" xfId="23382" xr:uid="{0B30DE16-85BC-4D28-8D6C-0CA9AD662489}"/>
    <cellStyle name="Standard 6 6 3 5 4" xfId="23379" xr:uid="{A9E4ADF8-7B32-411E-9CAA-F10352A9A0E1}"/>
    <cellStyle name="Standard 6 6 3 6" xfId="11422" xr:uid="{00000000-0005-0000-0000-0000A52C0000}"/>
    <cellStyle name="Standard 6 6 3 6 2" xfId="11423" xr:uid="{00000000-0005-0000-0000-0000A62C0000}"/>
    <cellStyle name="Standard 6 6 3 6 2 2" xfId="11424" xr:uid="{00000000-0005-0000-0000-0000A72C0000}"/>
    <cellStyle name="Standard 6 6 3 6 2 2 2" xfId="23385" xr:uid="{7296E239-1060-4E96-990C-F4FC1E2B2488}"/>
    <cellStyle name="Standard 6 6 3 6 2 3" xfId="23384" xr:uid="{766D5CB1-D98C-4665-B79A-86DD716FC337}"/>
    <cellStyle name="Standard 6 6 3 6 3" xfId="11425" xr:uid="{00000000-0005-0000-0000-0000A82C0000}"/>
    <cellStyle name="Standard 6 6 3 6 3 2" xfId="23386" xr:uid="{D6FA1575-00B6-4E89-B31D-0F43ECB94A60}"/>
    <cellStyle name="Standard 6 6 3 6 4" xfId="23383" xr:uid="{9E28FEAE-FAF3-4D00-9573-0F9B26ABB443}"/>
    <cellStyle name="Standard 6 6 3 7" xfId="11426" xr:uid="{00000000-0005-0000-0000-0000A92C0000}"/>
    <cellStyle name="Standard 6 6 3 7 2" xfId="11427" xr:uid="{00000000-0005-0000-0000-0000AA2C0000}"/>
    <cellStyle name="Standard 6 6 3 7 2 2" xfId="11428" xr:uid="{00000000-0005-0000-0000-0000AB2C0000}"/>
    <cellStyle name="Standard 6 6 3 7 2 2 2" xfId="23389" xr:uid="{AD65318B-2A1B-4333-9C2C-9FEA270ABA9F}"/>
    <cellStyle name="Standard 6 6 3 7 2 3" xfId="23388" xr:uid="{4E3B3E7C-D6D6-4546-921F-FE36B7388625}"/>
    <cellStyle name="Standard 6 6 3 7 3" xfId="11429" xr:uid="{00000000-0005-0000-0000-0000AC2C0000}"/>
    <cellStyle name="Standard 6 6 3 7 3 2" xfId="23390" xr:uid="{6F1CEA9E-635C-4549-B611-E6F88ABCBC56}"/>
    <cellStyle name="Standard 6 6 3 7 4" xfId="23387" xr:uid="{471DCB34-9D9A-499F-9FD4-79B47C5E4F1D}"/>
    <cellStyle name="Standard 6 6 3 8" xfId="11430" xr:uid="{00000000-0005-0000-0000-0000AD2C0000}"/>
    <cellStyle name="Standard 6 6 3 8 2" xfId="11431" xr:uid="{00000000-0005-0000-0000-0000AE2C0000}"/>
    <cellStyle name="Standard 6 6 3 8 2 2" xfId="11432" xr:uid="{00000000-0005-0000-0000-0000AF2C0000}"/>
    <cellStyle name="Standard 6 6 3 8 2 2 2" xfId="23393" xr:uid="{ACDBF46C-80BE-454A-9BF5-A28A45E652BD}"/>
    <cellStyle name="Standard 6 6 3 8 2 3" xfId="23392" xr:uid="{712DD392-4F3B-4F01-9C39-05D5CD29ECA6}"/>
    <cellStyle name="Standard 6 6 3 8 3" xfId="11433" xr:uid="{00000000-0005-0000-0000-0000B02C0000}"/>
    <cellStyle name="Standard 6 6 3 8 3 2" xfId="23394" xr:uid="{C4AE96B1-7064-4F84-985B-787E378764EF}"/>
    <cellStyle name="Standard 6 6 3 8 4" xfId="23391" xr:uid="{BED3212B-F0F1-4A77-B865-F42B1483CD58}"/>
    <cellStyle name="Standard 6 6 3 9" xfId="11434" xr:uid="{00000000-0005-0000-0000-0000B12C0000}"/>
    <cellStyle name="Standard 6 6 3 9 2" xfId="11435" xr:uid="{00000000-0005-0000-0000-0000B22C0000}"/>
    <cellStyle name="Standard 6 6 3 9 2 2" xfId="23396" xr:uid="{70C49DEC-4A95-4012-AB9C-BBB248C8B092}"/>
    <cellStyle name="Standard 6 6 3 9 3" xfId="23395" xr:uid="{4E330CD1-F082-4E89-AC83-C18DABA43371}"/>
    <cellStyle name="Standard 6 6 4" xfId="11436" xr:uid="{00000000-0005-0000-0000-0000B32C0000}"/>
    <cellStyle name="Standard 6 6 4 10" xfId="11437" xr:uid="{00000000-0005-0000-0000-0000B42C0000}"/>
    <cellStyle name="Standard 6 6 4 10 2" xfId="23398" xr:uid="{6F9FB18E-7E9F-48AC-B134-B13EBE696BAE}"/>
    <cellStyle name="Standard 6 6 4 11" xfId="23397" xr:uid="{D38B2777-3241-4CE5-9E9E-412F2FC071D6}"/>
    <cellStyle name="Standard 6 6 4 2" xfId="11438" xr:uid="{00000000-0005-0000-0000-0000B52C0000}"/>
    <cellStyle name="Standard 6 6 4 2 10" xfId="23399" xr:uid="{65BBE47E-0BAE-453E-B578-7392BC65A438}"/>
    <cellStyle name="Standard 6 6 4 2 2" xfId="11439" xr:uid="{00000000-0005-0000-0000-0000B62C0000}"/>
    <cellStyle name="Standard 6 6 4 2 2 2" xfId="11440" xr:uid="{00000000-0005-0000-0000-0000B72C0000}"/>
    <cellStyle name="Standard 6 6 4 2 2 2 2" xfId="11441" xr:uid="{00000000-0005-0000-0000-0000B82C0000}"/>
    <cellStyle name="Standard 6 6 4 2 2 2 2 2" xfId="23402" xr:uid="{743903D1-634C-47C1-9E2B-E9B032FAA070}"/>
    <cellStyle name="Standard 6 6 4 2 2 2 3" xfId="23401" xr:uid="{B593A47C-750C-4472-BC1F-E2D28635EDB0}"/>
    <cellStyle name="Standard 6 6 4 2 2 3" xfId="11442" xr:uid="{00000000-0005-0000-0000-0000B92C0000}"/>
    <cellStyle name="Standard 6 6 4 2 2 3 2" xfId="23403" xr:uid="{B97AB028-889F-41AA-89E6-1AB75B2F57D7}"/>
    <cellStyle name="Standard 6 6 4 2 2 4" xfId="23400" xr:uid="{4E964B6A-CB5A-4361-8BEC-811CD02871EA}"/>
    <cellStyle name="Standard 6 6 4 2 3" xfId="11443" xr:uid="{00000000-0005-0000-0000-0000BA2C0000}"/>
    <cellStyle name="Standard 6 6 4 2 3 2" xfId="11444" xr:uid="{00000000-0005-0000-0000-0000BB2C0000}"/>
    <cellStyle name="Standard 6 6 4 2 3 2 2" xfId="11445" xr:uid="{00000000-0005-0000-0000-0000BC2C0000}"/>
    <cellStyle name="Standard 6 6 4 2 3 2 2 2" xfId="23406" xr:uid="{4205AA85-68DE-433D-A720-EC19E1D49239}"/>
    <cellStyle name="Standard 6 6 4 2 3 2 3" xfId="23405" xr:uid="{3170ADD4-992E-4F7C-962F-A0EE7BFAF88E}"/>
    <cellStyle name="Standard 6 6 4 2 3 3" xfId="11446" xr:uid="{00000000-0005-0000-0000-0000BD2C0000}"/>
    <cellStyle name="Standard 6 6 4 2 3 3 2" xfId="23407" xr:uid="{9DC089C4-126C-4DDC-973B-01A2EA458BF3}"/>
    <cellStyle name="Standard 6 6 4 2 3 4" xfId="23404" xr:uid="{92202F68-3FF4-4972-9222-40E8F2DF9D30}"/>
    <cellStyle name="Standard 6 6 4 2 4" xfId="11447" xr:uid="{00000000-0005-0000-0000-0000BE2C0000}"/>
    <cellStyle name="Standard 6 6 4 2 4 2" xfId="11448" xr:uid="{00000000-0005-0000-0000-0000BF2C0000}"/>
    <cellStyle name="Standard 6 6 4 2 4 2 2" xfId="11449" xr:uid="{00000000-0005-0000-0000-0000C02C0000}"/>
    <cellStyle name="Standard 6 6 4 2 4 2 2 2" xfId="23410" xr:uid="{8E009003-AD85-458D-9A34-B2DC40654B99}"/>
    <cellStyle name="Standard 6 6 4 2 4 2 3" xfId="23409" xr:uid="{81AC72E7-D66E-45D6-874C-3A46D34FB181}"/>
    <cellStyle name="Standard 6 6 4 2 4 3" xfId="11450" xr:uid="{00000000-0005-0000-0000-0000C12C0000}"/>
    <cellStyle name="Standard 6 6 4 2 4 3 2" xfId="23411" xr:uid="{234AA44F-25F7-4714-85C0-0634E346A8D0}"/>
    <cellStyle name="Standard 6 6 4 2 4 4" xfId="23408" xr:uid="{CBBD400E-0243-4FCF-939F-B083E3D53605}"/>
    <cellStyle name="Standard 6 6 4 2 5" xfId="11451" xr:uid="{00000000-0005-0000-0000-0000C22C0000}"/>
    <cellStyle name="Standard 6 6 4 2 5 2" xfId="11452" xr:uid="{00000000-0005-0000-0000-0000C32C0000}"/>
    <cellStyle name="Standard 6 6 4 2 5 2 2" xfId="11453" xr:uid="{00000000-0005-0000-0000-0000C42C0000}"/>
    <cellStyle name="Standard 6 6 4 2 5 2 2 2" xfId="23414" xr:uid="{0C5F8E99-A32E-4D3B-BAE7-F7B553E6F7E0}"/>
    <cellStyle name="Standard 6 6 4 2 5 2 3" xfId="23413" xr:uid="{7F02E9CE-4B7C-44D1-9D7F-5A42FA0E338C}"/>
    <cellStyle name="Standard 6 6 4 2 5 3" xfId="11454" xr:uid="{00000000-0005-0000-0000-0000C52C0000}"/>
    <cellStyle name="Standard 6 6 4 2 5 3 2" xfId="23415" xr:uid="{C18732F5-078D-4C2F-9429-3B3C09DD03DC}"/>
    <cellStyle name="Standard 6 6 4 2 5 4" xfId="23412" xr:uid="{689BDB57-1E52-4DEC-A1B0-0F7330097BD2}"/>
    <cellStyle name="Standard 6 6 4 2 6" xfId="11455" xr:uid="{00000000-0005-0000-0000-0000C62C0000}"/>
    <cellStyle name="Standard 6 6 4 2 6 2" xfId="11456" xr:uid="{00000000-0005-0000-0000-0000C72C0000}"/>
    <cellStyle name="Standard 6 6 4 2 6 2 2" xfId="11457" xr:uid="{00000000-0005-0000-0000-0000C82C0000}"/>
    <cellStyle name="Standard 6 6 4 2 6 2 2 2" xfId="23418" xr:uid="{DB44F1B8-A854-49FD-B435-05532677FA32}"/>
    <cellStyle name="Standard 6 6 4 2 6 2 3" xfId="23417" xr:uid="{34D4DFC7-0993-4307-ABFB-9559AAEB4358}"/>
    <cellStyle name="Standard 6 6 4 2 6 3" xfId="11458" xr:uid="{00000000-0005-0000-0000-0000C92C0000}"/>
    <cellStyle name="Standard 6 6 4 2 6 3 2" xfId="23419" xr:uid="{42495D10-F710-4051-9CC2-CA2C468C43C6}"/>
    <cellStyle name="Standard 6 6 4 2 6 4" xfId="23416" xr:uid="{2F496F37-F025-42E6-951A-24E1EB0621A2}"/>
    <cellStyle name="Standard 6 6 4 2 7" xfId="11459" xr:uid="{00000000-0005-0000-0000-0000CA2C0000}"/>
    <cellStyle name="Standard 6 6 4 2 7 2" xfId="11460" xr:uid="{00000000-0005-0000-0000-0000CB2C0000}"/>
    <cellStyle name="Standard 6 6 4 2 7 2 2" xfId="11461" xr:uid="{00000000-0005-0000-0000-0000CC2C0000}"/>
    <cellStyle name="Standard 6 6 4 2 7 2 2 2" xfId="23422" xr:uid="{D04231D3-F646-416F-B31A-5BA6A441DD80}"/>
    <cellStyle name="Standard 6 6 4 2 7 2 3" xfId="23421" xr:uid="{07D5C4E4-00F8-4E73-9AD2-1880E01CF200}"/>
    <cellStyle name="Standard 6 6 4 2 7 3" xfId="11462" xr:uid="{00000000-0005-0000-0000-0000CD2C0000}"/>
    <cellStyle name="Standard 6 6 4 2 7 3 2" xfId="23423" xr:uid="{64A344A4-09EB-4F6E-B1B1-BBA0D5A19783}"/>
    <cellStyle name="Standard 6 6 4 2 7 4" xfId="23420" xr:uid="{A933F02F-9875-4825-8D9C-B909493EDE25}"/>
    <cellStyle name="Standard 6 6 4 2 8" xfId="11463" xr:uid="{00000000-0005-0000-0000-0000CE2C0000}"/>
    <cellStyle name="Standard 6 6 4 2 8 2" xfId="11464" xr:uid="{00000000-0005-0000-0000-0000CF2C0000}"/>
    <cellStyle name="Standard 6 6 4 2 8 2 2" xfId="23425" xr:uid="{99806E47-7283-48E1-87EC-F7FFF158C475}"/>
    <cellStyle name="Standard 6 6 4 2 8 3" xfId="23424" xr:uid="{ABF1EC44-32B2-4AAA-8FFC-9656FD25D44C}"/>
    <cellStyle name="Standard 6 6 4 2 9" xfId="11465" xr:uid="{00000000-0005-0000-0000-0000D02C0000}"/>
    <cellStyle name="Standard 6 6 4 2 9 2" xfId="23426" xr:uid="{3471EB4E-512E-4C5E-AC34-F7623D8EC3DF}"/>
    <cellStyle name="Standard 6 6 4 3" xfId="11466" xr:uid="{00000000-0005-0000-0000-0000D12C0000}"/>
    <cellStyle name="Standard 6 6 4 3 2" xfId="11467" xr:uid="{00000000-0005-0000-0000-0000D22C0000}"/>
    <cellStyle name="Standard 6 6 4 3 2 2" xfId="11468" xr:uid="{00000000-0005-0000-0000-0000D32C0000}"/>
    <cellStyle name="Standard 6 6 4 3 2 2 2" xfId="23429" xr:uid="{CB1724E0-9876-4E77-85A6-68310D61E525}"/>
    <cellStyle name="Standard 6 6 4 3 2 3" xfId="23428" xr:uid="{36387446-9D3A-4B85-B9AF-29C353D7B36A}"/>
    <cellStyle name="Standard 6 6 4 3 3" xfId="11469" xr:uid="{00000000-0005-0000-0000-0000D42C0000}"/>
    <cellStyle name="Standard 6 6 4 3 3 2" xfId="23430" xr:uid="{0A741E86-A418-4A95-BD4D-833652D29F7B}"/>
    <cellStyle name="Standard 6 6 4 3 4" xfId="23427" xr:uid="{8C5002D0-2118-4606-BF45-F839CB22598C}"/>
    <cellStyle name="Standard 6 6 4 4" xfId="11470" xr:uid="{00000000-0005-0000-0000-0000D52C0000}"/>
    <cellStyle name="Standard 6 6 4 4 2" xfId="11471" xr:uid="{00000000-0005-0000-0000-0000D62C0000}"/>
    <cellStyle name="Standard 6 6 4 4 2 2" xfId="11472" xr:uid="{00000000-0005-0000-0000-0000D72C0000}"/>
    <cellStyle name="Standard 6 6 4 4 2 2 2" xfId="23433" xr:uid="{B5A3E41C-54FF-492D-9837-524D331054D6}"/>
    <cellStyle name="Standard 6 6 4 4 2 3" xfId="23432" xr:uid="{A9F82539-418E-4124-B36C-B55D523EA17C}"/>
    <cellStyle name="Standard 6 6 4 4 3" xfId="11473" xr:uid="{00000000-0005-0000-0000-0000D82C0000}"/>
    <cellStyle name="Standard 6 6 4 4 3 2" xfId="23434" xr:uid="{AC95237D-0C6A-4650-A68D-FA7AFE1DA67B}"/>
    <cellStyle name="Standard 6 6 4 4 4" xfId="23431" xr:uid="{19258380-66C8-4E9B-873B-DAA52AF6A7AE}"/>
    <cellStyle name="Standard 6 6 4 5" xfId="11474" xr:uid="{00000000-0005-0000-0000-0000D92C0000}"/>
    <cellStyle name="Standard 6 6 4 5 2" xfId="11475" xr:uid="{00000000-0005-0000-0000-0000DA2C0000}"/>
    <cellStyle name="Standard 6 6 4 5 2 2" xfId="11476" xr:uid="{00000000-0005-0000-0000-0000DB2C0000}"/>
    <cellStyle name="Standard 6 6 4 5 2 2 2" xfId="23437" xr:uid="{994D20B0-AD31-4BC9-AC91-8C4C99776DBE}"/>
    <cellStyle name="Standard 6 6 4 5 2 3" xfId="23436" xr:uid="{2370E21F-7C7C-4F15-824E-261FE9438CFF}"/>
    <cellStyle name="Standard 6 6 4 5 3" xfId="11477" xr:uid="{00000000-0005-0000-0000-0000DC2C0000}"/>
    <cellStyle name="Standard 6 6 4 5 3 2" xfId="23438" xr:uid="{B93F1343-021C-45BD-B1CC-41AE2FF913CE}"/>
    <cellStyle name="Standard 6 6 4 5 4" xfId="23435" xr:uid="{6E93F5A6-F8BC-4643-9239-32F5526AA132}"/>
    <cellStyle name="Standard 6 6 4 6" xfId="11478" xr:uid="{00000000-0005-0000-0000-0000DD2C0000}"/>
    <cellStyle name="Standard 6 6 4 6 2" xfId="11479" xr:uid="{00000000-0005-0000-0000-0000DE2C0000}"/>
    <cellStyle name="Standard 6 6 4 6 2 2" xfId="11480" xr:uid="{00000000-0005-0000-0000-0000DF2C0000}"/>
    <cellStyle name="Standard 6 6 4 6 2 2 2" xfId="23441" xr:uid="{670E7C93-BE20-447F-9ECC-7E106B33E3A5}"/>
    <cellStyle name="Standard 6 6 4 6 2 3" xfId="23440" xr:uid="{D85BDB36-B622-4854-B106-88F2128C9B61}"/>
    <cellStyle name="Standard 6 6 4 6 3" xfId="11481" xr:uid="{00000000-0005-0000-0000-0000E02C0000}"/>
    <cellStyle name="Standard 6 6 4 6 3 2" xfId="23442" xr:uid="{4B9CDBDF-67D2-4CA1-8209-B3376BB9C6EE}"/>
    <cellStyle name="Standard 6 6 4 6 4" xfId="23439" xr:uid="{41007359-2F52-4E66-998F-2F6EBE6496D7}"/>
    <cellStyle name="Standard 6 6 4 7" xfId="11482" xr:uid="{00000000-0005-0000-0000-0000E12C0000}"/>
    <cellStyle name="Standard 6 6 4 7 2" xfId="11483" xr:uid="{00000000-0005-0000-0000-0000E22C0000}"/>
    <cellStyle name="Standard 6 6 4 7 2 2" xfId="11484" xr:uid="{00000000-0005-0000-0000-0000E32C0000}"/>
    <cellStyle name="Standard 6 6 4 7 2 2 2" xfId="23445" xr:uid="{BCE5C188-8108-4605-A943-D0F32C78ADAC}"/>
    <cellStyle name="Standard 6 6 4 7 2 3" xfId="23444" xr:uid="{6108E91E-DAF5-4C25-B840-636CB786CA59}"/>
    <cellStyle name="Standard 6 6 4 7 3" xfId="11485" xr:uid="{00000000-0005-0000-0000-0000E42C0000}"/>
    <cellStyle name="Standard 6 6 4 7 3 2" xfId="23446" xr:uid="{392FA563-7F87-4A12-BE33-E9B88511C940}"/>
    <cellStyle name="Standard 6 6 4 7 4" xfId="23443" xr:uid="{801B3358-D747-4FD9-B9B9-5DD2BEB82A36}"/>
    <cellStyle name="Standard 6 6 4 8" xfId="11486" xr:uid="{00000000-0005-0000-0000-0000E52C0000}"/>
    <cellStyle name="Standard 6 6 4 8 2" xfId="11487" xr:uid="{00000000-0005-0000-0000-0000E62C0000}"/>
    <cellStyle name="Standard 6 6 4 8 2 2" xfId="11488" xr:uid="{00000000-0005-0000-0000-0000E72C0000}"/>
    <cellStyle name="Standard 6 6 4 8 2 2 2" xfId="23449" xr:uid="{B31DDBE6-AF32-4904-A4B6-F091748FBCA9}"/>
    <cellStyle name="Standard 6 6 4 8 2 3" xfId="23448" xr:uid="{46F32749-3DF4-40C4-BE03-31AE64CB377A}"/>
    <cellStyle name="Standard 6 6 4 8 3" xfId="11489" xr:uid="{00000000-0005-0000-0000-0000E82C0000}"/>
    <cellStyle name="Standard 6 6 4 8 3 2" xfId="23450" xr:uid="{556F3FFC-2ACA-4A0A-A6DA-7FF136D0C88C}"/>
    <cellStyle name="Standard 6 6 4 8 4" xfId="23447" xr:uid="{BBF40012-5965-4D55-89BC-2C7A0B041C62}"/>
    <cellStyle name="Standard 6 6 4 9" xfId="11490" xr:uid="{00000000-0005-0000-0000-0000E92C0000}"/>
    <cellStyle name="Standard 6 6 4 9 2" xfId="11491" xr:uid="{00000000-0005-0000-0000-0000EA2C0000}"/>
    <cellStyle name="Standard 6 6 4 9 2 2" xfId="23452" xr:uid="{03B47AAD-D9A1-4473-950D-27F0BDC0F57F}"/>
    <cellStyle name="Standard 6 6 4 9 3" xfId="23451" xr:uid="{8D269280-3783-4FFC-9196-0B6B26103A53}"/>
    <cellStyle name="Standard 6 6 5" xfId="11492" xr:uid="{00000000-0005-0000-0000-0000EB2C0000}"/>
    <cellStyle name="Standard 6 6 5 10" xfId="11493" xr:uid="{00000000-0005-0000-0000-0000EC2C0000}"/>
    <cellStyle name="Standard 6 6 5 10 2" xfId="23454" xr:uid="{89638E46-B60E-44CD-AF10-AD4EBF2FCF1A}"/>
    <cellStyle name="Standard 6 6 5 11" xfId="23453" xr:uid="{887E1682-46E9-412E-AA70-F9CD6838FB5A}"/>
    <cellStyle name="Standard 6 6 5 2" xfId="11494" xr:uid="{00000000-0005-0000-0000-0000ED2C0000}"/>
    <cellStyle name="Standard 6 6 5 2 10" xfId="23455" xr:uid="{1912D82E-FBDE-403D-934E-1EEFCD24B551}"/>
    <cellStyle name="Standard 6 6 5 2 2" xfId="11495" xr:uid="{00000000-0005-0000-0000-0000EE2C0000}"/>
    <cellStyle name="Standard 6 6 5 2 2 2" xfId="11496" xr:uid="{00000000-0005-0000-0000-0000EF2C0000}"/>
    <cellStyle name="Standard 6 6 5 2 2 2 2" xfId="11497" xr:uid="{00000000-0005-0000-0000-0000F02C0000}"/>
    <cellStyle name="Standard 6 6 5 2 2 2 2 2" xfId="23458" xr:uid="{D64037A2-1850-4A1B-B31C-4C1C034E990B}"/>
    <cellStyle name="Standard 6 6 5 2 2 2 3" xfId="23457" xr:uid="{DCB5128F-2B70-4F84-BD1F-471BEEFD0988}"/>
    <cellStyle name="Standard 6 6 5 2 2 3" xfId="11498" xr:uid="{00000000-0005-0000-0000-0000F12C0000}"/>
    <cellStyle name="Standard 6 6 5 2 2 3 2" xfId="23459" xr:uid="{0EE05C05-73B7-49C6-94A2-310609075544}"/>
    <cellStyle name="Standard 6 6 5 2 2 4" xfId="23456" xr:uid="{13AC7E26-2EA6-48D2-AF5B-0EBB6CE69AA3}"/>
    <cellStyle name="Standard 6 6 5 2 3" xfId="11499" xr:uid="{00000000-0005-0000-0000-0000F22C0000}"/>
    <cellStyle name="Standard 6 6 5 2 3 2" xfId="11500" xr:uid="{00000000-0005-0000-0000-0000F32C0000}"/>
    <cellStyle name="Standard 6 6 5 2 3 2 2" xfId="11501" xr:uid="{00000000-0005-0000-0000-0000F42C0000}"/>
    <cellStyle name="Standard 6 6 5 2 3 2 2 2" xfId="23462" xr:uid="{985A6393-43CB-4DED-8983-B65015A03475}"/>
    <cellStyle name="Standard 6 6 5 2 3 2 3" xfId="23461" xr:uid="{9BA98ACD-F8C7-4389-9478-936BD5998F3D}"/>
    <cellStyle name="Standard 6 6 5 2 3 3" xfId="11502" xr:uid="{00000000-0005-0000-0000-0000F52C0000}"/>
    <cellStyle name="Standard 6 6 5 2 3 3 2" xfId="23463" xr:uid="{954D9F2D-9446-4B2D-8DAF-9BBBE6A9C855}"/>
    <cellStyle name="Standard 6 6 5 2 3 4" xfId="23460" xr:uid="{0A32570E-153A-440E-A144-A56775013CDC}"/>
    <cellStyle name="Standard 6 6 5 2 4" xfId="11503" xr:uid="{00000000-0005-0000-0000-0000F62C0000}"/>
    <cellStyle name="Standard 6 6 5 2 4 2" xfId="11504" xr:uid="{00000000-0005-0000-0000-0000F72C0000}"/>
    <cellStyle name="Standard 6 6 5 2 4 2 2" xfId="11505" xr:uid="{00000000-0005-0000-0000-0000F82C0000}"/>
    <cellStyle name="Standard 6 6 5 2 4 2 2 2" xfId="23466" xr:uid="{C1B12993-E643-4040-B952-926E28FD90BC}"/>
    <cellStyle name="Standard 6 6 5 2 4 2 3" xfId="23465" xr:uid="{8FCB94D8-6762-49F2-A468-741E04810B82}"/>
    <cellStyle name="Standard 6 6 5 2 4 3" xfId="11506" xr:uid="{00000000-0005-0000-0000-0000F92C0000}"/>
    <cellStyle name="Standard 6 6 5 2 4 3 2" xfId="23467" xr:uid="{0F8D99D3-6954-4E48-B97C-A425B8E2EB20}"/>
    <cellStyle name="Standard 6 6 5 2 4 4" xfId="23464" xr:uid="{D0270736-26DF-42F5-814A-BF7440FC613A}"/>
    <cellStyle name="Standard 6 6 5 2 5" xfId="11507" xr:uid="{00000000-0005-0000-0000-0000FA2C0000}"/>
    <cellStyle name="Standard 6 6 5 2 5 2" xfId="11508" xr:uid="{00000000-0005-0000-0000-0000FB2C0000}"/>
    <cellStyle name="Standard 6 6 5 2 5 2 2" xfId="11509" xr:uid="{00000000-0005-0000-0000-0000FC2C0000}"/>
    <cellStyle name="Standard 6 6 5 2 5 2 2 2" xfId="23470" xr:uid="{4D8310BC-FBB3-49EF-87E9-494E6D77CAAD}"/>
    <cellStyle name="Standard 6 6 5 2 5 2 3" xfId="23469" xr:uid="{D708CDAF-8023-47F1-9FFB-AFEEA4E01989}"/>
    <cellStyle name="Standard 6 6 5 2 5 3" xfId="11510" xr:uid="{00000000-0005-0000-0000-0000FD2C0000}"/>
    <cellStyle name="Standard 6 6 5 2 5 3 2" xfId="23471" xr:uid="{793EFB36-8FAB-4794-9217-5D83DCB64EA5}"/>
    <cellStyle name="Standard 6 6 5 2 5 4" xfId="23468" xr:uid="{8FFA6277-408F-42AA-80FB-E2A1C08B2496}"/>
    <cellStyle name="Standard 6 6 5 2 6" xfId="11511" xr:uid="{00000000-0005-0000-0000-0000FE2C0000}"/>
    <cellStyle name="Standard 6 6 5 2 6 2" xfId="11512" xr:uid="{00000000-0005-0000-0000-0000FF2C0000}"/>
    <cellStyle name="Standard 6 6 5 2 6 2 2" xfId="11513" xr:uid="{00000000-0005-0000-0000-0000002D0000}"/>
    <cellStyle name="Standard 6 6 5 2 6 2 2 2" xfId="23474" xr:uid="{2D9E87D6-C42E-4B94-9716-238F95CF1A1A}"/>
    <cellStyle name="Standard 6 6 5 2 6 2 3" xfId="23473" xr:uid="{52FE16BD-FEEF-4F06-9D55-E27C87A3D2DF}"/>
    <cellStyle name="Standard 6 6 5 2 6 3" xfId="11514" xr:uid="{00000000-0005-0000-0000-0000012D0000}"/>
    <cellStyle name="Standard 6 6 5 2 6 3 2" xfId="23475" xr:uid="{D720A4E7-95CF-4865-BC0D-C6F13FA0C0CA}"/>
    <cellStyle name="Standard 6 6 5 2 6 4" xfId="23472" xr:uid="{6D07D751-E1C4-4064-9E59-5F88E452B6BC}"/>
    <cellStyle name="Standard 6 6 5 2 7" xfId="11515" xr:uid="{00000000-0005-0000-0000-0000022D0000}"/>
    <cellStyle name="Standard 6 6 5 2 7 2" xfId="11516" xr:uid="{00000000-0005-0000-0000-0000032D0000}"/>
    <cellStyle name="Standard 6 6 5 2 7 2 2" xfId="11517" xr:uid="{00000000-0005-0000-0000-0000042D0000}"/>
    <cellStyle name="Standard 6 6 5 2 7 2 2 2" xfId="23478" xr:uid="{8264933E-BCE4-4C1D-A5D3-43C04B49254D}"/>
    <cellStyle name="Standard 6 6 5 2 7 2 3" xfId="23477" xr:uid="{739DA95C-E8DA-4F57-AD56-B93EA3ECD33E}"/>
    <cellStyle name="Standard 6 6 5 2 7 3" xfId="11518" xr:uid="{00000000-0005-0000-0000-0000052D0000}"/>
    <cellStyle name="Standard 6 6 5 2 7 3 2" xfId="23479" xr:uid="{1F30D63C-A9ED-4E2B-B813-6E28AA4D4279}"/>
    <cellStyle name="Standard 6 6 5 2 7 4" xfId="23476" xr:uid="{D14CD005-0848-41C1-AAF3-0C1BD9BD7776}"/>
    <cellStyle name="Standard 6 6 5 2 8" xfId="11519" xr:uid="{00000000-0005-0000-0000-0000062D0000}"/>
    <cellStyle name="Standard 6 6 5 2 8 2" xfId="11520" xr:uid="{00000000-0005-0000-0000-0000072D0000}"/>
    <cellStyle name="Standard 6 6 5 2 8 2 2" xfId="23481" xr:uid="{16CC3FCE-296F-4FC5-8BC3-F964AB566695}"/>
    <cellStyle name="Standard 6 6 5 2 8 3" xfId="23480" xr:uid="{4DE44DED-8933-4FD0-9F04-9C69B5BE01EC}"/>
    <cellStyle name="Standard 6 6 5 2 9" xfId="11521" xr:uid="{00000000-0005-0000-0000-0000082D0000}"/>
    <cellStyle name="Standard 6 6 5 2 9 2" xfId="23482" xr:uid="{D73467D4-0A52-4057-A9AB-B2A4DC2D35F8}"/>
    <cellStyle name="Standard 6 6 5 3" xfId="11522" xr:uid="{00000000-0005-0000-0000-0000092D0000}"/>
    <cellStyle name="Standard 6 6 5 3 2" xfId="11523" xr:uid="{00000000-0005-0000-0000-00000A2D0000}"/>
    <cellStyle name="Standard 6 6 5 3 2 2" xfId="11524" xr:uid="{00000000-0005-0000-0000-00000B2D0000}"/>
    <cellStyle name="Standard 6 6 5 3 2 2 2" xfId="23485" xr:uid="{FA58F88A-BF38-413D-9C1D-A0B68CD45D0A}"/>
    <cellStyle name="Standard 6 6 5 3 2 3" xfId="23484" xr:uid="{9747C1E2-1035-4705-8B59-83C5E8A1BFD9}"/>
    <cellStyle name="Standard 6 6 5 3 3" xfId="11525" xr:uid="{00000000-0005-0000-0000-00000C2D0000}"/>
    <cellStyle name="Standard 6 6 5 3 3 2" xfId="23486" xr:uid="{DF5C29CC-2CA0-4DD6-AF67-A60EF44FC352}"/>
    <cellStyle name="Standard 6 6 5 3 4" xfId="23483" xr:uid="{BAF87F18-7640-431C-A7C0-D6D7292C7687}"/>
    <cellStyle name="Standard 6 6 5 4" xfId="11526" xr:uid="{00000000-0005-0000-0000-00000D2D0000}"/>
    <cellStyle name="Standard 6 6 5 4 2" xfId="11527" xr:uid="{00000000-0005-0000-0000-00000E2D0000}"/>
    <cellStyle name="Standard 6 6 5 4 2 2" xfId="11528" xr:uid="{00000000-0005-0000-0000-00000F2D0000}"/>
    <cellStyle name="Standard 6 6 5 4 2 2 2" xfId="23489" xr:uid="{87ACC63B-416F-4A6D-8B28-12117AD64DC9}"/>
    <cellStyle name="Standard 6 6 5 4 2 3" xfId="23488" xr:uid="{15C167D2-8870-4301-BDA3-EC9193A2BF1D}"/>
    <cellStyle name="Standard 6 6 5 4 3" xfId="11529" xr:uid="{00000000-0005-0000-0000-0000102D0000}"/>
    <cellStyle name="Standard 6 6 5 4 3 2" xfId="23490" xr:uid="{DD145E74-F023-4067-A618-EA42287F046C}"/>
    <cellStyle name="Standard 6 6 5 4 4" xfId="23487" xr:uid="{ADEFDAE7-0803-44E2-9B43-BC4BBB64706D}"/>
    <cellStyle name="Standard 6 6 5 5" xfId="11530" xr:uid="{00000000-0005-0000-0000-0000112D0000}"/>
    <cellStyle name="Standard 6 6 5 5 2" xfId="11531" xr:uid="{00000000-0005-0000-0000-0000122D0000}"/>
    <cellStyle name="Standard 6 6 5 5 2 2" xfId="11532" xr:uid="{00000000-0005-0000-0000-0000132D0000}"/>
    <cellStyle name="Standard 6 6 5 5 2 2 2" xfId="23493" xr:uid="{27641A71-C85F-4AE3-ABEA-866B22761839}"/>
    <cellStyle name="Standard 6 6 5 5 2 3" xfId="23492" xr:uid="{ACEBEE8A-C53C-4B8F-98A0-38808EA7CF40}"/>
    <cellStyle name="Standard 6 6 5 5 3" xfId="11533" xr:uid="{00000000-0005-0000-0000-0000142D0000}"/>
    <cellStyle name="Standard 6 6 5 5 3 2" xfId="23494" xr:uid="{448DE110-7335-4B50-B810-8427032FABCF}"/>
    <cellStyle name="Standard 6 6 5 5 4" xfId="23491" xr:uid="{E904281F-E4AE-4D2E-A872-E6A266C3DCB8}"/>
    <cellStyle name="Standard 6 6 5 6" xfId="11534" xr:uid="{00000000-0005-0000-0000-0000152D0000}"/>
    <cellStyle name="Standard 6 6 5 6 2" xfId="11535" xr:uid="{00000000-0005-0000-0000-0000162D0000}"/>
    <cellStyle name="Standard 6 6 5 6 2 2" xfId="11536" xr:uid="{00000000-0005-0000-0000-0000172D0000}"/>
    <cellStyle name="Standard 6 6 5 6 2 2 2" xfId="23497" xr:uid="{24E9F07E-C30C-446E-84A5-8F67E4FD27DB}"/>
    <cellStyle name="Standard 6 6 5 6 2 3" xfId="23496" xr:uid="{348E6FC9-6DD0-489F-AA86-FB58B89496BC}"/>
    <cellStyle name="Standard 6 6 5 6 3" xfId="11537" xr:uid="{00000000-0005-0000-0000-0000182D0000}"/>
    <cellStyle name="Standard 6 6 5 6 3 2" xfId="23498" xr:uid="{DF3BF436-089B-4FB0-AC6C-5A57C338FA82}"/>
    <cellStyle name="Standard 6 6 5 6 4" xfId="23495" xr:uid="{A99C206E-20E2-4BEC-AA4A-B300FFE2D6F2}"/>
    <cellStyle name="Standard 6 6 5 7" xfId="11538" xr:uid="{00000000-0005-0000-0000-0000192D0000}"/>
    <cellStyle name="Standard 6 6 5 7 2" xfId="11539" xr:uid="{00000000-0005-0000-0000-00001A2D0000}"/>
    <cellStyle name="Standard 6 6 5 7 2 2" xfId="11540" xr:uid="{00000000-0005-0000-0000-00001B2D0000}"/>
    <cellStyle name="Standard 6 6 5 7 2 2 2" xfId="23501" xr:uid="{4D9B8918-2D78-4525-8E25-AE69B707E619}"/>
    <cellStyle name="Standard 6 6 5 7 2 3" xfId="23500" xr:uid="{5E488B3E-D200-4A72-9097-05ED36AD8C11}"/>
    <cellStyle name="Standard 6 6 5 7 3" xfId="11541" xr:uid="{00000000-0005-0000-0000-00001C2D0000}"/>
    <cellStyle name="Standard 6 6 5 7 3 2" xfId="23502" xr:uid="{6B65610A-C157-4102-AFA6-B197E704A602}"/>
    <cellStyle name="Standard 6 6 5 7 4" xfId="23499" xr:uid="{846439F3-764F-4CB3-B5DC-FBF96D6EA4E0}"/>
    <cellStyle name="Standard 6 6 5 8" xfId="11542" xr:uid="{00000000-0005-0000-0000-00001D2D0000}"/>
    <cellStyle name="Standard 6 6 5 8 2" xfId="11543" xr:uid="{00000000-0005-0000-0000-00001E2D0000}"/>
    <cellStyle name="Standard 6 6 5 8 2 2" xfId="11544" xr:uid="{00000000-0005-0000-0000-00001F2D0000}"/>
    <cellStyle name="Standard 6 6 5 8 2 2 2" xfId="23505" xr:uid="{0007AFFC-9FF1-4454-9326-404C8CA2BC89}"/>
    <cellStyle name="Standard 6 6 5 8 2 3" xfId="23504" xr:uid="{5CD37F71-FFF7-45A3-AF71-4767563C3DD5}"/>
    <cellStyle name="Standard 6 6 5 8 3" xfId="11545" xr:uid="{00000000-0005-0000-0000-0000202D0000}"/>
    <cellStyle name="Standard 6 6 5 8 3 2" xfId="23506" xr:uid="{AEFB952C-BF38-4B66-82A7-9EFD3D6137A6}"/>
    <cellStyle name="Standard 6 6 5 8 4" xfId="23503" xr:uid="{5867106B-B78C-46DA-88A4-0E9968AB5F30}"/>
    <cellStyle name="Standard 6 6 5 9" xfId="11546" xr:uid="{00000000-0005-0000-0000-0000212D0000}"/>
    <cellStyle name="Standard 6 6 5 9 2" xfId="11547" xr:uid="{00000000-0005-0000-0000-0000222D0000}"/>
    <cellStyle name="Standard 6 6 5 9 2 2" xfId="23508" xr:uid="{ACFD603C-EB95-4589-ADE5-882940963059}"/>
    <cellStyle name="Standard 6 6 5 9 3" xfId="23507" xr:uid="{89484AA2-29B1-4AB5-9E58-A9EDDED06CD5}"/>
    <cellStyle name="Standard 6 6 6" xfId="11548" xr:uid="{00000000-0005-0000-0000-0000232D0000}"/>
    <cellStyle name="Standard 6 6 6 10" xfId="11549" xr:uid="{00000000-0005-0000-0000-0000242D0000}"/>
    <cellStyle name="Standard 6 6 6 10 2" xfId="23510" xr:uid="{BA0720DE-3801-4726-821C-02D777B40E43}"/>
    <cellStyle name="Standard 6 6 6 11" xfId="23509" xr:uid="{2E8C12EB-DF32-4752-A29C-0AAC7FF4C7F7}"/>
    <cellStyle name="Standard 6 6 6 2" xfId="11550" xr:uid="{00000000-0005-0000-0000-0000252D0000}"/>
    <cellStyle name="Standard 6 6 6 2 10" xfId="23511" xr:uid="{30E64294-D5E0-428F-ABB5-68F399453E88}"/>
    <cellStyle name="Standard 6 6 6 2 2" xfId="11551" xr:uid="{00000000-0005-0000-0000-0000262D0000}"/>
    <cellStyle name="Standard 6 6 6 2 2 2" xfId="11552" xr:uid="{00000000-0005-0000-0000-0000272D0000}"/>
    <cellStyle name="Standard 6 6 6 2 2 2 2" xfId="11553" xr:uid="{00000000-0005-0000-0000-0000282D0000}"/>
    <cellStyle name="Standard 6 6 6 2 2 2 2 2" xfId="23514" xr:uid="{D20B5202-2122-4582-B10A-A83AFE5F87C6}"/>
    <cellStyle name="Standard 6 6 6 2 2 2 3" xfId="23513" xr:uid="{D5113F67-33F6-49FD-BD23-9B90E710F962}"/>
    <cellStyle name="Standard 6 6 6 2 2 3" xfId="11554" xr:uid="{00000000-0005-0000-0000-0000292D0000}"/>
    <cellStyle name="Standard 6 6 6 2 2 3 2" xfId="23515" xr:uid="{E358B634-3447-4597-94BD-4F73AAB3E69F}"/>
    <cellStyle name="Standard 6 6 6 2 2 4" xfId="23512" xr:uid="{548EE7E8-4AB6-4236-8F8F-18247B1A092F}"/>
    <cellStyle name="Standard 6 6 6 2 3" xfId="11555" xr:uid="{00000000-0005-0000-0000-00002A2D0000}"/>
    <cellStyle name="Standard 6 6 6 2 3 2" xfId="11556" xr:uid="{00000000-0005-0000-0000-00002B2D0000}"/>
    <cellStyle name="Standard 6 6 6 2 3 2 2" xfId="11557" xr:uid="{00000000-0005-0000-0000-00002C2D0000}"/>
    <cellStyle name="Standard 6 6 6 2 3 2 2 2" xfId="23518" xr:uid="{0E14354F-33EF-43E8-AF57-3508F6588334}"/>
    <cellStyle name="Standard 6 6 6 2 3 2 3" xfId="23517" xr:uid="{AA41A7BE-2B41-4955-BDF0-C9CCB0CD0E53}"/>
    <cellStyle name="Standard 6 6 6 2 3 3" xfId="11558" xr:uid="{00000000-0005-0000-0000-00002D2D0000}"/>
    <cellStyle name="Standard 6 6 6 2 3 3 2" xfId="23519" xr:uid="{B89086CD-3F45-4683-9D0F-7E530DFF0354}"/>
    <cellStyle name="Standard 6 6 6 2 3 4" xfId="23516" xr:uid="{8ED78D83-46C1-4663-8933-F4BCB518FEB7}"/>
    <cellStyle name="Standard 6 6 6 2 4" xfId="11559" xr:uid="{00000000-0005-0000-0000-00002E2D0000}"/>
    <cellStyle name="Standard 6 6 6 2 4 2" xfId="11560" xr:uid="{00000000-0005-0000-0000-00002F2D0000}"/>
    <cellStyle name="Standard 6 6 6 2 4 2 2" xfId="11561" xr:uid="{00000000-0005-0000-0000-0000302D0000}"/>
    <cellStyle name="Standard 6 6 6 2 4 2 2 2" xfId="23522" xr:uid="{450E7A32-8267-4628-B563-27A944EEEF5D}"/>
    <cellStyle name="Standard 6 6 6 2 4 2 3" xfId="23521" xr:uid="{D42C72F9-92A8-4448-929D-F544AE4D46E8}"/>
    <cellStyle name="Standard 6 6 6 2 4 3" xfId="11562" xr:uid="{00000000-0005-0000-0000-0000312D0000}"/>
    <cellStyle name="Standard 6 6 6 2 4 3 2" xfId="23523" xr:uid="{8F3C2DAE-D851-437E-A7CE-BEBE12B39679}"/>
    <cellStyle name="Standard 6 6 6 2 4 4" xfId="23520" xr:uid="{913BC6B3-185E-40B8-BE20-C5040AE582E3}"/>
    <cellStyle name="Standard 6 6 6 2 5" xfId="11563" xr:uid="{00000000-0005-0000-0000-0000322D0000}"/>
    <cellStyle name="Standard 6 6 6 2 5 2" xfId="11564" xr:uid="{00000000-0005-0000-0000-0000332D0000}"/>
    <cellStyle name="Standard 6 6 6 2 5 2 2" xfId="11565" xr:uid="{00000000-0005-0000-0000-0000342D0000}"/>
    <cellStyle name="Standard 6 6 6 2 5 2 2 2" xfId="23526" xr:uid="{0632BE0A-75AF-470F-B11A-061153BBEC90}"/>
    <cellStyle name="Standard 6 6 6 2 5 2 3" xfId="23525" xr:uid="{537057F1-0C06-4A04-A110-11AF24C87546}"/>
    <cellStyle name="Standard 6 6 6 2 5 3" xfId="11566" xr:uid="{00000000-0005-0000-0000-0000352D0000}"/>
    <cellStyle name="Standard 6 6 6 2 5 3 2" xfId="23527" xr:uid="{7E68077D-A800-4D53-98EB-EE544D24B5B6}"/>
    <cellStyle name="Standard 6 6 6 2 5 4" xfId="23524" xr:uid="{18FA12C9-8070-462C-97DF-27E4DCF73AEE}"/>
    <cellStyle name="Standard 6 6 6 2 6" xfId="11567" xr:uid="{00000000-0005-0000-0000-0000362D0000}"/>
    <cellStyle name="Standard 6 6 6 2 6 2" xfId="11568" xr:uid="{00000000-0005-0000-0000-0000372D0000}"/>
    <cellStyle name="Standard 6 6 6 2 6 2 2" xfId="11569" xr:uid="{00000000-0005-0000-0000-0000382D0000}"/>
    <cellStyle name="Standard 6 6 6 2 6 2 2 2" xfId="23530" xr:uid="{3ECA6C7B-0C85-4CCE-93A7-F852A023DBD7}"/>
    <cellStyle name="Standard 6 6 6 2 6 2 3" xfId="23529" xr:uid="{F4DAC7E9-21F8-4AF7-B6C6-B4346FD24063}"/>
    <cellStyle name="Standard 6 6 6 2 6 3" xfId="11570" xr:uid="{00000000-0005-0000-0000-0000392D0000}"/>
    <cellStyle name="Standard 6 6 6 2 6 3 2" xfId="23531" xr:uid="{02FA1ACF-9DC8-421C-9445-1E973D261E3E}"/>
    <cellStyle name="Standard 6 6 6 2 6 4" xfId="23528" xr:uid="{9B263414-F368-4856-9BFE-45205D6592D7}"/>
    <cellStyle name="Standard 6 6 6 2 7" xfId="11571" xr:uid="{00000000-0005-0000-0000-00003A2D0000}"/>
    <cellStyle name="Standard 6 6 6 2 7 2" xfId="11572" xr:uid="{00000000-0005-0000-0000-00003B2D0000}"/>
    <cellStyle name="Standard 6 6 6 2 7 2 2" xfId="11573" xr:uid="{00000000-0005-0000-0000-00003C2D0000}"/>
    <cellStyle name="Standard 6 6 6 2 7 2 2 2" xfId="23534" xr:uid="{4D2AA681-1700-4761-8808-E20FFD7AD5D5}"/>
    <cellStyle name="Standard 6 6 6 2 7 2 3" xfId="23533" xr:uid="{D8D953AC-EE4E-4C31-AC9E-E0968839A228}"/>
    <cellStyle name="Standard 6 6 6 2 7 3" xfId="11574" xr:uid="{00000000-0005-0000-0000-00003D2D0000}"/>
    <cellStyle name="Standard 6 6 6 2 7 3 2" xfId="23535" xr:uid="{6D742DA9-A377-4CB3-AF9A-4EDBF517424D}"/>
    <cellStyle name="Standard 6 6 6 2 7 4" xfId="23532" xr:uid="{2D6C0B2D-2B0A-46B0-AA05-9C93A8CB1CD3}"/>
    <cellStyle name="Standard 6 6 6 2 8" xfId="11575" xr:uid="{00000000-0005-0000-0000-00003E2D0000}"/>
    <cellStyle name="Standard 6 6 6 2 8 2" xfId="11576" xr:uid="{00000000-0005-0000-0000-00003F2D0000}"/>
    <cellStyle name="Standard 6 6 6 2 8 2 2" xfId="23537" xr:uid="{D9D03674-B5AB-4CDA-90C2-715E3528C164}"/>
    <cellStyle name="Standard 6 6 6 2 8 3" xfId="23536" xr:uid="{99EEFD4D-B319-429D-A32C-410E3BAAF55A}"/>
    <cellStyle name="Standard 6 6 6 2 9" xfId="11577" xr:uid="{00000000-0005-0000-0000-0000402D0000}"/>
    <cellStyle name="Standard 6 6 6 2 9 2" xfId="23538" xr:uid="{7F58D586-5EB3-4261-8E83-0E14905BD820}"/>
    <cellStyle name="Standard 6 6 6 3" xfId="11578" xr:uid="{00000000-0005-0000-0000-0000412D0000}"/>
    <cellStyle name="Standard 6 6 6 3 2" xfId="11579" xr:uid="{00000000-0005-0000-0000-0000422D0000}"/>
    <cellStyle name="Standard 6 6 6 3 2 2" xfId="11580" xr:uid="{00000000-0005-0000-0000-0000432D0000}"/>
    <cellStyle name="Standard 6 6 6 3 2 2 2" xfId="23541" xr:uid="{693E5A25-F217-4B0E-B38D-9DDEBF078F67}"/>
    <cellStyle name="Standard 6 6 6 3 2 3" xfId="23540" xr:uid="{7FDF51B1-07BE-4BB6-AB1A-AED27B721295}"/>
    <cellStyle name="Standard 6 6 6 3 3" xfId="11581" xr:uid="{00000000-0005-0000-0000-0000442D0000}"/>
    <cellStyle name="Standard 6 6 6 3 3 2" xfId="23542" xr:uid="{B10220C5-4F47-42FB-AF8F-F2150C08233F}"/>
    <cellStyle name="Standard 6 6 6 3 4" xfId="23539" xr:uid="{EDABCB1A-547E-4849-9C32-B2EF62BE3FDD}"/>
    <cellStyle name="Standard 6 6 6 4" xfId="11582" xr:uid="{00000000-0005-0000-0000-0000452D0000}"/>
    <cellStyle name="Standard 6 6 6 4 2" xfId="11583" xr:uid="{00000000-0005-0000-0000-0000462D0000}"/>
    <cellStyle name="Standard 6 6 6 4 2 2" xfId="11584" xr:uid="{00000000-0005-0000-0000-0000472D0000}"/>
    <cellStyle name="Standard 6 6 6 4 2 2 2" xfId="23545" xr:uid="{C75D1B1A-7072-4866-8DAC-0D955287A48E}"/>
    <cellStyle name="Standard 6 6 6 4 2 3" xfId="23544" xr:uid="{220D42B9-FC08-4FFB-921D-3EE87877F3F5}"/>
    <cellStyle name="Standard 6 6 6 4 3" xfId="11585" xr:uid="{00000000-0005-0000-0000-0000482D0000}"/>
    <cellStyle name="Standard 6 6 6 4 3 2" xfId="23546" xr:uid="{AA3973EA-21A6-49D6-A250-89D632FA2AE1}"/>
    <cellStyle name="Standard 6 6 6 4 4" xfId="23543" xr:uid="{CAAB6A6D-9F67-4F88-847D-9607FB3C50D7}"/>
    <cellStyle name="Standard 6 6 6 5" xfId="11586" xr:uid="{00000000-0005-0000-0000-0000492D0000}"/>
    <cellStyle name="Standard 6 6 6 5 2" xfId="11587" xr:uid="{00000000-0005-0000-0000-00004A2D0000}"/>
    <cellStyle name="Standard 6 6 6 5 2 2" xfId="11588" xr:uid="{00000000-0005-0000-0000-00004B2D0000}"/>
    <cellStyle name="Standard 6 6 6 5 2 2 2" xfId="23549" xr:uid="{A738A21F-0E07-4FFA-8F7D-E68B2C7FB96A}"/>
    <cellStyle name="Standard 6 6 6 5 2 3" xfId="23548" xr:uid="{92143C14-9276-43B2-BB35-98036805ED9E}"/>
    <cellStyle name="Standard 6 6 6 5 3" xfId="11589" xr:uid="{00000000-0005-0000-0000-00004C2D0000}"/>
    <cellStyle name="Standard 6 6 6 5 3 2" xfId="23550" xr:uid="{A7F25AE2-D3D7-460F-A0C2-EE98A110D062}"/>
    <cellStyle name="Standard 6 6 6 5 4" xfId="23547" xr:uid="{49695831-F841-4F43-B933-3EAE8EB1768B}"/>
    <cellStyle name="Standard 6 6 6 6" xfId="11590" xr:uid="{00000000-0005-0000-0000-00004D2D0000}"/>
    <cellStyle name="Standard 6 6 6 6 2" xfId="11591" xr:uid="{00000000-0005-0000-0000-00004E2D0000}"/>
    <cellStyle name="Standard 6 6 6 6 2 2" xfId="11592" xr:uid="{00000000-0005-0000-0000-00004F2D0000}"/>
    <cellStyle name="Standard 6 6 6 6 2 2 2" xfId="23553" xr:uid="{506CC495-15F0-464C-BFBD-D2B4A88F63A8}"/>
    <cellStyle name="Standard 6 6 6 6 2 3" xfId="23552" xr:uid="{AE581269-E447-4591-8FD9-1C3DE2AF29F6}"/>
    <cellStyle name="Standard 6 6 6 6 3" xfId="11593" xr:uid="{00000000-0005-0000-0000-0000502D0000}"/>
    <cellStyle name="Standard 6 6 6 6 3 2" xfId="23554" xr:uid="{BBD9592C-A6A7-4BDF-AE16-F2F9BA329D18}"/>
    <cellStyle name="Standard 6 6 6 6 4" xfId="23551" xr:uid="{222B4889-BB30-4A37-89DC-98CEB962DA8D}"/>
    <cellStyle name="Standard 6 6 6 7" xfId="11594" xr:uid="{00000000-0005-0000-0000-0000512D0000}"/>
    <cellStyle name="Standard 6 6 6 7 2" xfId="11595" xr:uid="{00000000-0005-0000-0000-0000522D0000}"/>
    <cellStyle name="Standard 6 6 6 7 2 2" xfId="11596" xr:uid="{00000000-0005-0000-0000-0000532D0000}"/>
    <cellStyle name="Standard 6 6 6 7 2 2 2" xfId="23557" xr:uid="{D1BCA413-0555-4962-A0B0-B4DCCA6A82B2}"/>
    <cellStyle name="Standard 6 6 6 7 2 3" xfId="23556" xr:uid="{B7FB8166-5B10-4C70-AC18-2D5D1A68841D}"/>
    <cellStyle name="Standard 6 6 6 7 3" xfId="11597" xr:uid="{00000000-0005-0000-0000-0000542D0000}"/>
    <cellStyle name="Standard 6 6 6 7 3 2" xfId="23558" xr:uid="{9250B877-C9F5-4E4C-9B1E-CCA2DEE2F854}"/>
    <cellStyle name="Standard 6 6 6 7 4" xfId="23555" xr:uid="{FEF36087-B726-4C88-B55D-55B272706505}"/>
    <cellStyle name="Standard 6 6 6 8" xfId="11598" xr:uid="{00000000-0005-0000-0000-0000552D0000}"/>
    <cellStyle name="Standard 6 6 6 8 2" xfId="11599" xr:uid="{00000000-0005-0000-0000-0000562D0000}"/>
    <cellStyle name="Standard 6 6 6 8 2 2" xfId="11600" xr:uid="{00000000-0005-0000-0000-0000572D0000}"/>
    <cellStyle name="Standard 6 6 6 8 2 2 2" xfId="23561" xr:uid="{6A7358DA-EFAC-496F-BFD8-5A12ACE5E3DC}"/>
    <cellStyle name="Standard 6 6 6 8 2 3" xfId="23560" xr:uid="{DAE4349C-BE13-4011-92B6-585F8DB2CD50}"/>
    <cellStyle name="Standard 6 6 6 8 3" xfId="11601" xr:uid="{00000000-0005-0000-0000-0000582D0000}"/>
    <cellStyle name="Standard 6 6 6 8 3 2" xfId="23562" xr:uid="{941EEA78-55E7-45FD-9E8C-920272F309C0}"/>
    <cellStyle name="Standard 6 6 6 8 4" xfId="23559" xr:uid="{94487832-CAB2-41AC-97BB-E55B38C26112}"/>
    <cellStyle name="Standard 6 6 6 9" xfId="11602" xr:uid="{00000000-0005-0000-0000-0000592D0000}"/>
    <cellStyle name="Standard 6 6 6 9 2" xfId="11603" xr:uid="{00000000-0005-0000-0000-00005A2D0000}"/>
    <cellStyle name="Standard 6 6 6 9 2 2" xfId="23564" xr:uid="{EB724B3A-C090-4924-915A-1A6F59EA1D21}"/>
    <cellStyle name="Standard 6 6 6 9 3" xfId="23563" xr:uid="{F3738B13-10D1-484C-927C-5B402A6CB804}"/>
    <cellStyle name="Standard 6 6 7" xfId="11604" xr:uid="{00000000-0005-0000-0000-00005B2D0000}"/>
    <cellStyle name="Standard 6 6 7 10" xfId="11605" xr:uid="{00000000-0005-0000-0000-00005C2D0000}"/>
    <cellStyle name="Standard 6 6 7 10 2" xfId="23566" xr:uid="{916CBCE8-8128-4C25-82B7-7FE20BD3E954}"/>
    <cellStyle name="Standard 6 6 7 11" xfId="23565" xr:uid="{DABFA881-FEA6-485C-9BA5-74833C676151}"/>
    <cellStyle name="Standard 6 6 7 2" xfId="11606" xr:uid="{00000000-0005-0000-0000-00005D2D0000}"/>
    <cellStyle name="Standard 6 6 7 2 10" xfId="23567" xr:uid="{8CD84683-ABB2-447A-902F-9977C90B8AD9}"/>
    <cellStyle name="Standard 6 6 7 2 2" xfId="11607" xr:uid="{00000000-0005-0000-0000-00005E2D0000}"/>
    <cellStyle name="Standard 6 6 7 2 2 2" xfId="11608" xr:uid="{00000000-0005-0000-0000-00005F2D0000}"/>
    <cellStyle name="Standard 6 6 7 2 2 2 2" xfId="11609" xr:uid="{00000000-0005-0000-0000-0000602D0000}"/>
    <cellStyle name="Standard 6 6 7 2 2 2 2 2" xfId="23570" xr:uid="{34F19A5B-F226-4BA9-AE01-52E707610F2C}"/>
    <cellStyle name="Standard 6 6 7 2 2 2 3" xfId="23569" xr:uid="{D6FA9987-4509-4F6E-93F5-16081FAEE955}"/>
    <cellStyle name="Standard 6 6 7 2 2 3" xfId="11610" xr:uid="{00000000-0005-0000-0000-0000612D0000}"/>
    <cellStyle name="Standard 6 6 7 2 2 3 2" xfId="23571" xr:uid="{654A1A88-FFE6-4100-B895-09AF6804F5F5}"/>
    <cellStyle name="Standard 6 6 7 2 2 4" xfId="23568" xr:uid="{1803B1ED-07F2-4649-9EF7-89F3916E01A2}"/>
    <cellStyle name="Standard 6 6 7 2 3" xfId="11611" xr:uid="{00000000-0005-0000-0000-0000622D0000}"/>
    <cellStyle name="Standard 6 6 7 2 3 2" xfId="11612" xr:uid="{00000000-0005-0000-0000-0000632D0000}"/>
    <cellStyle name="Standard 6 6 7 2 3 2 2" xfId="11613" xr:uid="{00000000-0005-0000-0000-0000642D0000}"/>
    <cellStyle name="Standard 6 6 7 2 3 2 2 2" xfId="23574" xr:uid="{AB4CB1A0-F838-4793-BFF3-98B96E99121F}"/>
    <cellStyle name="Standard 6 6 7 2 3 2 3" xfId="23573" xr:uid="{DDE60A1F-F57C-4DD4-9307-DB2DE968BE52}"/>
    <cellStyle name="Standard 6 6 7 2 3 3" xfId="11614" xr:uid="{00000000-0005-0000-0000-0000652D0000}"/>
    <cellStyle name="Standard 6 6 7 2 3 3 2" xfId="23575" xr:uid="{059D6345-2242-4D65-811F-7B5AAB8EAFF7}"/>
    <cellStyle name="Standard 6 6 7 2 3 4" xfId="23572" xr:uid="{42B16BF0-0F58-40D1-BDBE-87BD4E8D34A9}"/>
    <cellStyle name="Standard 6 6 7 2 4" xfId="11615" xr:uid="{00000000-0005-0000-0000-0000662D0000}"/>
    <cellStyle name="Standard 6 6 7 2 4 2" xfId="11616" xr:uid="{00000000-0005-0000-0000-0000672D0000}"/>
    <cellStyle name="Standard 6 6 7 2 4 2 2" xfId="11617" xr:uid="{00000000-0005-0000-0000-0000682D0000}"/>
    <cellStyle name="Standard 6 6 7 2 4 2 2 2" xfId="23578" xr:uid="{C68D6735-71E4-44E6-8450-76A91D56020E}"/>
    <cellStyle name="Standard 6 6 7 2 4 2 3" xfId="23577" xr:uid="{39B909EB-19EB-49B9-91EF-6B831B69A856}"/>
    <cellStyle name="Standard 6 6 7 2 4 3" xfId="11618" xr:uid="{00000000-0005-0000-0000-0000692D0000}"/>
    <cellStyle name="Standard 6 6 7 2 4 3 2" xfId="23579" xr:uid="{3170DE79-44D1-4CF2-AFB3-087BB2DA2686}"/>
    <cellStyle name="Standard 6 6 7 2 4 4" xfId="23576" xr:uid="{B4051072-8907-4B3E-B57D-371F3B3D6FDA}"/>
    <cellStyle name="Standard 6 6 7 2 5" xfId="11619" xr:uid="{00000000-0005-0000-0000-00006A2D0000}"/>
    <cellStyle name="Standard 6 6 7 2 5 2" xfId="11620" xr:uid="{00000000-0005-0000-0000-00006B2D0000}"/>
    <cellStyle name="Standard 6 6 7 2 5 2 2" xfId="11621" xr:uid="{00000000-0005-0000-0000-00006C2D0000}"/>
    <cellStyle name="Standard 6 6 7 2 5 2 2 2" xfId="23582" xr:uid="{5FA21254-96E8-4C07-8B09-858C0B9AA795}"/>
    <cellStyle name="Standard 6 6 7 2 5 2 3" xfId="23581" xr:uid="{58049412-1178-45E7-818A-E8C5BB45BF55}"/>
    <cellStyle name="Standard 6 6 7 2 5 3" xfId="11622" xr:uid="{00000000-0005-0000-0000-00006D2D0000}"/>
    <cellStyle name="Standard 6 6 7 2 5 3 2" xfId="23583" xr:uid="{FD6F2107-37A4-461D-89BE-2B691CA92222}"/>
    <cellStyle name="Standard 6 6 7 2 5 4" xfId="23580" xr:uid="{96F78501-5622-4544-9FB5-C411F01EE9A3}"/>
    <cellStyle name="Standard 6 6 7 2 6" xfId="11623" xr:uid="{00000000-0005-0000-0000-00006E2D0000}"/>
    <cellStyle name="Standard 6 6 7 2 6 2" xfId="11624" xr:uid="{00000000-0005-0000-0000-00006F2D0000}"/>
    <cellStyle name="Standard 6 6 7 2 6 2 2" xfId="11625" xr:uid="{00000000-0005-0000-0000-0000702D0000}"/>
    <cellStyle name="Standard 6 6 7 2 6 2 2 2" xfId="23586" xr:uid="{29EC91B5-E011-4A3D-A043-B7F415C14F19}"/>
    <cellStyle name="Standard 6 6 7 2 6 2 3" xfId="23585" xr:uid="{A6E7A586-FB64-49D0-885A-FDB3CF66F726}"/>
    <cellStyle name="Standard 6 6 7 2 6 3" xfId="11626" xr:uid="{00000000-0005-0000-0000-0000712D0000}"/>
    <cellStyle name="Standard 6 6 7 2 6 3 2" xfId="23587" xr:uid="{CC97D9CA-D751-4200-85FB-47B7237BCFB3}"/>
    <cellStyle name="Standard 6 6 7 2 6 4" xfId="23584" xr:uid="{A3201B4D-322E-4DAB-87F3-5065605B9D91}"/>
    <cellStyle name="Standard 6 6 7 2 7" xfId="11627" xr:uid="{00000000-0005-0000-0000-0000722D0000}"/>
    <cellStyle name="Standard 6 6 7 2 7 2" xfId="11628" xr:uid="{00000000-0005-0000-0000-0000732D0000}"/>
    <cellStyle name="Standard 6 6 7 2 7 2 2" xfId="11629" xr:uid="{00000000-0005-0000-0000-0000742D0000}"/>
    <cellStyle name="Standard 6 6 7 2 7 2 2 2" xfId="23590" xr:uid="{864C3B96-44CF-4D19-B5B9-9D822005ED63}"/>
    <cellStyle name="Standard 6 6 7 2 7 2 3" xfId="23589" xr:uid="{D4BC3CF2-7D58-4C44-A300-8A7E30D6B706}"/>
    <cellStyle name="Standard 6 6 7 2 7 3" xfId="11630" xr:uid="{00000000-0005-0000-0000-0000752D0000}"/>
    <cellStyle name="Standard 6 6 7 2 7 3 2" xfId="23591" xr:uid="{9AB43173-67D9-4505-A2AD-769B312E6D7D}"/>
    <cellStyle name="Standard 6 6 7 2 7 4" xfId="23588" xr:uid="{1130F7B2-E03C-451D-BD44-3AA22C0FB94B}"/>
    <cellStyle name="Standard 6 6 7 2 8" xfId="11631" xr:uid="{00000000-0005-0000-0000-0000762D0000}"/>
    <cellStyle name="Standard 6 6 7 2 8 2" xfId="11632" xr:uid="{00000000-0005-0000-0000-0000772D0000}"/>
    <cellStyle name="Standard 6 6 7 2 8 2 2" xfId="23593" xr:uid="{5D63D2D5-9ED1-488B-ACD0-CAB7051E233A}"/>
    <cellStyle name="Standard 6 6 7 2 8 3" xfId="23592" xr:uid="{BA4BAE8E-821B-4436-ADAC-0ABC2F4CAD1B}"/>
    <cellStyle name="Standard 6 6 7 2 9" xfId="11633" xr:uid="{00000000-0005-0000-0000-0000782D0000}"/>
    <cellStyle name="Standard 6 6 7 2 9 2" xfId="23594" xr:uid="{3E8B8FE9-D4BE-4AE1-B62D-1064CFBCD47B}"/>
    <cellStyle name="Standard 6 6 7 3" xfId="11634" xr:uid="{00000000-0005-0000-0000-0000792D0000}"/>
    <cellStyle name="Standard 6 6 7 3 2" xfId="11635" xr:uid="{00000000-0005-0000-0000-00007A2D0000}"/>
    <cellStyle name="Standard 6 6 7 3 2 2" xfId="11636" xr:uid="{00000000-0005-0000-0000-00007B2D0000}"/>
    <cellStyle name="Standard 6 6 7 3 2 2 2" xfId="23597" xr:uid="{83C32068-EF21-4FA1-B47F-520366092903}"/>
    <cellStyle name="Standard 6 6 7 3 2 3" xfId="23596" xr:uid="{D022A0C8-2C2F-460B-AB2B-3D5F9FF7EF26}"/>
    <cellStyle name="Standard 6 6 7 3 3" xfId="11637" xr:uid="{00000000-0005-0000-0000-00007C2D0000}"/>
    <cellStyle name="Standard 6 6 7 3 3 2" xfId="23598" xr:uid="{1EB4F461-4647-4E4E-9658-F24DA746DB4D}"/>
    <cellStyle name="Standard 6 6 7 3 4" xfId="23595" xr:uid="{05B60EBD-8DC9-42E5-9A28-B0A26CCBE6EB}"/>
    <cellStyle name="Standard 6 6 7 4" xfId="11638" xr:uid="{00000000-0005-0000-0000-00007D2D0000}"/>
    <cellStyle name="Standard 6 6 7 4 2" xfId="11639" xr:uid="{00000000-0005-0000-0000-00007E2D0000}"/>
    <cellStyle name="Standard 6 6 7 4 2 2" xfId="11640" xr:uid="{00000000-0005-0000-0000-00007F2D0000}"/>
    <cellStyle name="Standard 6 6 7 4 2 2 2" xfId="23601" xr:uid="{55817B21-01DF-4AA4-A8FB-C4D877130B54}"/>
    <cellStyle name="Standard 6 6 7 4 2 3" xfId="23600" xr:uid="{6C5C2AD3-463F-4989-9E6E-668D8F5A9D57}"/>
    <cellStyle name="Standard 6 6 7 4 3" xfId="11641" xr:uid="{00000000-0005-0000-0000-0000802D0000}"/>
    <cellStyle name="Standard 6 6 7 4 3 2" xfId="23602" xr:uid="{5B636D27-92B1-4FE2-AA95-3732E460A751}"/>
    <cellStyle name="Standard 6 6 7 4 4" xfId="23599" xr:uid="{A2EFF854-807E-49AF-AC5A-9B6F7DED4B8A}"/>
    <cellStyle name="Standard 6 6 7 5" xfId="11642" xr:uid="{00000000-0005-0000-0000-0000812D0000}"/>
    <cellStyle name="Standard 6 6 7 5 2" xfId="11643" xr:uid="{00000000-0005-0000-0000-0000822D0000}"/>
    <cellStyle name="Standard 6 6 7 5 2 2" xfId="11644" xr:uid="{00000000-0005-0000-0000-0000832D0000}"/>
    <cellStyle name="Standard 6 6 7 5 2 2 2" xfId="23605" xr:uid="{4517B792-03C3-437C-9E17-50F25E14DD31}"/>
    <cellStyle name="Standard 6 6 7 5 2 3" xfId="23604" xr:uid="{7175B631-2D34-4654-8459-BD8B7AD22522}"/>
    <cellStyle name="Standard 6 6 7 5 3" xfId="11645" xr:uid="{00000000-0005-0000-0000-0000842D0000}"/>
    <cellStyle name="Standard 6 6 7 5 3 2" xfId="23606" xr:uid="{FC72EC46-22CA-4168-B294-5008A5120678}"/>
    <cellStyle name="Standard 6 6 7 5 4" xfId="23603" xr:uid="{2838EED1-2DCE-45C5-9D6C-914762FF0E29}"/>
    <cellStyle name="Standard 6 6 7 6" xfId="11646" xr:uid="{00000000-0005-0000-0000-0000852D0000}"/>
    <cellStyle name="Standard 6 6 7 6 2" xfId="11647" xr:uid="{00000000-0005-0000-0000-0000862D0000}"/>
    <cellStyle name="Standard 6 6 7 6 2 2" xfId="11648" xr:uid="{00000000-0005-0000-0000-0000872D0000}"/>
    <cellStyle name="Standard 6 6 7 6 2 2 2" xfId="23609" xr:uid="{AC91C9D4-1F3A-4EC6-8508-F6DAFFAFF5C8}"/>
    <cellStyle name="Standard 6 6 7 6 2 3" xfId="23608" xr:uid="{E064941E-F958-4481-861D-3DA51D4A888F}"/>
    <cellStyle name="Standard 6 6 7 6 3" xfId="11649" xr:uid="{00000000-0005-0000-0000-0000882D0000}"/>
    <cellStyle name="Standard 6 6 7 6 3 2" xfId="23610" xr:uid="{67EEE472-1080-48D8-8266-54F0CE78F8BD}"/>
    <cellStyle name="Standard 6 6 7 6 4" xfId="23607" xr:uid="{5E74B0CF-FE9A-4E6B-93BF-810DAE593231}"/>
    <cellStyle name="Standard 6 6 7 7" xfId="11650" xr:uid="{00000000-0005-0000-0000-0000892D0000}"/>
    <cellStyle name="Standard 6 6 7 7 2" xfId="11651" xr:uid="{00000000-0005-0000-0000-00008A2D0000}"/>
    <cellStyle name="Standard 6 6 7 7 2 2" xfId="11652" xr:uid="{00000000-0005-0000-0000-00008B2D0000}"/>
    <cellStyle name="Standard 6 6 7 7 2 2 2" xfId="23613" xr:uid="{BE231F96-6945-46E2-A876-046FB338084A}"/>
    <cellStyle name="Standard 6 6 7 7 2 3" xfId="23612" xr:uid="{BD59D17D-FBBA-4871-AD5B-6828E1C0781E}"/>
    <cellStyle name="Standard 6 6 7 7 3" xfId="11653" xr:uid="{00000000-0005-0000-0000-00008C2D0000}"/>
    <cellStyle name="Standard 6 6 7 7 3 2" xfId="23614" xr:uid="{857D51DA-7439-4120-9155-8DC728BDDE7E}"/>
    <cellStyle name="Standard 6 6 7 7 4" xfId="23611" xr:uid="{FF4B453B-86B6-4981-BE96-02F86AEA26D8}"/>
    <cellStyle name="Standard 6 6 7 8" xfId="11654" xr:uid="{00000000-0005-0000-0000-00008D2D0000}"/>
    <cellStyle name="Standard 6 6 7 8 2" xfId="11655" xr:uid="{00000000-0005-0000-0000-00008E2D0000}"/>
    <cellStyle name="Standard 6 6 7 8 2 2" xfId="11656" xr:uid="{00000000-0005-0000-0000-00008F2D0000}"/>
    <cellStyle name="Standard 6 6 7 8 2 2 2" xfId="23617" xr:uid="{3C442CF8-A707-4BAF-8735-298071E9E8B7}"/>
    <cellStyle name="Standard 6 6 7 8 2 3" xfId="23616" xr:uid="{34CDC7BF-7811-4E69-AE82-851B6000294C}"/>
    <cellStyle name="Standard 6 6 7 8 3" xfId="11657" xr:uid="{00000000-0005-0000-0000-0000902D0000}"/>
    <cellStyle name="Standard 6 6 7 8 3 2" xfId="23618" xr:uid="{9A5C30D4-EDA6-4EA5-AA6C-30BD3EB4609F}"/>
    <cellStyle name="Standard 6 6 7 8 4" xfId="23615" xr:uid="{C379417F-84AE-48EF-B162-788F2C87E50B}"/>
    <cellStyle name="Standard 6 6 7 9" xfId="11658" xr:uid="{00000000-0005-0000-0000-0000912D0000}"/>
    <cellStyle name="Standard 6 6 7 9 2" xfId="11659" xr:uid="{00000000-0005-0000-0000-0000922D0000}"/>
    <cellStyle name="Standard 6 6 7 9 2 2" xfId="23620" xr:uid="{AE073F80-5FF0-4CE6-B4D1-26E5CB2FE610}"/>
    <cellStyle name="Standard 6 6 7 9 3" xfId="23619" xr:uid="{B2E3B5D9-265F-4962-8373-1B61193F25D0}"/>
    <cellStyle name="Standard 6 6 8" xfId="11660" xr:uid="{00000000-0005-0000-0000-0000932D0000}"/>
    <cellStyle name="Standard 6 6 8 10" xfId="23621" xr:uid="{88358438-B956-4244-83EF-728E2FEBAF5A}"/>
    <cellStyle name="Standard 6 6 8 2" xfId="11661" xr:uid="{00000000-0005-0000-0000-0000942D0000}"/>
    <cellStyle name="Standard 6 6 8 2 2" xfId="11662" xr:uid="{00000000-0005-0000-0000-0000952D0000}"/>
    <cellStyle name="Standard 6 6 8 2 2 2" xfId="11663" xr:uid="{00000000-0005-0000-0000-0000962D0000}"/>
    <cellStyle name="Standard 6 6 8 2 2 2 2" xfId="23624" xr:uid="{516581C7-0989-4447-B396-E1B9F1AD5AB6}"/>
    <cellStyle name="Standard 6 6 8 2 2 3" xfId="23623" xr:uid="{879CEF96-334F-456D-B4A1-80CA07B93C25}"/>
    <cellStyle name="Standard 6 6 8 2 3" xfId="11664" xr:uid="{00000000-0005-0000-0000-0000972D0000}"/>
    <cellStyle name="Standard 6 6 8 2 3 2" xfId="23625" xr:uid="{06742A96-8FE1-4418-B7D2-075CF08D9B38}"/>
    <cellStyle name="Standard 6 6 8 2 4" xfId="23622" xr:uid="{BD29A45C-C0E5-4F19-9551-6AC2439CAC25}"/>
    <cellStyle name="Standard 6 6 8 3" xfId="11665" xr:uid="{00000000-0005-0000-0000-0000982D0000}"/>
    <cellStyle name="Standard 6 6 8 3 2" xfId="11666" xr:uid="{00000000-0005-0000-0000-0000992D0000}"/>
    <cellStyle name="Standard 6 6 8 3 2 2" xfId="11667" xr:uid="{00000000-0005-0000-0000-00009A2D0000}"/>
    <cellStyle name="Standard 6 6 8 3 2 2 2" xfId="23628" xr:uid="{14B899D6-5A91-4C4E-AF1D-3F10A0711E4F}"/>
    <cellStyle name="Standard 6 6 8 3 2 3" xfId="23627" xr:uid="{9F904332-17BC-4E09-B403-440964D22F8B}"/>
    <cellStyle name="Standard 6 6 8 3 3" xfId="11668" xr:uid="{00000000-0005-0000-0000-00009B2D0000}"/>
    <cellStyle name="Standard 6 6 8 3 3 2" xfId="23629" xr:uid="{3F4ADAB6-01AD-44BC-B970-C79F0484962C}"/>
    <cellStyle name="Standard 6 6 8 3 4" xfId="23626" xr:uid="{EF9F83F2-85FA-4E76-B7CD-34D3D5D2FE18}"/>
    <cellStyle name="Standard 6 6 8 4" xfId="11669" xr:uid="{00000000-0005-0000-0000-00009C2D0000}"/>
    <cellStyle name="Standard 6 6 8 4 2" xfId="11670" xr:uid="{00000000-0005-0000-0000-00009D2D0000}"/>
    <cellStyle name="Standard 6 6 8 4 2 2" xfId="11671" xr:uid="{00000000-0005-0000-0000-00009E2D0000}"/>
    <cellStyle name="Standard 6 6 8 4 2 2 2" xfId="23632" xr:uid="{0FEC2A74-B04A-4964-B47F-09DEC8BA312E}"/>
    <cellStyle name="Standard 6 6 8 4 2 3" xfId="23631" xr:uid="{23FA9AAC-351C-4BCA-9702-0E4E6322E87A}"/>
    <cellStyle name="Standard 6 6 8 4 3" xfId="11672" xr:uid="{00000000-0005-0000-0000-00009F2D0000}"/>
    <cellStyle name="Standard 6 6 8 4 3 2" xfId="23633" xr:uid="{156BA257-CBD7-454E-A3B4-D731ABF610C1}"/>
    <cellStyle name="Standard 6 6 8 4 4" xfId="23630" xr:uid="{7E35AB74-C232-46AB-8AD8-5D6464905EC6}"/>
    <cellStyle name="Standard 6 6 8 5" xfId="11673" xr:uid="{00000000-0005-0000-0000-0000A02D0000}"/>
    <cellStyle name="Standard 6 6 8 5 2" xfId="11674" xr:uid="{00000000-0005-0000-0000-0000A12D0000}"/>
    <cellStyle name="Standard 6 6 8 5 2 2" xfId="11675" xr:uid="{00000000-0005-0000-0000-0000A22D0000}"/>
    <cellStyle name="Standard 6 6 8 5 2 2 2" xfId="23636" xr:uid="{BC0E447F-7D18-49EC-B333-6FE5EBC144E7}"/>
    <cellStyle name="Standard 6 6 8 5 2 3" xfId="23635" xr:uid="{A9B58D7C-E4F9-4D2C-84CC-06F8D8556B6D}"/>
    <cellStyle name="Standard 6 6 8 5 3" xfId="11676" xr:uid="{00000000-0005-0000-0000-0000A32D0000}"/>
    <cellStyle name="Standard 6 6 8 5 3 2" xfId="23637" xr:uid="{A96B4621-CC53-4D8A-9A45-1F433EFD1561}"/>
    <cellStyle name="Standard 6 6 8 5 4" xfId="23634" xr:uid="{B02F5997-EC1E-4D22-AF0D-493F06499EC7}"/>
    <cellStyle name="Standard 6 6 8 6" xfId="11677" xr:uid="{00000000-0005-0000-0000-0000A42D0000}"/>
    <cellStyle name="Standard 6 6 8 6 2" xfId="11678" xr:uid="{00000000-0005-0000-0000-0000A52D0000}"/>
    <cellStyle name="Standard 6 6 8 6 2 2" xfId="11679" xr:uid="{00000000-0005-0000-0000-0000A62D0000}"/>
    <cellStyle name="Standard 6 6 8 6 2 2 2" xfId="23640" xr:uid="{979DAE00-1671-49AC-BEE2-DBA7654B38A4}"/>
    <cellStyle name="Standard 6 6 8 6 2 3" xfId="23639" xr:uid="{6BD0FB9E-842D-43D0-A18E-4979E83A289C}"/>
    <cellStyle name="Standard 6 6 8 6 3" xfId="11680" xr:uid="{00000000-0005-0000-0000-0000A72D0000}"/>
    <cellStyle name="Standard 6 6 8 6 3 2" xfId="23641" xr:uid="{7D017D2C-251C-4850-81BA-575E4F807538}"/>
    <cellStyle name="Standard 6 6 8 6 4" xfId="23638" xr:uid="{386E3D11-0A52-4B9B-9F28-556E65B1D863}"/>
    <cellStyle name="Standard 6 6 8 7" xfId="11681" xr:uid="{00000000-0005-0000-0000-0000A82D0000}"/>
    <cellStyle name="Standard 6 6 8 7 2" xfId="11682" xr:uid="{00000000-0005-0000-0000-0000A92D0000}"/>
    <cellStyle name="Standard 6 6 8 7 2 2" xfId="11683" xr:uid="{00000000-0005-0000-0000-0000AA2D0000}"/>
    <cellStyle name="Standard 6 6 8 7 2 2 2" xfId="23644" xr:uid="{8EE62947-6122-4F06-AE3B-399F2B9FFB86}"/>
    <cellStyle name="Standard 6 6 8 7 2 3" xfId="23643" xr:uid="{4653EE36-CE29-4180-8322-CD38E4E32EC9}"/>
    <cellStyle name="Standard 6 6 8 7 3" xfId="11684" xr:uid="{00000000-0005-0000-0000-0000AB2D0000}"/>
    <cellStyle name="Standard 6 6 8 7 3 2" xfId="23645" xr:uid="{48E4EFB3-7E21-4E4C-BD16-3CA918166775}"/>
    <cellStyle name="Standard 6 6 8 7 4" xfId="23642" xr:uid="{8637938F-43DF-4515-B9D2-474FEBA06546}"/>
    <cellStyle name="Standard 6 6 8 8" xfId="11685" xr:uid="{00000000-0005-0000-0000-0000AC2D0000}"/>
    <cellStyle name="Standard 6 6 8 8 2" xfId="11686" xr:uid="{00000000-0005-0000-0000-0000AD2D0000}"/>
    <cellStyle name="Standard 6 6 8 8 2 2" xfId="23647" xr:uid="{48E2D1A0-4A0E-46CC-9D9E-2C76C98F2E67}"/>
    <cellStyle name="Standard 6 6 8 8 3" xfId="23646" xr:uid="{95100A5D-77AD-4476-982E-9417D5BDCCD0}"/>
    <cellStyle name="Standard 6 6 8 9" xfId="11687" xr:uid="{00000000-0005-0000-0000-0000AE2D0000}"/>
    <cellStyle name="Standard 6 6 8 9 2" xfId="23648" xr:uid="{9443EAF5-F4A5-4587-9938-1028A5ED85BE}"/>
    <cellStyle name="Standard 6 6 9" xfId="11688" xr:uid="{00000000-0005-0000-0000-0000AF2D0000}"/>
    <cellStyle name="Standard 6 6 9 2" xfId="11689" xr:uid="{00000000-0005-0000-0000-0000B02D0000}"/>
    <cellStyle name="Standard 6 6 9 2 2" xfId="11690" xr:uid="{00000000-0005-0000-0000-0000B12D0000}"/>
    <cellStyle name="Standard 6 6 9 2 2 2" xfId="11691" xr:uid="{00000000-0005-0000-0000-0000B22D0000}"/>
    <cellStyle name="Standard 6 6 9 2 2 2 2" xfId="23652" xr:uid="{832ED5B2-88C7-4889-BA3B-8236F6315FB2}"/>
    <cellStyle name="Standard 6 6 9 2 2 3" xfId="23651" xr:uid="{83429B0A-0B9E-4AC1-947E-517EE65EC5A2}"/>
    <cellStyle name="Standard 6 6 9 2 3" xfId="11692" xr:uid="{00000000-0005-0000-0000-0000B32D0000}"/>
    <cellStyle name="Standard 6 6 9 2 3 2" xfId="23653" xr:uid="{F4FEFED9-9D0C-4683-8E39-8EC5922D51BB}"/>
    <cellStyle name="Standard 6 6 9 2 4" xfId="23650" xr:uid="{972FB84F-B2E8-44C5-B21F-8DFFC92C9BB0}"/>
    <cellStyle name="Standard 6 6 9 3" xfId="11693" xr:uid="{00000000-0005-0000-0000-0000B42D0000}"/>
    <cellStyle name="Standard 6 6 9 3 2" xfId="11694" xr:uid="{00000000-0005-0000-0000-0000B52D0000}"/>
    <cellStyle name="Standard 6 6 9 3 2 2" xfId="11695" xr:uid="{00000000-0005-0000-0000-0000B62D0000}"/>
    <cellStyle name="Standard 6 6 9 3 2 2 2" xfId="23656" xr:uid="{596B84E8-0B8B-4C64-82F4-4FF570EF0943}"/>
    <cellStyle name="Standard 6 6 9 3 2 3" xfId="23655" xr:uid="{4A184254-534A-49DC-A3E1-BE06F17578E0}"/>
    <cellStyle name="Standard 6 6 9 3 3" xfId="11696" xr:uid="{00000000-0005-0000-0000-0000B72D0000}"/>
    <cellStyle name="Standard 6 6 9 3 3 2" xfId="23657" xr:uid="{5A357777-8986-4768-9FF8-13DE4DFDF4CF}"/>
    <cellStyle name="Standard 6 6 9 3 4" xfId="23654" xr:uid="{880AE904-B532-4EBE-86FB-402AB82145D7}"/>
    <cellStyle name="Standard 6 6 9 4" xfId="11697" xr:uid="{00000000-0005-0000-0000-0000B82D0000}"/>
    <cellStyle name="Standard 6 6 9 4 2" xfId="11698" xr:uid="{00000000-0005-0000-0000-0000B92D0000}"/>
    <cellStyle name="Standard 6 6 9 4 2 2" xfId="11699" xr:uid="{00000000-0005-0000-0000-0000BA2D0000}"/>
    <cellStyle name="Standard 6 6 9 4 2 2 2" xfId="23660" xr:uid="{5320ABF0-097A-4EA2-BF66-83857E65266A}"/>
    <cellStyle name="Standard 6 6 9 4 2 3" xfId="23659" xr:uid="{4A6B8EA8-18B6-4D83-8574-A22E25438679}"/>
    <cellStyle name="Standard 6 6 9 4 3" xfId="11700" xr:uid="{00000000-0005-0000-0000-0000BB2D0000}"/>
    <cellStyle name="Standard 6 6 9 4 3 2" xfId="23661" xr:uid="{7AC94E60-AB48-41A7-955A-FF328C672B0A}"/>
    <cellStyle name="Standard 6 6 9 4 4" xfId="23658" xr:uid="{9BB04353-C144-4721-A0B3-3DF075348347}"/>
    <cellStyle name="Standard 6 6 9 5" xfId="11701" xr:uid="{00000000-0005-0000-0000-0000BC2D0000}"/>
    <cellStyle name="Standard 6 6 9 5 2" xfId="11702" xr:uid="{00000000-0005-0000-0000-0000BD2D0000}"/>
    <cellStyle name="Standard 6 6 9 5 2 2" xfId="11703" xr:uid="{00000000-0005-0000-0000-0000BE2D0000}"/>
    <cellStyle name="Standard 6 6 9 5 2 2 2" xfId="23664" xr:uid="{8B8D13C1-8C95-4AA4-9F1D-C5BCBB9554BD}"/>
    <cellStyle name="Standard 6 6 9 5 2 3" xfId="23663" xr:uid="{30CDBCF5-B8F0-4787-81FD-0976042E6254}"/>
    <cellStyle name="Standard 6 6 9 5 3" xfId="11704" xr:uid="{00000000-0005-0000-0000-0000BF2D0000}"/>
    <cellStyle name="Standard 6 6 9 5 3 2" xfId="23665" xr:uid="{48E8402E-39A5-46F4-9E04-2969F9755CB8}"/>
    <cellStyle name="Standard 6 6 9 5 4" xfId="23662" xr:uid="{202D5551-1B32-4DC5-989B-465D6F0281AA}"/>
    <cellStyle name="Standard 6 6 9 6" xfId="11705" xr:uid="{00000000-0005-0000-0000-0000C02D0000}"/>
    <cellStyle name="Standard 6 6 9 6 2" xfId="11706" xr:uid="{00000000-0005-0000-0000-0000C12D0000}"/>
    <cellStyle name="Standard 6 6 9 6 2 2" xfId="11707" xr:uid="{00000000-0005-0000-0000-0000C22D0000}"/>
    <cellStyle name="Standard 6 6 9 6 2 2 2" xfId="23668" xr:uid="{5C4FF844-0948-4679-A2D0-D0E7D2B06FD8}"/>
    <cellStyle name="Standard 6 6 9 6 2 3" xfId="23667" xr:uid="{6370F4C6-6A5E-4943-BD73-115120784177}"/>
    <cellStyle name="Standard 6 6 9 6 3" xfId="11708" xr:uid="{00000000-0005-0000-0000-0000C32D0000}"/>
    <cellStyle name="Standard 6 6 9 6 3 2" xfId="23669" xr:uid="{6337D0A2-71E3-4AFF-8F2C-2F4AFBE14515}"/>
    <cellStyle name="Standard 6 6 9 6 4" xfId="23666" xr:uid="{3C7EFFAE-0BE9-4990-94C7-B4FD29E647EC}"/>
    <cellStyle name="Standard 6 6 9 7" xfId="11709" xr:uid="{00000000-0005-0000-0000-0000C42D0000}"/>
    <cellStyle name="Standard 6 6 9 7 2" xfId="11710" xr:uid="{00000000-0005-0000-0000-0000C52D0000}"/>
    <cellStyle name="Standard 6 6 9 7 2 2" xfId="23671" xr:uid="{B015A16F-B502-46E4-AAB9-F64EA7D970B1}"/>
    <cellStyle name="Standard 6 6 9 7 3" xfId="23670" xr:uid="{14115BE7-1041-4110-88AC-4561AD283B6A}"/>
    <cellStyle name="Standard 6 6 9 8" xfId="11711" xr:uid="{00000000-0005-0000-0000-0000C62D0000}"/>
    <cellStyle name="Standard 6 6 9 8 2" xfId="23672" xr:uid="{E3BAA521-81C8-4731-B8BF-9A9B3B61E945}"/>
    <cellStyle name="Standard 6 6 9 9" xfId="23649" xr:uid="{3C84478B-A898-42DA-93FC-BA1F4CEA6C94}"/>
    <cellStyle name="Standard 6 7" xfId="11712" xr:uid="{00000000-0005-0000-0000-0000C72D0000}"/>
    <cellStyle name="Standard 6 7 10" xfId="11713" xr:uid="{00000000-0005-0000-0000-0000C82D0000}"/>
    <cellStyle name="Standard 6 7 10 2" xfId="11714" xr:uid="{00000000-0005-0000-0000-0000C92D0000}"/>
    <cellStyle name="Standard 6 7 10 2 2" xfId="23675" xr:uid="{F1853923-5E09-4F50-8EE7-4EC3410FDB65}"/>
    <cellStyle name="Standard 6 7 10 3" xfId="23674" xr:uid="{AB9BBEF6-14B7-4955-B535-0AB18D69733A}"/>
    <cellStyle name="Standard 6 7 11" xfId="11715" xr:uid="{00000000-0005-0000-0000-0000CA2D0000}"/>
    <cellStyle name="Standard 6 7 11 2" xfId="23676" xr:uid="{2EA070FB-E173-427E-838B-DFF046FC849A}"/>
    <cellStyle name="Standard 6 7 12" xfId="23673" xr:uid="{50A90C53-54BE-4EF0-B529-DF5B47AAA25B}"/>
    <cellStyle name="Standard 6 7 2" xfId="11716" xr:uid="{00000000-0005-0000-0000-0000CB2D0000}"/>
    <cellStyle name="Standard 6 7 2 10" xfId="11717" xr:uid="{00000000-0005-0000-0000-0000CC2D0000}"/>
    <cellStyle name="Standard 6 7 2 10 2" xfId="23678" xr:uid="{56E62FDE-E8AC-4B70-A2FA-52DA59C60118}"/>
    <cellStyle name="Standard 6 7 2 11" xfId="23677" xr:uid="{6BB98568-5C13-4E99-8126-92A693C2C535}"/>
    <cellStyle name="Standard 6 7 2 2" xfId="11718" xr:uid="{00000000-0005-0000-0000-0000CD2D0000}"/>
    <cellStyle name="Standard 6 7 2 2 10" xfId="23679" xr:uid="{AFE38129-9DCE-4DD1-A7A0-D91E243FD324}"/>
    <cellStyle name="Standard 6 7 2 2 2" xfId="11719" xr:uid="{00000000-0005-0000-0000-0000CE2D0000}"/>
    <cellStyle name="Standard 6 7 2 2 2 2" xfId="11720" xr:uid="{00000000-0005-0000-0000-0000CF2D0000}"/>
    <cellStyle name="Standard 6 7 2 2 2 2 2" xfId="11721" xr:uid="{00000000-0005-0000-0000-0000D02D0000}"/>
    <cellStyle name="Standard 6 7 2 2 2 2 2 2" xfId="23682" xr:uid="{DA0AC7E7-0AAF-41A5-BC02-ED987B94F3DD}"/>
    <cellStyle name="Standard 6 7 2 2 2 2 3" xfId="23681" xr:uid="{37E64622-A3B6-40C7-8568-7A257586C71B}"/>
    <cellStyle name="Standard 6 7 2 2 2 3" xfId="11722" xr:uid="{00000000-0005-0000-0000-0000D12D0000}"/>
    <cellStyle name="Standard 6 7 2 2 2 3 2" xfId="23683" xr:uid="{A7DE75F5-E3E4-4163-8657-D5DD526E6E7E}"/>
    <cellStyle name="Standard 6 7 2 2 2 4" xfId="23680" xr:uid="{A3BFDD3E-5448-4ED8-950F-C7B12923EE48}"/>
    <cellStyle name="Standard 6 7 2 2 3" xfId="11723" xr:uid="{00000000-0005-0000-0000-0000D22D0000}"/>
    <cellStyle name="Standard 6 7 2 2 3 2" xfId="11724" xr:uid="{00000000-0005-0000-0000-0000D32D0000}"/>
    <cellStyle name="Standard 6 7 2 2 3 2 2" xfId="11725" xr:uid="{00000000-0005-0000-0000-0000D42D0000}"/>
    <cellStyle name="Standard 6 7 2 2 3 2 2 2" xfId="23686" xr:uid="{F9284030-205B-4CF9-9C82-B3833C32EA5C}"/>
    <cellStyle name="Standard 6 7 2 2 3 2 3" xfId="23685" xr:uid="{31562260-1BC8-40C1-A17A-CCCFAFA9EB24}"/>
    <cellStyle name="Standard 6 7 2 2 3 3" xfId="11726" xr:uid="{00000000-0005-0000-0000-0000D52D0000}"/>
    <cellStyle name="Standard 6 7 2 2 3 3 2" xfId="23687" xr:uid="{E2149C15-79F0-41EB-A9F4-4F59E358FE08}"/>
    <cellStyle name="Standard 6 7 2 2 3 4" xfId="23684" xr:uid="{FBFD7AF6-430D-4FDB-9D7B-53239C606D9F}"/>
    <cellStyle name="Standard 6 7 2 2 4" xfId="11727" xr:uid="{00000000-0005-0000-0000-0000D62D0000}"/>
    <cellStyle name="Standard 6 7 2 2 4 2" xfId="11728" xr:uid="{00000000-0005-0000-0000-0000D72D0000}"/>
    <cellStyle name="Standard 6 7 2 2 4 2 2" xfId="11729" xr:uid="{00000000-0005-0000-0000-0000D82D0000}"/>
    <cellStyle name="Standard 6 7 2 2 4 2 2 2" xfId="23690" xr:uid="{5AB37B79-B453-4118-9081-4F44C6CF636C}"/>
    <cellStyle name="Standard 6 7 2 2 4 2 3" xfId="23689" xr:uid="{D74706F3-EC24-4773-95BE-4BF6576207DB}"/>
    <cellStyle name="Standard 6 7 2 2 4 3" xfId="11730" xr:uid="{00000000-0005-0000-0000-0000D92D0000}"/>
    <cellStyle name="Standard 6 7 2 2 4 3 2" xfId="23691" xr:uid="{6F45B98D-B3A3-406B-B886-A47CD2FFE02E}"/>
    <cellStyle name="Standard 6 7 2 2 4 4" xfId="23688" xr:uid="{BC19EFA4-6D2F-4EF3-B9D3-360360CC32FE}"/>
    <cellStyle name="Standard 6 7 2 2 5" xfId="11731" xr:uid="{00000000-0005-0000-0000-0000DA2D0000}"/>
    <cellStyle name="Standard 6 7 2 2 5 2" xfId="11732" xr:uid="{00000000-0005-0000-0000-0000DB2D0000}"/>
    <cellStyle name="Standard 6 7 2 2 5 2 2" xfId="11733" xr:uid="{00000000-0005-0000-0000-0000DC2D0000}"/>
    <cellStyle name="Standard 6 7 2 2 5 2 2 2" xfId="23694" xr:uid="{AA6BCB97-25CC-4AE4-84D6-59D94AED5A7C}"/>
    <cellStyle name="Standard 6 7 2 2 5 2 3" xfId="23693" xr:uid="{44949A32-5C57-47FD-8184-13E0F35045EA}"/>
    <cellStyle name="Standard 6 7 2 2 5 3" xfId="11734" xr:uid="{00000000-0005-0000-0000-0000DD2D0000}"/>
    <cellStyle name="Standard 6 7 2 2 5 3 2" xfId="23695" xr:uid="{B3970396-E6F6-4B1D-863D-783D6CD0909D}"/>
    <cellStyle name="Standard 6 7 2 2 5 4" xfId="23692" xr:uid="{C104245A-6896-4D16-B972-AD6E22A97B17}"/>
    <cellStyle name="Standard 6 7 2 2 6" xfId="11735" xr:uid="{00000000-0005-0000-0000-0000DE2D0000}"/>
    <cellStyle name="Standard 6 7 2 2 6 2" xfId="11736" xr:uid="{00000000-0005-0000-0000-0000DF2D0000}"/>
    <cellStyle name="Standard 6 7 2 2 6 2 2" xfId="11737" xr:uid="{00000000-0005-0000-0000-0000E02D0000}"/>
    <cellStyle name="Standard 6 7 2 2 6 2 2 2" xfId="23698" xr:uid="{779DFCB8-CAB4-4184-845E-11480E31DAFA}"/>
    <cellStyle name="Standard 6 7 2 2 6 2 3" xfId="23697" xr:uid="{4BE07EEB-A369-44D7-A570-80C21A428396}"/>
    <cellStyle name="Standard 6 7 2 2 6 3" xfId="11738" xr:uid="{00000000-0005-0000-0000-0000E12D0000}"/>
    <cellStyle name="Standard 6 7 2 2 6 3 2" xfId="23699" xr:uid="{188C3412-1657-4B3F-88F7-26A6C463B688}"/>
    <cellStyle name="Standard 6 7 2 2 6 4" xfId="23696" xr:uid="{4D880BDB-3E9A-4188-ADF7-803355A754C8}"/>
    <cellStyle name="Standard 6 7 2 2 7" xfId="11739" xr:uid="{00000000-0005-0000-0000-0000E22D0000}"/>
    <cellStyle name="Standard 6 7 2 2 7 2" xfId="11740" xr:uid="{00000000-0005-0000-0000-0000E32D0000}"/>
    <cellStyle name="Standard 6 7 2 2 7 2 2" xfId="11741" xr:uid="{00000000-0005-0000-0000-0000E42D0000}"/>
    <cellStyle name="Standard 6 7 2 2 7 2 2 2" xfId="23702" xr:uid="{3F869D11-958D-408A-BE69-B852AC030869}"/>
    <cellStyle name="Standard 6 7 2 2 7 2 3" xfId="23701" xr:uid="{F4EA3D93-5564-43AB-A365-D51CDD74BAB0}"/>
    <cellStyle name="Standard 6 7 2 2 7 3" xfId="11742" xr:uid="{00000000-0005-0000-0000-0000E52D0000}"/>
    <cellStyle name="Standard 6 7 2 2 7 3 2" xfId="23703" xr:uid="{990CC690-D66A-4D6D-B1A8-6C05901F433D}"/>
    <cellStyle name="Standard 6 7 2 2 7 4" xfId="23700" xr:uid="{92B0BBA3-5527-4FDC-92F9-2E5E2D61D62A}"/>
    <cellStyle name="Standard 6 7 2 2 8" xfId="11743" xr:uid="{00000000-0005-0000-0000-0000E62D0000}"/>
    <cellStyle name="Standard 6 7 2 2 8 2" xfId="11744" xr:uid="{00000000-0005-0000-0000-0000E72D0000}"/>
    <cellStyle name="Standard 6 7 2 2 8 2 2" xfId="23705" xr:uid="{6F6CDE54-F8FA-42A4-A485-F112066FD4A8}"/>
    <cellStyle name="Standard 6 7 2 2 8 3" xfId="23704" xr:uid="{F96F0E7E-9A1B-47EE-ADFC-525726D197E7}"/>
    <cellStyle name="Standard 6 7 2 2 9" xfId="11745" xr:uid="{00000000-0005-0000-0000-0000E82D0000}"/>
    <cellStyle name="Standard 6 7 2 2 9 2" xfId="23706" xr:uid="{4DF65469-E8D6-44BF-AA4D-F5554FC6ED7E}"/>
    <cellStyle name="Standard 6 7 2 3" xfId="11746" xr:uid="{00000000-0005-0000-0000-0000E92D0000}"/>
    <cellStyle name="Standard 6 7 2 3 2" xfId="11747" xr:uid="{00000000-0005-0000-0000-0000EA2D0000}"/>
    <cellStyle name="Standard 6 7 2 3 2 2" xfId="11748" xr:uid="{00000000-0005-0000-0000-0000EB2D0000}"/>
    <cellStyle name="Standard 6 7 2 3 2 2 2" xfId="23709" xr:uid="{37DB309D-3775-4228-AAE7-D8BE607F7674}"/>
    <cellStyle name="Standard 6 7 2 3 2 3" xfId="23708" xr:uid="{E7BD9A7D-64B7-4F2C-B755-F63932D2A82F}"/>
    <cellStyle name="Standard 6 7 2 3 3" xfId="11749" xr:uid="{00000000-0005-0000-0000-0000EC2D0000}"/>
    <cellStyle name="Standard 6 7 2 3 3 2" xfId="23710" xr:uid="{F4493E2E-1F67-4DA3-A2E4-D236BEFD2137}"/>
    <cellStyle name="Standard 6 7 2 3 4" xfId="23707" xr:uid="{50BEF152-79AC-4D4A-9952-FA30D6A1DE1A}"/>
    <cellStyle name="Standard 6 7 2 4" xfId="11750" xr:uid="{00000000-0005-0000-0000-0000ED2D0000}"/>
    <cellStyle name="Standard 6 7 2 4 2" xfId="11751" xr:uid="{00000000-0005-0000-0000-0000EE2D0000}"/>
    <cellStyle name="Standard 6 7 2 4 2 2" xfId="11752" xr:uid="{00000000-0005-0000-0000-0000EF2D0000}"/>
    <cellStyle name="Standard 6 7 2 4 2 2 2" xfId="23713" xr:uid="{08AE3133-0AE6-4A05-B5A5-0B4EE996FF99}"/>
    <cellStyle name="Standard 6 7 2 4 2 3" xfId="23712" xr:uid="{C902D447-6104-4671-BB08-0F16663DEF9D}"/>
    <cellStyle name="Standard 6 7 2 4 3" xfId="11753" xr:uid="{00000000-0005-0000-0000-0000F02D0000}"/>
    <cellStyle name="Standard 6 7 2 4 3 2" xfId="23714" xr:uid="{F373D6CA-AEB7-4386-B69F-41704EF4CA26}"/>
    <cellStyle name="Standard 6 7 2 4 4" xfId="23711" xr:uid="{580F4DF8-D64F-4932-88B3-B442DCF6DC2D}"/>
    <cellStyle name="Standard 6 7 2 5" xfId="11754" xr:uid="{00000000-0005-0000-0000-0000F12D0000}"/>
    <cellStyle name="Standard 6 7 2 5 2" xfId="11755" xr:uid="{00000000-0005-0000-0000-0000F22D0000}"/>
    <cellStyle name="Standard 6 7 2 5 2 2" xfId="11756" xr:uid="{00000000-0005-0000-0000-0000F32D0000}"/>
    <cellStyle name="Standard 6 7 2 5 2 2 2" xfId="23717" xr:uid="{EDFECD1E-B0ED-4471-9DC2-54B430F0B1F0}"/>
    <cellStyle name="Standard 6 7 2 5 2 3" xfId="23716" xr:uid="{C926FD96-CF29-4ABA-B30E-15E54CFA1D05}"/>
    <cellStyle name="Standard 6 7 2 5 3" xfId="11757" xr:uid="{00000000-0005-0000-0000-0000F42D0000}"/>
    <cellStyle name="Standard 6 7 2 5 3 2" xfId="23718" xr:uid="{5F199C86-B973-44CB-B8C4-4E2468B3CCF5}"/>
    <cellStyle name="Standard 6 7 2 5 4" xfId="23715" xr:uid="{9AE8A505-8C83-4FA1-906A-3D3BDFE03F56}"/>
    <cellStyle name="Standard 6 7 2 6" xfId="11758" xr:uid="{00000000-0005-0000-0000-0000F52D0000}"/>
    <cellStyle name="Standard 6 7 2 6 2" xfId="11759" xr:uid="{00000000-0005-0000-0000-0000F62D0000}"/>
    <cellStyle name="Standard 6 7 2 6 2 2" xfId="11760" xr:uid="{00000000-0005-0000-0000-0000F72D0000}"/>
    <cellStyle name="Standard 6 7 2 6 2 2 2" xfId="23721" xr:uid="{B9EEB7C6-C818-4851-8948-F334AB586103}"/>
    <cellStyle name="Standard 6 7 2 6 2 3" xfId="23720" xr:uid="{D40E7E5F-9F39-45EF-A770-AE235E179F66}"/>
    <cellStyle name="Standard 6 7 2 6 3" xfId="11761" xr:uid="{00000000-0005-0000-0000-0000F82D0000}"/>
    <cellStyle name="Standard 6 7 2 6 3 2" xfId="23722" xr:uid="{62D31FA3-9656-4270-99FC-B4D0BBAD029C}"/>
    <cellStyle name="Standard 6 7 2 6 4" xfId="23719" xr:uid="{81D3B0BD-B503-43CE-973C-DF3A20261571}"/>
    <cellStyle name="Standard 6 7 2 7" xfId="11762" xr:uid="{00000000-0005-0000-0000-0000F92D0000}"/>
    <cellStyle name="Standard 6 7 2 7 2" xfId="11763" xr:uid="{00000000-0005-0000-0000-0000FA2D0000}"/>
    <cellStyle name="Standard 6 7 2 7 2 2" xfId="11764" xr:uid="{00000000-0005-0000-0000-0000FB2D0000}"/>
    <cellStyle name="Standard 6 7 2 7 2 2 2" xfId="23725" xr:uid="{938DBCC9-72B2-467D-96D7-4D42B53E8FB0}"/>
    <cellStyle name="Standard 6 7 2 7 2 3" xfId="23724" xr:uid="{6D7BC8D9-AF98-42D0-8226-509151258C4A}"/>
    <cellStyle name="Standard 6 7 2 7 3" xfId="11765" xr:uid="{00000000-0005-0000-0000-0000FC2D0000}"/>
    <cellStyle name="Standard 6 7 2 7 3 2" xfId="23726" xr:uid="{F4C0D1E4-FCDC-499E-9567-B32077EAFBD4}"/>
    <cellStyle name="Standard 6 7 2 7 4" xfId="23723" xr:uid="{E2592D2F-F889-41EC-B1CD-BBAAD0AA4352}"/>
    <cellStyle name="Standard 6 7 2 8" xfId="11766" xr:uid="{00000000-0005-0000-0000-0000FD2D0000}"/>
    <cellStyle name="Standard 6 7 2 8 2" xfId="11767" xr:uid="{00000000-0005-0000-0000-0000FE2D0000}"/>
    <cellStyle name="Standard 6 7 2 8 2 2" xfId="11768" xr:uid="{00000000-0005-0000-0000-0000FF2D0000}"/>
    <cellStyle name="Standard 6 7 2 8 2 2 2" xfId="23729" xr:uid="{FA664750-04E5-43A8-8369-CE993F40DBAF}"/>
    <cellStyle name="Standard 6 7 2 8 2 3" xfId="23728" xr:uid="{07BAD6B0-24B1-4605-B7DB-A1B73D75B859}"/>
    <cellStyle name="Standard 6 7 2 8 3" xfId="11769" xr:uid="{00000000-0005-0000-0000-0000002E0000}"/>
    <cellStyle name="Standard 6 7 2 8 3 2" xfId="23730" xr:uid="{2A61D449-76C9-43FB-9141-457422A68C20}"/>
    <cellStyle name="Standard 6 7 2 8 4" xfId="23727" xr:uid="{EBCB3D3A-2446-4461-B349-E8CB9A4210EA}"/>
    <cellStyle name="Standard 6 7 2 9" xfId="11770" xr:uid="{00000000-0005-0000-0000-0000012E0000}"/>
    <cellStyle name="Standard 6 7 2 9 2" xfId="11771" xr:uid="{00000000-0005-0000-0000-0000022E0000}"/>
    <cellStyle name="Standard 6 7 2 9 2 2" xfId="23732" xr:uid="{6219B3AA-F5AB-4DA5-8D5F-DF3D3CA824AB}"/>
    <cellStyle name="Standard 6 7 2 9 3" xfId="23731" xr:uid="{1C543509-2538-40D6-8809-9E309C7B0A43}"/>
    <cellStyle name="Standard 6 7 3" xfId="11772" xr:uid="{00000000-0005-0000-0000-0000032E0000}"/>
    <cellStyle name="Standard 6 7 3 10" xfId="23733" xr:uid="{F2CD1A1C-FE72-4C23-A996-9769924279BD}"/>
    <cellStyle name="Standard 6 7 3 2" xfId="11773" xr:uid="{00000000-0005-0000-0000-0000042E0000}"/>
    <cellStyle name="Standard 6 7 3 2 2" xfId="11774" xr:uid="{00000000-0005-0000-0000-0000052E0000}"/>
    <cellStyle name="Standard 6 7 3 2 2 2" xfId="11775" xr:uid="{00000000-0005-0000-0000-0000062E0000}"/>
    <cellStyle name="Standard 6 7 3 2 2 2 2" xfId="23736" xr:uid="{4707A445-B7BE-402A-ADB6-5049095D001F}"/>
    <cellStyle name="Standard 6 7 3 2 2 3" xfId="23735" xr:uid="{091ECB65-5EFB-4DB8-9E6F-8698D5B8C359}"/>
    <cellStyle name="Standard 6 7 3 2 3" xfId="11776" xr:uid="{00000000-0005-0000-0000-0000072E0000}"/>
    <cellStyle name="Standard 6 7 3 2 3 2" xfId="23737" xr:uid="{24FF600F-CC52-43D9-8434-103B454984DA}"/>
    <cellStyle name="Standard 6 7 3 2 4" xfId="23734" xr:uid="{55585AD7-0E42-4D27-B2D4-C7A78BA22534}"/>
    <cellStyle name="Standard 6 7 3 3" xfId="11777" xr:uid="{00000000-0005-0000-0000-0000082E0000}"/>
    <cellStyle name="Standard 6 7 3 3 2" xfId="11778" xr:uid="{00000000-0005-0000-0000-0000092E0000}"/>
    <cellStyle name="Standard 6 7 3 3 2 2" xfId="11779" xr:uid="{00000000-0005-0000-0000-00000A2E0000}"/>
    <cellStyle name="Standard 6 7 3 3 2 2 2" xfId="23740" xr:uid="{7255B34E-D205-475F-B6F7-869D2AB799AB}"/>
    <cellStyle name="Standard 6 7 3 3 2 3" xfId="23739" xr:uid="{51046658-1402-408B-BC68-A072C8057C8D}"/>
    <cellStyle name="Standard 6 7 3 3 3" xfId="11780" xr:uid="{00000000-0005-0000-0000-00000B2E0000}"/>
    <cellStyle name="Standard 6 7 3 3 3 2" xfId="23741" xr:uid="{95EAF84F-4B20-4E5A-AFDC-1C873D4558BE}"/>
    <cellStyle name="Standard 6 7 3 3 4" xfId="23738" xr:uid="{F74B9DD5-6CC0-42B3-928D-8EB2DFBEAD5F}"/>
    <cellStyle name="Standard 6 7 3 4" xfId="11781" xr:uid="{00000000-0005-0000-0000-00000C2E0000}"/>
    <cellStyle name="Standard 6 7 3 4 2" xfId="11782" xr:uid="{00000000-0005-0000-0000-00000D2E0000}"/>
    <cellStyle name="Standard 6 7 3 4 2 2" xfId="11783" xr:uid="{00000000-0005-0000-0000-00000E2E0000}"/>
    <cellStyle name="Standard 6 7 3 4 2 2 2" xfId="23744" xr:uid="{C8D337A4-1143-4640-A53E-CB720371DDCB}"/>
    <cellStyle name="Standard 6 7 3 4 2 3" xfId="23743" xr:uid="{E22C1069-0A04-439F-9047-3D35C526BCB4}"/>
    <cellStyle name="Standard 6 7 3 4 3" xfId="11784" xr:uid="{00000000-0005-0000-0000-00000F2E0000}"/>
    <cellStyle name="Standard 6 7 3 4 3 2" xfId="23745" xr:uid="{103BA2FC-E89F-43FF-9729-ECAF390E7B39}"/>
    <cellStyle name="Standard 6 7 3 4 4" xfId="23742" xr:uid="{51E38138-3384-4DE0-B864-47ECC6A5BFC7}"/>
    <cellStyle name="Standard 6 7 3 5" xfId="11785" xr:uid="{00000000-0005-0000-0000-0000102E0000}"/>
    <cellStyle name="Standard 6 7 3 5 2" xfId="11786" xr:uid="{00000000-0005-0000-0000-0000112E0000}"/>
    <cellStyle name="Standard 6 7 3 5 2 2" xfId="11787" xr:uid="{00000000-0005-0000-0000-0000122E0000}"/>
    <cellStyle name="Standard 6 7 3 5 2 2 2" xfId="23748" xr:uid="{47616A72-EBC1-470D-B34F-96A422B78155}"/>
    <cellStyle name="Standard 6 7 3 5 2 3" xfId="23747" xr:uid="{B13418CB-BB49-48C5-BDE4-6864F971628F}"/>
    <cellStyle name="Standard 6 7 3 5 3" xfId="11788" xr:uid="{00000000-0005-0000-0000-0000132E0000}"/>
    <cellStyle name="Standard 6 7 3 5 3 2" xfId="23749" xr:uid="{99580439-D417-4960-B31F-3049C5EEDC39}"/>
    <cellStyle name="Standard 6 7 3 5 4" xfId="23746" xr:uid="{785308A5-B10B-4DBC-8F91-FD80DD1DD3D5}"/>
    <cellStyle name="Standard 6 7 3 6" xfId="11789" xr:uid="{00000000-0005-0000-0000-0000142E0000}"/>
    <cellStyle name="Standard 6 7 3 6 2" xfId="11790" xr:uid="{00000000-0005-0000-0000-0000152E0000}"/>
    <cellStyle name="Standard 6 7 3 6 2 2" xfId="11791" xr:uid="{00000000-0005-0000-0000-0000162E0000}"/>
    <cellStyle name="Standard 6 7 3 6 2 2 2" xfId="23752" xr:uid="{D9394677-D2A5-403B-A360-7DCA7F1EE668}"/>
    <cellStyle name="Standard 6 7 3 6 2 3" xfId="23751" xr:uid="{1A137BBB-DE0B-4163-963B-FB675858F934}"/>
    <cellStyle name="Standard 6 7 3 6 3" xfId="11792" xr:uid="{00000000-0005-0000-0000-0000172E0000}"/>
    <cellStyle name="Standard 6 7 3 6 3 2" xfId="23753" xr:uid="{D53071B2-FF60-4FF9-957C-1E9096927850}"/>
    <cellStyle name="Standard 6 7 3 6 4" xfId="23750" xr:uid="{29AA2085-094D-48A7-A5E4-99DCD173DD18}"/>
    <cellStyle name="Standard 6 7 3 7" xfId="11793" xr:uid="{00000000-0005-0000-0000-0000182E0000}"/>
    <cellStyle name="Standard 6 7 3 7 2" xfId="11794" xr:uid="{00000000-0005-0000-0000-0000192E0000}"/>
    <cellStyle name="Standard 6 7 3 7 2 2" xfId="11795" xr:uid="{00000000-0005-0000-0000-00001A2E0000}"/>
    <cellStyle name="Standard 6 7 3 7 2 2 2" xfId="23756" xr:uid="{7CAD9FC3-9B55-4942-A864-86B25A446881}"/>
    <cellStyle name="Standard 6 7 3 7 2 3" xfId="23755" xr:uid="{35FB404A-5881-4788-907D-F0735E2E17F8}"/>
    <cellStyle name="Standard 6 7 3 7 3" xfId="11796" xr:uid="{00000000-0005-0000-0000-00001B2E0000}"/>
    <cellStyle name="Standard 6 7 3 7 3 2" xfId="23757" xr:uid="{8316BEDB-8E09-43BD-9805-47B1B67390EF}"/>
    <cellStyle name="Standard 6 7 3 7 4" xfId="23754" xr:uid="{42BAF2CA-E470-4796-884C-F78963DF0B5C}"/>
    <cellStyle name="Standard 6 7 3 8" xfId="11797" xr:uid="{00000000-0005-0000-0000-00001C2E0000}"/>
    <cellStyle name="Standard 6 7 3 8 2" xfId="11798" xr:uid="{00000000-0005-0000-0000-00001D2E0000}"/>
    <cellStyle name="Standard 6 7 3 8 2 2" xfId="23759" xr:uid="{98AB2E2C-F286-4B38-B9BD-9A55DB559D06}"/>
    <cellStyle name="Standard 6 7 3 8 3" xfId="23758" xr:uid="{F81372B2-889B-4EAA-BD4E-C7FB1F7F5994}"/>
    <cellStyle name="Standard 6 7 3 9" xfId="11799" xr:uid="{00000000-0005-0000-0000-00001E2E0000}"/>
    <cellStyle name="Standard 6 7 3 9 2" xfId="23760" xr:uid="{3D6B5F86-6DF0-46E4-8BC0-17F68EFFAF7B}"/>
    <cellStyle name="Standard 6 7 4" xfId="11800" xr:uid="{00000000-0005-0000-0000-00001F2E0000}"/>
    <cellStyle name="Standard 6 7 4 2" xfId="11801" xr:uid="{00000000-0005-0000-0000-0000202E0000}"/>
    <cellStyle name="Standard 6 7 4 2 2" xfId="11802" xr:uid="{00000000-0005-0000-0000-0000212E0000}"/>
    <cellStyle name="Standard 6 7 4 2 2 2" xfId="23763" xr:uid="{A2A4B81F-BC3D-46B1-8BD8-57283088029F}"/>
    <cellStyle name="Standard 6 7 4 2 3" xfId="23762" xr:uid="{16B629ED-04E7-45AB-9A56-E2567F0D729E}"/>
    <cellStyle name="Standard 6 7 4 3" xfId="11803" xr:uid="{00000000-0005-0000-0000-0000222E0000}"/>
    <cellStyle name="Standard 6 7 4 3 2" xfId="23764" xr:uid="{23732C35-B80B-4092-A0B4-61AC2F64B940}"/>
    <cellStyle name="Standard 6 7 4 4" xfId="23761" xr:uid="{EB191779-2B49-4FE9-9AC2-9442EDEDEC76}"/>
    <cellStyle name="Standard 6 7 5" xfId="11804" xr:uid="{00000000-0005-0000-0000-0000232E0000}"/>
    <cellStyle name="Standard 6 7 5 2" xfId="11805" xr:uid="{00000000-0005-0000-0000-0000242E0000}"/>
    <cellStyle name="Standard 6 7 5 2 2" xfId="11806" xr:uid="{00000000-0005-0000-0000-0000252E0000}"/>
    <cellStyle name="Standard 6 7 5 2 2 2" xfId="23767" xr:uid="{58285C13-7F98-4FF8-A847-D8D584FADBF9}"/>
    <cellStyle name="Standard 6 7 5 2 3" xfId="23766" xr:uid="{C2648524-1786-4DFD-8FE9-64BCC4D064CF}"/>
    <cellStyle name="Standard 6 7 5 3" xfId="11807" xr:uid="{00000000-0005-0000-0000-0000262E0000}"/>
    <cellStyle name="Standard 6 7 5 3 2" xfId="23768" xr:uid="{FDC2E78A-7576-4A12-9262-80A665BD15F9}"/>
    <cellStyle name="Standard 6 7 5 4" xfId="23765" xr:uid="{04EB56A1-1AC4-4EF7-A99E-486456F5BF57}"/>
    <cellStyle name="Standard 6 7 6" xfId="11808" xr:uid="{00000000-0005-0000-0000-0000272E0000}"/>
    <cellStyle name="Standard 6 7 6 2" xfId="11809" xr:uid="{00000000-0005-0000-0000-0000282E0000}"/>
    <cellStyle name="Standard 6 7 6 2 2" xfId="11810" xr:uid="{00000000-0005-0000-0000-0000292E0000}"/>
    <cellStyle name="Standard 6 7 6 2 2 2" xfId="23771" xr:uid="{F921BFD1-12AA-4F21-9AD9-27D965EBD0E1}"/>
    <cellStyle name="Standard 6 7 6 2 3" xfId="23770" xr:uid="{0B9DED3E-336B-4F58-95A5-EA0D1B9148DF}"/>
    <cellStyle name="Standard 6 7 6 3" xfId="11811" xr:uid="{00000000-0005-0000-0000-00002A2E0000}"/>
    <cellStyle name="Standard 6 7 6 3 2" xfId="23772" xr:uid="{C8893C07-1B40-423A-8AFF-2D6F28ABC46B}"/>
    <cellStyle name="Standard 6 7 6 4" xfId="23769" xr:uid="{5D2CCD03-DDCC-4B97-8CBB-98975C1EE6BD}"/>
    <cellStyle name="Standard 6 7 7" xfId="11812" xr:uid="{00000000-0005-0000-0000-00002B2E0000}"/>
    <cellStyle name="Standard 6 7 7 2" xfId="11813" xr:uid="{00000000-0005-0000-0000-00002C2E0000}"/>
    <cellStyle name="Standard 6 7 7 2 2" xfId="11814" xr:uid="{00000000-0005-0000-0000-00002D2E0000}"/>
    <cellStyle name="Standard 6 7 7 2 2 2" xfId="23775" xr:uid="{778EF529-CB27-467D-9CB6-7441F64D5305}"/>
    <cellStyle name="Standard 6 7 7 2 3" xfId="23774" xr:uid="{E56D383B-C37B-4BC3-8769-E35B312E3886}"/>
    <cellStyle name="Standard 6 7 7 3" xfId="11815" xr:uid="{00000000-0005-0000-0000-00002E2E0000}"/>
    <cellStyle name="Standard 6 7 7 3 2" xfId="23776" xr:uid="{0252AADE-E006-4E79-AC18-98DF4FB9205B}"/>
    <cellStyle name="Standard 6 7 7 4" xfId="23773" xr:uid="{776D62D8-933D-4C37-88EA-599A853A239B}"/>
    <cellStyle name="Standard 6 7 8" xfId="11816" xr:uid="{00000000-0005-0000-0000-00002F2E0000}"/>
    <cellStyle name="Standard 6 7 8 2" xfId="11817" xr:uid="{00000000-0005-0000-0000-0000302E0000}"/>
    <cellStyle name="Standard 6 7 8 2 2" xfId="11818" xr:uid="{00000000-0005-0000-0000-0000312E0000}"/>
    <cellStyle name="Standard 6 7 8 2 2 2" xfId="23779" xr:uid="{6923ED0A-B541-4A3C-976A-5D90E69C4B1E}"/>
    <cellStyle name="Standard 6 7 8 2 3" xfId="23778" xr:uid="{62B9BC0E-01AD-4A9D-866B-5922875075CD}"/>
    <cellStyle name="Standard 6 7 8 3" xfId="11819" xr:uid="{00000000-0005-0000-0000-0000322E0000}"/>
    <cellStyle name="Standard 6 7 8 3 2" xfId="23780" xr:uid="{1ECFD59A-CC9F-4572-9F35-7977150F82A5}"/>
    <cellStyle name="Standard 6 7 8 4" xfId="23777" xr:uid="{5D07415A-E953-44BC-8593-1A76CE9A455E}"/>
    <cellStyle name="Standard 6 7 9" xfId="11820" xr:uid="{00000000-0005-0000-0000-0000332E0000}"/>
    <cellStyle name="Standard 6 7 9 2" xfId="11821" xr:uid="{00000000-0005-0000-0000-0000342E0000}"/>
    <cellStyle name="Standard 6 7 9 2 2" xfId="11822" xr:uid="{00000000-0005-0000-0000-0000352E0000}"/>
    <cellStyle name="Standard 6 7 9 2 2 2" xfId="23783" xr:uid="{6C8F6DE7-54D3-43FD-A2A6-0F0ACA86B8AB}"/>
    <cellStyle name="Standard 6 7 9 2 3" xfId="23782" xr:uid="{7F402EA9-CEF5-4239-8ED5-39ED3EDA77E5}"/>
    <cellStyle name="Standard 6 7 9 3" xfId="11823" xr:uid="{00000000-0005-0000-0000-0000362E0000}"/>
    <cellStyle name="Standard 6 7 9 3 2" xfId="23784" xr:uid="{E0CB3142-3BA9-4B81-9238-7163F3A8E435}"/>
    <cellStyle name="Standard 6 7 9 4" xfId="23781" xr:uid="{D28FADF9-9DA6-4FB7-BA13-F9C79EA6D0B1}"/>
    <cellStyle name="Standard 6 8" xfId="11824" xr:uid="{00000000-0005-0000-0000-0000372E0000}"/>
    <cellStyle name="Standard 6 8 10" xfId="11825" xr:uid="{00000000-0005-0000-0000-0000382E0000}"/>
    <cellStyle name="Standard 6 8 10 2" xfId="23786" xr:uid="{C7C290CF-C5A9-43F5-8542-E216E314BC21}"/>
    <cellStyle name="Standard 6 8 11" xfId="23785" xr:uid="{4C11EB42-8277-4EFD-868C-768351CE37B2}"/>
    <cellStyle name="Standard 6 8 2" xfId="11826" xr:uid="{00000000-0005-0000-0000-0000392E0000}"/>
    <cellStyle name="Standard 6 8 2 10" xfId="23787" xr:uid="{A79DFC43-185F-4F2A-8AE8-4B20B39B967C}"/>
    <cellStyle name="Standard 6 8 2 2" xfId="11827" xr:uid="{00000000-0005-0000-0000-00003A2E0000}"/>
    <cellStyle name="Standard 6 8 2 2 2" xfId="11828" xr:uid="{00000000-0005-0000-0000-00003B2E0000}"/>
    <cellStyle name="Standard 6 8 2 2 2 2" xfId="11829" xr:uid="{00000000-0005-0000-0000-00003C2E0000}"/>
    <cellStyle name="Standard 6 8 2 2 2 2 2" xfId="23790" xr:uid="{E748BF0E-419C-4F50-85F2-39272E657DB8}"/>
    <cellStyle name="Standard 6 8 2 2 2 3" xfId="23789" xr:uid="{4E826771-5633-4072-9631-32D154C4FAEF}"/>
    <cellStyle name="Standard 6 8 2 2 3" xfId="11830" xr:uid="{00000000-0005-0000-0000-00003D2E0000}"/>
    <cellStyle name="Standard 6 8 2 2 3 2" xfId="23791" xr:uid="{FEF62DCC-EE68-4FAD-8B4B-E7CB5C3A4B61}"/>
    <cellStyle name="Standard 6 8 2 2 4" xfId="23788" xr:uid="{7E5DFF9B-082E-4811-BBC2-2F8B891C1811}"/>
    <cellStyle name="Standard 6 8 2 3" xfId="11831" xr:uid="{00000000-0005-0000-0000-00003E2E0000}"/>
    <cellStyle name="Standard 6 8 2 3 2" xfId="11832" xr:uid="{00000000-0005-0000-0000-00003F2E0000}"/>
    <cellStyle name="Standard 6 8 2 3 2 2" xfId="11833" xr:uid="{00000000-0005-0000-0000-0000402E0000}"/>
    <cellStyle name="Standard 6 8 2 3 2 2 2" xfId="23794" xr:uid="{A31EFD94-BCE0-4D41-BEE2-B699097FCB2D}"/>
    <cellStyle name="Standard 6 8 2 3 2 3" xfId="23793" xr:uid="{42CBBFD0-1BDE-4212-8403-53763D30343E}"/>
    <cellStyle name="Standard 6 8 2 3 3" xfId="11834" xr:uid="{00000000-0005-0000-0000-0000412E0000}"/>
    <cellStyle name="Standard 6 8 2 3 3 2" xfId="23795" xr:uid="{089138E1-7BAB-40E8-91E7-0E58A6CDA8B1}"/>
    <cellStyle name="Standard 6 8 2 3 4" xfId="23792" xr:uid="{488BD17D-2793-4629-A89A-AB530BA2F37B}"/>
    <cellStyle name="Standard 6 8 2 4" xfId="11835" xr:uid="{00000000-0005-0000-0000-0000422E0000}"/>
    <cellStyle name="Standard 6 8 2 4 2" xfId="11836" xr:uid="{00000000-0005-0000-0000-0000432E0000}"/>
    <cellStyle name="Standard 6 8 2 4 2 2" xfId="11837" xr:uid="{00000000-0005-0000-0000-0000442E0000}"/>
    <cellStyle name="Standard 6 8 2 4 2 2 2" xfId="23798" xr:uid="{FB5A1512-1E83-4F4F-B7FD-B4D46004B9F0}"/>
    <cellStyle name="Standard 6 8 2 4 2 3" xfId="23797" xr:uid="{2304D1F5-AEE5-46AD-8B30-CA5A34F64A8C}"/>
    <cellStyle name="Standard 6 8 2 4 3" xfId="11838" xr:uid="{00000000-0005-0000-0000-0000452E0000}"/>
    <cellStyle name="Standard 6 8 2 4 3 2" xfId="23799" xr:uid="{25C55501-0D95-4526-8A02-B7C857EBC845}"/>
    <cellStyle name="Standard 6 8 2 4 4" xfId="23796" xr:uid="{E0C24182-490F-4B3F-B98D-91982DC8C022}"/>
    <cellStyle name="Standard 6 8 2 5" xfId="11839" xr:uid="{00000000-0005-0000-0000-0000462E0000}"/>
    <cellStyle name="Standard 6 8 2 5 2" xfId="11840" xr:uid="{00000000-0005-0000-0000-0000472E0000}"/>
    <cellStyle name="Standard 6 8 2 5 2 2" xfId="11841" xr:uid="{00000000-0005-0000-0000-0000482E0000}"/>
    <cellStyle name="Standard 6 8 2 5 2 2 2" xfId="23802" xr:uid="{D96E3D82-0CBC-471A-99EE-7C4DA980DBFB}"/>
    <cellStyle name="Standard 6 8 2 5 2 3" xfId="23801" xr:uid="{15CC6BC2-7880-4664-B6CF-B55F374BF40A}"/>
    <cellStyle name="Standard 6 8 2 5 3" xfId="11842" xr:uid="{00000000-0005-0000-0000-0000492E0000}"/>
    <cellStyle name="Standard 6 8 2 5 3 2" xfId="23803" xr:uid="{1381F13D-3550-48C1-B432-D2969060BEEC}"/>
    <cellStyle name="Standard 6 8 2 5 4" xfId="23800" xr:uid="{64648957-3203-43DB-B907-C9529991F562}"/>
    <cellStyle name="Standard 6 8 2 6" xfId="11843" xr:uid="{00000000-0005-0000-0000-00004A2E0000}"/>
    <cellStyle name="Standard 6 8 2 6 2" xfId="11844" xr:uid="{00000000-0005-0000-0000-00004B2E0000}"/>
    <cellStyle name="Standard 6 8 2 6 2 2" xfId="11845" xr:uid="{00000000-0005-0000-0000-00004C2E0000}"/>
    <cellStyle name="Standard 6 8 2 6 2 2 2" xfId="23806" xr:uid="{253F8285-E595-45E1-8D7B-8F08C37C9BA6}"/>
    <cellStyle name="Standard 6 8 2 6 2 3" xfId="23805" xr:uid="{DA25B887-ADB2-4A81-907C-2D9A57F264FC}"/>
    <cellStyle name="Standard 6 8 2 6 3" xfId="11846" xr:uid="{00000000-0005-0000-0000-00004D2E0000}"/>
    <cellStyle name="Standard 6 8 2 6 3 2" xfId="23807" xr:uid="{8E1C9FAF-5C24-4C0D-B991-3CDECC9678DB}"/>
    <cellStyle name="Standard 6 8 2 6 4" xfId="23804" xr:uid="{2C2BD1B0-7A28-4C4D-9DFD-6AB5C266ED41}"/>
    <cellStyle name="Standard 6 8 2 7" xfId="11847" xr:uid="{00000000-0005-0000-0000-00004E2E0000}"/>
    <cellStyle name="Standard 6 8 2 7 2" xfId="11848" xr:uid="{00000000-0005-0000-0000-00004F2E0000}"/>
    <cellStyle name="Standard 6 8 2 7 2 2" xfId="11849" xr:uid="{00000000-0005-0000-0000-0000502E0000}"/>
    <cellStyle name="Standard 6 8 2 7 2 2 2" xfId="23810" xr:uid="{ACE022A7-5601-4480-ADF3-1F6B36FC3A79}"/>
    <cellStyle name="Standard 6 8 2 7 2 3" xfId="23809" xr:uid="{EBB39B0F-F0C9-4712-910B-086FD8D45899}"/>
    <cellStyle name="Standard 6 8 2 7 3" xfId="11850" xr:uid="{00000000-0005-0000-0000-0000512E0000}"/>
    <cellStyle name="Standard 6 8 2 7 3 2" xfId="23811" xr:uid="{22B809D3-6620-40B6-94C7-D206B00104F2}"/>
    <cellStyle name="Standard 6 8 2 7 4" xfId="23808" xr:uid="{1756FE23-1B71-4B9E-A694-5E1BBF24BECF}"/>
    <cellStyle name="Standard 6 8 2 8" xfId="11851" xr:uid="{00000000-0005-0000-0000-0000522E0000}"/>
    <cellStyle name="Standard 6 8 2 8 2" xfId="11852" xr:uid="{00000000-0005-0000-0000-0000532E0000}"/>
    <cellStyle name="Standard 6 8 2 8 2 2" xfId="23813" xr:uid="{977F5CD4-F081-4E53-82FC-74C1DC43697F}"/>
    <cellStyle name="Standard 6 8 2 8 3" xfId="23812" xr:uid="{3FC03A3E-1D80-450B-AFC3-D14B7A1254B2}"/>
    <cellStyle name="Standard 6 8 2 9" xfId="11853" xr:uid="{00000000-0005-0000-0000-0000542E0000}"/>
    <cellStyle name="Standard 6 8 2 9 2" xfId="23814" xr:uid="{703E2814-3604-46A6-8821-48A54E7A6743}"/>
    <cellStyle name="Standard 6 8 3" xfId="11854" xr:uid="{00000000-0005-0000-0000-0000552E0000}"/>
    <cellStyle name="Standard 6 8 3 2" xfId="11855" xr:uid="{00000000-0005-0000-0000-0000562E0000}"/>
    <cellStyle name="Standard 6 8 3 2 2" xfId="11856" xr:uid="{00000000-0005-0000-0000-0000572E0000}"/>
    <cellStyle name="Standard 6 8 3 2 2 2" xfId="23817" xr:uid="{19B8B232-8948-455F-8997-40B6BE489170}"/>
    <cellStyle name="Standard 6 8 3 2 3" xfId="23816" xr:uid="{13AA533E-D205-4897-8723-73F6850F7A0E}"/>
    <cellStyle name="Standard 6 8 3 3" xfId="11857" xr:uid="{00000000-0005-0000-0000-0000582E0000}"/>
    <cellStyle name="Standard 6 8 3 3 2" xfId="23818" xr:uid="{21BA4ACF-62BF-42FC-AB04-98EC03AD7811}"/>
    <cellStyle name="Standard 6 8 3 4" xfId="23815" xr:uid="{32A747B9-C09E-42BF-8F05-317D26420737}"/>
    <cellStyle name="Standard 6 8 4" xfId="11858" xr:uid="{00000000-0005-0000-0000-0000592E0000}"/>
    <cellStyle name="Standard 6 8 4 2" xfId="11859" xr:uid="{00000000-0005-0000-0000-00005A2E0000}"/>
    <cellStyle name="Standard 6 8 4 2 2" xfId="11860" xr:uid="{00000000-0005-0000-0000-00005B2E0000}"/>
    <cellStyle name="Standard 6 8 4 2 2 2" xfId="23821" xr:uid="{7E670F0C-11C3-431D-88BF-353CA1A7E608}"/>
    <cellStyle name="Standard 6 8 4 2 3" xfId="23820" xr:uid="{300EA703-BE50-44FA-9FC2-9F7E3A95F8DC}"/>
    <cellStyle name="Standard 6 8 4 3" xfId="11861" xr:uid="{00000000-0005-0000-0000-00005C2E0000}"/>
    <cellStyle name="Standard 6 8 4 3 2" xfId="23822" xr:uid="{7A6CD2D1-AA11-4E3D-B483-74106B9628EE}"/>
    <cellStyle name="Standard 6 8 4 4" xfId="23819" xr:uid="{26FE5C4C-722D-4547-9353-6BEE98DD02B2}"/>
    <cellStyle name="Standard 6 8 5" xfId="11862" xr:uid="{00000000-0005-0000-0000-00005D2E0000}"/>
    <cellStyle name="Standard 6 8 5 2" xfId="11863" xr:uid="{00000000-0005-0000-0000-00005E2E0000}"/>
    <cellStyle name="Standard 6 8 5 2 2" xfId="11864" xr:uid="{00000000-0005-0000-0000-00005F2E0000}"/>
    <cellStyle name="Standard 6 8 5 2 2 2" xfId="23825" xr:uid="{8432CCEA-3951-4064-8AE1-6E6D0714516A}"/>
    <cellStyle name="Standard 6 8 5 2 3" xfId="23824" xr:uid="{7734D81A-D8AD-4F53-9243-EED36AD7D28D}"/>
    <cellStyle name="Standard 6 8 5 3" xfId="11865" xr:uid="{00000000-0005-0000-0000-0000602E0000}"/>
    <cellStyle name="Standard 6 8 5 3 2" xfId="23826" xr:uid="{03686F98-8D5F-4DE5-90BE-6AECA1CF8577}"/>
    <cellStyle name="Standard 6 8 5 4" xfId="23823" xr:uid="{863AD28E-7AB1-446C-9CCA-7320A5FD3A9A}"/>
    <cellStyle name="Standard 6 8 6" xfId="11866" xr:uid="{00000000-0005-0000-0000-0000612E0000}"/>
    <cellStyle name="Standard 6 8 6 2" xfId="11867" xr:uid="{00000000-0005-0000-0000-0000622E0000}"/>
    <cellStyle name="Standard 6 8 6 2 2" xfId="11868" xr:uid="{00000000-0005-0000-0000-0000632E0000}"/>
    <cellStyle name="Standard 6 8 6 2 2 2" xfId="23829" xr:uid="{5EB64FE5-ABA9-4970-B2AF-CC85971A1CB2}"/>
    <cellStyle name="Standard 6 8 6 2 3" xfId="23828" xr:uid="{0DD524EA-D1D6-4BFC-A24C-A7635F592165}"/>
    <cellStyle name="Standard 6 8 6 3" xfId="11869" xr:uid="{00000000-0005-0000-0000-0000642E0000}"/>
    <cellStyle name="Standard 6 8 6 3 2" xfId="23830" xr:uid="{BE9FE975-A2C2-422F-B9AD-C501FBF529A0}"/>
    <cellStyle name="Standard 6 8 6 4" xfId="23827" xr:uid="{6E83842A-F6BD-4623-BFA6-BDABC02EB5BA}"/>
    <cellStyle name="Standard 6 8 7" xfId="11870" xr:uid="{00000000-0005-0000-0000-0000652E0000}"/>
    <cellStyle name="Standard 6 8 7 2" xfId="11871" xr:uid="{00000000-0005-0000-0000-0000662E0000}"/>
    <cellStyle name="Standard 6 8 7 2 2" xfId="11872" xr:uid="{00000000-0005-0000-0000-0000672E0000}"/>
    <cellStyle name="Standard 6 8 7 2 2 2" xfId="23833" xr:uid="{1F1A05E1-8542-461E-BC84-9CDF1C50B6DA}"/>
    <cellStyle name="Standard 6 8 7 2 3" xfId="23832" xr:uid="{693B4B3F-95AA-41D9-B4BD-52AAAD8AE6EE}"/>
    <cellStyle name="Standard 6 8 7 3" xfId="11873" xr:uid="{00000000-0005-0000-0000-0000682E0000}"/>
    <cellStyle name="Standard 6 8 7 3 2" xfId="23834" xr:uid="{347A0E47-A26D-4666-986D-83B486314034}"/>
    <cellStyle name="Standard 6 8 7 4" xfId="23831" xr:uid="{F99290A0-77B5-4C7E-8238-19E706AB3E38}"/>
    <cellStyle name="Standard 6 8 8" xfId="11874" xr:uid="{00000000-0005-0000-0000-0000692E0000}"/>
    <cellStyle name="Standard 6 8 8 2" xfId="11875" xr:uid="{00000000-0005-0000-0000-00006A2E0000}"/>
    <cellStyle name="Standard 6 8 8 2 2" xfId="11876" xr:uid="{00000000-0005-0000-0000-00006B2E0000}"/>
    <cellStyle name="Standard 6 8 8 2 2 2" xfId="23837" xr:uid="{983196E8-A747-45E3-B165-019F8C5611BD}"/>
    <cellStyle name="Standard 6 8 8 2 3" xfId="23836" xr:uid="{47427D69-E2B8-402C-A662-0B8CCDB489C9}"/>
    <cellStyle name="Standard 6 8 8 3" xfId="11877" xr:uid="{00000000-0005-0000-0000-00006C2E0000}"/>
    <cellStyle name="Standard 6 8 8 3 2" xfId="23838" xr:uid="{13560CD2-52CB-4465-BB37-C1000745792C}"/>
    <cellStyle name="Standard 6 8 8 4" xfId="23835" xr:uid="{0F57A857-F8B1-477D-9D98-8AA079CB4909}"/>
    <cellStyle name="Standard 6 8 9" xfId="11878" xr:uid="{00000000-0005-0000-0000-00006D2E0000}"/>
    <cellStyle name="Standard 6 8 9 2" xfId="11879" xr:uid="{00000000-0005-0000-0000-00006E2E0000}"/>
    <cellStyle name="Standard 6 8 9 2 2" xfId="23840" xr:uid="{B1B793DD-1723-4683-8C4B-5A3E773BFDDC}"/>
    <cellStyle name="Standard 6 8 9 3" xfId="23839" xr:uid="{7E1AA252-134D-4B86-B049-83A5B2498AFA}"/>
    <cellStyle name="Standard 6 9" xfId="11880" xr:uid="{00000000-0005-0000-0000-00006F2E0000}"/>
    <cellStyle name="Standard 6 9 10" xfId="11881" xr:uid="{00000000-0005-0000-0000-0000702E0000}"/>
    <cellStyle name="Standard 6 9 10 2" xfId="23842" xr:uid="{FABCA124-B5F6-4F68-B888-A164E627776F}"/>
    <cellStyle name="Standard 6 9 11" xfId="23841" xr:uid="{DA673DD4-DA07-4504-895A-D420D1253BE9}"/>
    <cellStyle name="Standard 6 9 2" xfId="11882" xr:uid="{00000000-0005-0000-0000-0000712E0000}"/>
    <cellStyle name="Standard 6 9 2 10" xfId="23843" xr:uid="{AE55BCF0-53E1-40CB-9A15-8B3B7A4E890D}"/>
    <cellStyle name="Standard 6 9 2 2" xfId="11883" xr:uid="{00000000-0005-0000-0000-0000722E0000}"/>
    <cellStyle name="Standard 6 9 2 2 2" xfId="11884" xr:uid="{00000000-0005-0000-0000-0000732E0000}"/>
    <cellStyle name="Standard 6 9 2 2 2 2" xfId="11885" xr:uid="{00000000-0005-0000-0000-0000742E0000}"/>
    <cellStyle name="Standard 6 9 2 2 2 2 2" xfId="23846" xr:uid="{39D35940-A04B-4EFF-8FE5-A01E0A901A7C}"/>
    <cellStyle name="Standard 6 9 2 2 2 3" xfId="23845" xr:uid="{32657D97-67BE-4640-844F-1C80B980EA3E}"/>
    <cellStyle name="Standard 6 9 2 2 3" xfId="11886" xr:uid="{00000000-0005-0000-0000-0000752E0000}"/>
    <cellStyle name="Standard 6 9 2 2 3 2" xfId="23847" xr:uid="{BC8269F4-192B-4C2B-BFDE-85ED02F9AF31}"/>
    <cellStyle name="Standard 6 9 2 2 4" xfId="23844" xr:uid="{B54E1F8C-0E46-4890-A6C5-108F7D9E0378}"/>
    <cellStyle name="Standard 6 9 2 3" xfId="11887" xr:uid="{00000000-0005-0000-0000-0000762E0000}"/>
    <cellStyle name="Standard 6 9 2 3 2" xfId="11888" xr:uid="{00000000-0005-0000-0000-0000772E0000}"/>
    <cellStyle name="Standard 6 9 2 3 2 2" xfId="11889" xr:uid="{00000000-0005-0000-0000-0000782E0000}"/>
    <cellStyle name="Standard 6 9 2 3 2 2 2" xfId="23850" xr:uid="{6AC3E2A7-5AB9-4577-B5C5-CA8D8E583BAE}"/>
    <cellStyle name="Standard 6 9 2 3 2 3" xfId="23849" xr:uid="{79DD71DA-1783-425C-AF6D-72B88D77EA06}"/>
    <cellStyle name="Standard 6 9 2 3 3" xfId="11890" xr:uid="{00000000-0005-0000-0000-0000792E0000}"/>
    <cellStyle name="Standard 6 9 2 3 3 2" xfId="23851" xr:uid="{390EDB32-899F-4C2D-89F5-F20AD346F8FC}"/>
    <cellStyle name="Standard 6 9 2 3 4" xfId="23848" xr:uid="{1B7257F0-11F1-4734-9813-AD35287C3546}"/>
    <cellStyle name="Standard 6 9 2 4" xfId="11891" xr:uid="{00000000-0005-0000-0000-00007A2E0000}"/>
    <cellStyle name="Standard 6 9 2 4 2" xfId="11892" xr:uid="{00000000-0005-0000-0000-00007B2E0000}"/>
    <cellStyle name="Standard 6 9 2 4 2 2" xfId="11893" xr:uid="{00000000-0005-0000-0000-00007C2E0000}"/>
    <cellStyle name="Standard 6 9 2 4 2 2 2" xfId="23854" xr:uid="{FDD0C7C6-6711-43AD-873D-FD72A733F87A}"/>
    <cellStyle name="Standard 6 9 2 4 2 3" xfId="23853" xr:uid="{67A954D8-8EED-4F00-9077-BD0650C8FF1F}"/>
    <cellStyle name="Standard 6 9 2 4 3" xfId="11894" xr:uid="{00000000-0005-0000-0000-00007D2E0000}"/>
    <cellStyle name="Standard 6 9 2 4 3 2" xfId="23855" xr:uid="{67E7D230-E78B-4527-942A-4BDEA537FFF2}"/>
    <cellStyle name="Standard 6 9 2 4 4" xfId="23852" xr:uid="{CB592D28-133F-4DE8-BE37-D0B8495F07C3}"/>
    <cellStyle name="Standard 6 9 2 5" xfId="11895" xr:uid="{00000000-0005-0000-0000-00007E2E0000}"/>
    <cellStyle name="Standard 6 9 2 5 2" xfId="11896" xr:uid="{00000000-0005-0000-0000-00007F2E0000}"/>
    <cellStyle name="Standard 6 9 2 5 2 2" xfId="11897" xr:uid="{00000000-0005-0000-0000-0000802E0000}"/>
    <cellStyle name="Standard 6 9 2 5 2 2 2" xfId="23858" xr:uid="{F6523006-BF6A-4B48-9904-72BD732F647C}"/>
    <cellStyle name="Standard 6 9 2 5 2 3" xfId="23857" xr:uid="{94C05069-8D93-4861-96ED-0887C8120AB4}"/>
    <cellStyle name="Standard 6 9 2 5 3" xfId="11898" xr:uid="{00000000-0005-0000-0000-0000812E0000}"/>
    <cellStyle name="Standard 6 9 2 5 3 2" xfId="23859" xr:uid="{A8341990-0162-404A-8B66-7D1ACBAC4E29}"/>
    <cellStyle name="Standard 6 9 2 5 4" xfId="23856" xr:uid="{C07989E9-94F7-4718-B820-B77DED4AC08C}"/>
    <cellStyle name="Standard 6 9 2 6" xfId="11899" xr:uid="{00000000-0005-0000-0000-0000822E0000}"/>
    <cellStyle name="Standard 6 9 2 6 2" xfId="11900" xr:uid="{00000000-0005-0000-0000-0000832E0000}"/>
    <cellStyle name="Standard 6 9 2 6 2 2" xfId="11901" xr:uid="{00000000-0005-0000-0000-0000842E0000}"/>
    <cellStyle name="Standard 6 9 2 6 2 2 2" xfId="23862" xr:uid="{BD94FB7A-4C2F-4C79-A916-DD95439261D0}"/>
    <cellStyle name="Standard 6 9 2 6 2 3" xfId="23861" xr:uid="{70EF6B77-25F7-4BAD-BAF0-620B68AC801D}"/>
    <cellStyle name="Standard 6 9 2 6 3" xfId="11902" xr:uid="{00000000-0005-0000-0000-0000852E0000}"/>
    <cellStyle name="Standard 6 9 2 6 3 2" xfId="23863" xr:uid="{7E6BC304-78E0-4A56-90A1-9F3992BE5715}"/>
    <cellStyle name="Standard 6 9 2 6 4" xfId="23860" xr:uid="{F72DFB66-261F-46F7-B977-060AE179932F}"/>
    <cellStyle name="Standard 6 9 2 7" xfId="11903" xr:uid="{00000000-0005-0000-0000-0000862E0000}"/>
    <cellStyle name="Standard 6 9 2 7 2" xfId="11904" xr:uid="{00000000-0005-0000-0000-0000872E0000}"/>
    <cellStyle name="Standard 6 9 2 7 2 2" xfId="11905" xr:uid="{00000000-0005-0000-0000-0000882E0000}"/>
    <cellStyle name="Standard 6 9 2 7 2 2 2" xfId="23866" xr:uid="{2F65491C-A51F-4E66-9BBB-C8BF417ADE96}"/>
    <cellStyle name="Standard 6 9 2 7 2 3" xfId="23865" xr:uid="{FE308FC1-FBBC-45B0-B11A-9DD08696EE46}"/>
    <cellStyle name="Standard 6 9 2 7 3" xfId="11906" xr:uid="{00000000-0005-0000-0000-0000892E0000}"/>
    <cellStyle name="Standard 6 9 2 7 3 2" xfId="23867" xr:uid="{A76F2CEA-AEFD-408D-B29A-A16BA7D5AA37}"/>
    <cellStyle name="Standard 6 9 2 7 4" xfId="23864" xr:uid="{82A88820-26A4-4E88-A919-0A0B042C6B72}"/>
    <cellStyle name="Standard 6 9 2 8" xfId="11907" xr:uid="{00000000-0005-0000-0000-00008A2E0000}"/>
    <cellStyle name="Standard 6 9 2 8 2" xfId="11908" xr:uid="{00000000-0005-0000-0000-00008B2E0000}"/>
    <cellStyle name="Standard 6 9 2 8 2 2" xfId="23869" xr:uid="{F2774F36-2CE2-4854-8067-F20D7FFD2863}"/>
    <cellStyle name="Standard 6 9 2 8 3" xfId="23868" xr:uid="{02F1313E-8339-4358-9E9A-4082F8AC6111}"/>
    <cellStyle name="Standard 6 9 2 9" xfId="11909" xr:uid="{00000000-0005-0000-0000-00008C2E0000}"/>
    <cellStyle name="Standard 6 9 2 9 2" xfId="23870" xr:uid="{F6FA57E7-EA27-4FB4-BF08-CDF4AA6C4BA7}"/>
    <cellStyle name="Standard 6 9 3" xfId="11910" xr:uid="{00000000-0005-0000-0000-00008D2E0000}"/>
    <cellStyle name="Standard 6 9 3 2" xfId="11911" xr:uid="{00000000-0005-0000-0000-00008E2E0000}"/>
    <cellStyle name="Standard 6 9 3 2 2" xfId="11912" xr:uid="{00000000-0005-0000-0000-00008F2E0000}"/>
    <cellStyle name="Standard 6 9 3 2 2 2" xfId="23873" xr:uid="{8C0B680A-77A8-4689-9851-18C78C27ECB6}"/>
    <cellStyle name="Standard 6 9 3 2 3" xfId="23872" xr:uid="{8CEB1AC6-6D58-475D-8A4E-0A6C8201316D}"/>
    <cellStyle name="Standard 6 9 3 3" xfId="11913" xr:uid="{00000000-0005-0000-0000-0000902E0000}"/>
    <cellStyle name="Standard 6 9 3 3 2" xfId="23874" xr:uid="{B39535A4-31A6-413D-8725-F4A4BEC8F0E8}"/>
    <cellStyle name="Standard 6 9 3 4" xfId="23871" xr:uid="{8ED5149F-5C63-4C65-B7F5-97CEC452537B}"/>
    <cellStyle name="Standard 6 9 4" xfId="11914" xr:uid="{00000000-0005-0000-0000-0000912E0000}"/>
    <cellStyle name="Standard 6 9 4 2" xfId="11915" xr:uid="{00000000-0005-0000-0000-0000922E0000}"/>
    <cellStyle name="Standard 6 9 4 2 2" xfId="11916" xr:uid="{00000000-0005-0000-0000-0000932E0000}"/>
    <cellStyle name="Standard 6 9 4 2 2 2" xfId="23877" xr:uid="{6B8CD658-44CF-4849-BC44-FB6C033E3088}"/>
    <cellStyle name="Standard 6 9 4 2 3" xfId="23876" xr:uid="{E5B08B04-F2D5-4970-AF83-5646F8F582B0}"/>
    <cellStyle name="Standard 6 9 4 3" xfId="11917" xr:uid="{00000000-0005-0000-0000-0000942E0000}"/>
    <cellStyle name="Standard 6 9 4 3 2" xfId="23878" xr:uid="{0B158D85-F62D-4AA1-BEA9-B047907C9B49}"/>
    <cellStyle name="Standard 6 9 4 4" xfId="23875" xr:uid="{CCEF0722-B320-4314-8094-123D86397B38}"/>
    <cellStyle name="Standard 6 9 5" xfId="11918" xr:uid="{00000000-0005-0000-0000-0000952E0000}"/>
    <cellStyle name="Standard 6 9 5 2" xfId="11919" xr:uid="{00000000-0005-0000-0000-0000962E0000}"/>
    <cellStyle name="Standard 6 9 5 2 2" xfId="11920" xr:uid="{00000000-0005-0000-0000-0000972E0000}"/>
    <cellStyle name="Standard 6 9 5 2 2 2" xfId="23881" xr:uid="{13C19B62-0F4B-441B-9F45-D30419B87F20}"/>
    <cellStyle name="Standard 6 9 5 2 3" xfId="23880" xr:uid="{FCFA3E4E-2E1D-4992-93E8-F296EE4A1529}"/>
    <cellStyle name="Standard 6 9 5 3" xfId="11921" xr:uid="{00000000-0005-0000-0000-0000982E0000}"/>
    <cellStyle name="Standard 6 9 5 3 2" xfId="23882" xr:uid="{52B0D9D1-EF86-4797-BFF1-E371DCB50F09}"/>
    <cellStyle name="Standard 6 9 5 4" xfId="23879" xr:uid="{E625FAE4-5FC3-4DDC-8937-AFE0A34A7234}"/>
    <cellStyle name="Standard 6 9 6" xfId="11922" xr:uid="{00000000-0005-0000-0000-0000992E0000}"/>
    <cellStyle name="Standard 6 9 6 2" xfId="11923" xr:uid="{00000000-0005-0000-0000-00009A2E0000}"/>
    <cellStyle name="Standard 6 9 6 2 2" xfId="11924" xr:uid="{00000000-0005-0000-0000-00009B2E0000}"/>
    <cellStyle name="Standard 6 9 6 2 2 2" xfId="23885" xr:uid="{C2AB4E71-00BE-4AB7-BCD9-795EB43D6FA7}"/>
    <cellStyle name="Standard 6 9 6 2 3" xfId="23884" xr:uid="{35F2A826-606A-49FB-9F5C-6A488CB7D362}"/>
    <cellStyle name="Standard 6 9 6 3" xfId="11925" xr:uid="{00000000-0005-0000-0000-00009C2E0000}"/>
    <cellStyle name="Standard 6 9 6 3 2" xfId="23886" xr:uid="{BD790203-0C32-47DF-A38A-71ED72425AB4}"/>
    <cellStyle name="Standard 6 9 6 4" xfId="23883" xr:uid="{1221CF7D-4D80-4E89-A72D-B2A59EB04C1B}"/>
    <cellStyle name="Standard 6 9 7" xfId="11926" xr:uid="{00000000-0005-0000-0000-00009D2E0000}"/>
    <cellStyle name="Standard 6 9 7 2" xfId="11927" xr:uid="{00000000-0005-0000-0000-00009E2E0000}"/>
    <cellStyle name="Standard 6 9 7 2 2" xfId="11928" xr:uid="{00000000-0005-0000-0000-00009F2E0000}"/>
    <cellStyle name="Standard 6 9 7 2 2 2" xfId="23889" xr:uid="{CE64D7E3-5BE6-47FE-8092-860223D3484E}"/>
    <cellStyle name="Standard 6 9 7 2 3" xfId="23888" xr:uid="{D68D23DD-8D16-4858-8E98-C50778D33DA8}"/>
    <cellStyle name="Standard 6 9 7 3" xfId="11929" xr:uid="{00000000-0005-0000-0000-0000A02E0000}"/>
    <cellStyle name="Standard 6 9 7 3 2" xfId="23890" xr:uid="{99796112-C5AA-488E-A420-35F951AF9ED4}"/>
    <cellStyle name="Standard 6 9 7 4" xfId="23887" xr:uid="{4CE8D3EB-E041-4E07-91E6-2D2C6F90614E}"/>
    <cellStyle name="Standard 6 9 8" xfId="11930" xr:uid="{00000000-0005-0000-0000-0000A12E0000}"/>
    <cellStyle name="Standard 6 9 8 2" xfId="11931" xr:uid="{00000000-0005-0000-0000-0000A22E0000}"/>
    <cellStyle name="Standard 6 9 8 2 2" xfId="11932" xr:uid="{00000000-0005-0000-0000-0000A32E0000}"/>
    <cellStyle name="Standard 6 9 8 2 2 2" xfId="23893" xr:uid="{4FD19CBC-E249-4D05-865C-E2C1D3A67586}"/>
    <cellStyle name="Standard 6 9 8 2 3" xfId="23892" xr:uid="{1805B7BA-F3F5-4AD1-8549-2F33C2A374E6}"/>
    <cellStyle name="Standard 6 9 8 3" xfId="11933" xr:uid="{00000000-0005-0000-0000-0000A42E0000}"/>
    <cellStyle name="Standard 6 9 8 3 2" xfId="23894" xr:uid="{3510CCB6-00D3-4AEC-9273-F01B6F617168}"/>
    <cellStyle name="Standard 6 9 8 4" xfId="23891" xr:uid="{1689C34B-648F-48B5-9280-FF0044677458}"/>
    <cellStyle name="Standard 6 9 9" xfId="11934" xr:uid="{00000000-0005-0000-0000-0000A52E0000}"/>
    <cellStyle name="Standard 6 9 9 2" xfId="11935" xr:uid="{00000000-0005-0000-0000-0000A62E0000}"/>
    <cellStyle name="Standard 6 9 9 2 2" xfId="23896" xr:uid="{70060732-6DF8-4102-B38D-B5F87502EC53}"/>
    <cellStyle name="Standard 6 9 9 3" xfId="23895" xr:uid="{5AB15BFD-8566-4CD6-8E3E-62EFB74A361F}"/>
    <cellStyle name="Standard 7" xfId="11936" xr:uid="{00000000-0005-0000-0000-0000A72E0000}"/>
    <cellStyle name="Standard 7 2" xfId="11937" xr:uid="{00000000-0005-0000-0000-0000A82E0000}"/>
    <cellStyle name="Standard 7 2 2" xfId="11938" xr:uid="{00000000-0005-0000-0000-0000A92E0000}"/>
    <cellStyle name="Standard 7 2 2 2" xfId="11939" xr:uid="{00000000-0005-0000-0000-0000AA2E0000}"/>
    <cellStyle name="Standard 7 2 3" xfId="11940" xr:uid="{00000000-0005-0000-0000-0000AB2E0000}"/>
    <cellStyle name="Standard 7 3" xfId="11941" xr:uid="{00000000-0005-0000-0000-0000AC2E0000}"/>
    <cellStyle name="Standard 7 3 2" xfId="11942" xr:uid="{00000000-0005-0000-0000-0000AD2E0000}"/>
    <cellStyle name="Standard 7 4" xfId="11943" xr:uid="{00000000-0005-0000-0000-0000AE2E0000}"/>
    <cellStyle name="Standard 8" xfId="11944" xr:uid="{00000000-0005-0000-0000-0000AF2E0000}"/>
    <cellStyle name="Standard 8 2" xfId="11945" xr:uid="{00000000-0005-0000-0000-0000B02E0000}"/>
    <cellStyle name="Standard 8 2 2" xfId="11946" xr:uid="{00000000-0005-0000-0000-0000B12E0000}"/>
    <cellStyle name="Standard 8 3" xfId="11947" xr:uid="{00000000-0005-0000-0000-0000B22E0000}"/>
    <cellStyle name="Standard 8 3 2" xfId="11948" xr:uid="{00000000-0005-0000-0000-0000B32E0000}"/>
    <cellStyle name="Standard 8 4" xfId="11949" xr:uid="{00000000-0005-0000-0000-0000B42E0000}"/>
    <cellStyle name="Standard 8 4 2" xfId="11950" xr:uid="{00000000-0005-0000-0000-0000B52E0000}"/>
    <cellStyle name="Standard 8 5" xfId="11951" xr:uid="{00000000-0005-0000-0000-0000B62E0000}"/>
    <cellStyle name="Standard 8 5 2" xfId="11952" xr:uid="{00000000-0005-0000-0000-0000B72E0000}"/>
    <cellStyle name="Standard 9" xfId="11953" xr:uid="{00000000-0005-0000-0000-0000B82E0000}"/>
    <cellStyle name="Standard 9 10" xfId="11954" xr:uid="{00000000-0005-0000-0000-0000B92E0000}"/>
    <cellStyle name="Standard 9 10 2" xfId="23898" xr:uid="{00CC0C03-4FA3-4397-8A02-75EDCE08A98C}"/>
    <cellStyle name="Standard 9 11" xfId="23897" xr:uid="{4E4E7B6D-2E6D-4FAD-8D96-C22A01B7424E}"/>
    <cellStyle name="Standard 9 2" xfId="11955" xr:uid="{00000000-0005-0000-0000-0000BA2E0000}"/>
    <cellStyle name="Standard 9 2 10" xfId="23899" xr:uid="{351EA483-A788-4E3D-A450-FC97613DF2F6}"/>
    <cellStyle name="Standard 9 2 2" xfId="11956" xr:uid="{00000000-0005-0000-0000-0000BB2E0000}"/>
    <cellStyle name="Standard 9 2 2 2" xfId="11957" xr:uid="{00000000-0005-0000-0000-0000BC2E0000}"/>
    <cellStyle name="Standard 9 2 2 2 2" xfId="11958" xr:uid="{00000000-0005-0000-0000-0000BD2E0000}"/>
    <cellStyle name="Standard 9 2 2 2 2 2" xfId="23902" xr:uid="{9AD467AE-5918-4A76-85C3-98FCFE42AC3C}"/>
    <cellStyle name="Standard 9 2 2 2 3" xfId="23901" xr:uid="{21EA98D4-4C58-42BB-8867-5320F3313792}"/>
    <cellStyle name="Standard 9 2 2 3" xfId="11959" xr:uid="{00000000-0005-0000-0000-0000BE2E0000}"/>
    <cellStyle name="Standard 9 2 2 3 2" xfId="23903" xr:uid="{21C831CE-13A0-4AE5-A902-FE2E052C992D}"/>
    <cellStyle name="Standard 9 2 2 4" xfId="23900" xr:uid="{A15B3BD3-BEF2-4EB0-950B-28F5A4B8DEFD}"/>
    <cellStyle name="Standard 9 2 3" xfId="11960" xr:uid="{00000000-0005-0000-0000-0000BF2E0000}"/>
    <cellStyle name="Standard 9 2 3 2" xfId="11961" xr:uid="{00000000-0005-0000-0000-0000C02E0000}"/>
    <cellStyle name="Standard 9 2 3 2 2" xfId="11962" xr:uid="{00000000-0005-0000-0000-0000C12E0000}"/>
    <cellStyle name="Standard 9 2 3 2 2 2" xfId="23906" xr:uid="{556119DA-1186-4AD3-83EF-41FE6A522D16}"/>
    <cellStyle name="Standard 9 2 3 2 3" xfId="23905" xr:uid="{2600AC3E-840F-40EC-B38C-2E180D10BA36}"/>
    <cellStyle name="Standard 9 2 3 3" xfId="11963" xr:uid="{00000000-0005-0000-0000-0000C22E0000}"/>
    <cellStyle name="Standard 9 2 3 3 2" xfId="23907" xr:uid="{A3C35BCA-E586-4A00-9554-C76DBE42CB37}"/>
    <cellStyle name="Standard 9 2 3 4" xfId="23904" xr:uid="{1D0067F8-CDE7-4B6A-A4E3-6868FDD17B31}"/>
    <cellStyle name="Standard 9 2 4" xfId="11964" xr:uid="{00000000-0005-0000-0000-0000C32E0000}"/>
    <cellStyle name="Standard 9 2 4 2" xfId="11965" xr:uid="{00000000-0005-0000-0000-0000C42E0000}"/>
    <cellStyle name="Standard 9 2 4 2 2" xfId="11966" xr:uid="{00000000-0005-0000-0000-0000C52E0000}"/>
    <cellStyle name="Standard 9 2 4 2 2 2" xfId="23910" xr:uid="{FA79175A-0E61-418C-88FA-CA7FB3A0FF7E}"/>
    <cellStyle name="Standard 9 2 4 2 3" xfId="23909" xr:uid="{D4D20F97-56D7-47BC-B79A-2B979DE83CA0}"/>
    <cellStyle name="Standard 9 2 4 3" xfId="11967" xr:uid="{00000000-0005-0000-0000-0000C62E0000}"/>
    <cellStyle name="Standard 9 2 4 3 2" xfId="23911" xr:uid="{328D9063-D42D-466F-A604-F3B606155FAB}"/>
    <cellStyle name="Standard 9 2 4 4" xfId="23908" xr:uid="{FF4EDFB1-FB51-444C-A9CC-ECD4F597B425}"/>
    <cellStyle name="Standard 9 2 5" xfId="11968" xr:uid="{00000000-0005-0000-0000-0000C72E0000}"/>
    <cellStyle name="Standard 9 2 5 2" xfId="11969" xr:uid="{00000000-0005-0000-0000-0000C82E0000}"/>
    <cellStyle name="Standard 9 2 5 2 2" xfId="11970" xr:uid="{00000000-0005-0000-0000-0000C92E0000}"/>
    <cellStyle name="Standard 9 2 5 2 2 2" xfId="23914" xr:uid="{7D61D5AC-FBD9-4314-90FF-A4E8DC11E370}"/>
    <cellStyle name="Standard 9 2 5 2 3" xfId="23913" xr:uid="{661FD675-64D0-4A3F-B64D-1199443685E4}"/>
    <cellStyle name="Standard 9 2 5 3" xfId="11971" xr:uid="{00000000-0005-0000-0000-0000CA2E0000}"/>
    <cellStyle name="Standard 9 2 5 3 2" xfId="23915" xr:uid="{7477E978-7F3B-4160-BDF2-BC97CF6354FF}"/>
    <cellStyle name="Standard 9 2 5 4" xfId="23912" xr:uid="{B215C5D6-4E54-4220-AD43-F364E74BE52D}"/>
    <cellStyle name="Standard 9 2 6" xfId="11972" xr:uid="{00000000-0005-0000-0000-0000CB2E0000}"/>
    <cellStyle name="Standard 9 2 6 2" xfId="11973" xr:uid="{00000000-0005-0000-0000-0000CC2E0000}"/>
    <cellStyle name="Standard 9 2 6 2 2" xfId="11974" xr:uid="{00000000-0005-0000-0000-0000CD2E0000}"/>
    <cellStyle name="Standard 9 2 6 2 2 2" xfId="23918" xr:uid="{ECC5BE08-27AA-4757-A31C-257F2E09B3A7}"/>
    <cellStyle name="Standard 9 2 6 2 3" xfId="23917" xr:uid="{0F748B30-6528-453D-ABDA-CAE87541C199}"/>
    <cellStyle name="Standard 9 2 6 3" xfId="11975" xr:uid="{00000000-0005-0000-0000-0000CE2E0000}"/>
    <cellStyle name="Standard 9 2 6 3 2" xfId="23919" xr:uid="{D8A3D600-F623-4A86-B56B-A73BA4150A56}"/>
    <cellStyle name="Standard 9 2 6 4" xfId="23916" xr:uid="{FC06D61E-81E5-4A51-8ADF-281C4A5D2369}"/>
    <cellStyle name="Standard 9 2 7" xfId="11976" xr:uid="{00000000-0005-0000-0000-0000CF2E0000}"/>
    <cellStyle name="Standard 9 2 7 2" xfId="11977" xr:uid="{00000000-0005-0000-0000-0000D02E0000}"/>
    <cellStyle name="Standard 9 2 7 2 2" xfId="11978" xr:uid="{00000000-0005-0000-0000-0000D12E0000}"/>
    <cellStyle name="Standard 9 2 7 2 2 2" xfId="23922" xr:uid="{A00D14A6-5EC9-4CFD-8816-E2887B40667E}"/>
    <cellStyle name="Standard 9 2 7 2 3" xfId="23921" xr:uid="{EDE5AD52-927C-4513-90E7-2AC4C04DAE64}"/>
    <cellStyle name="Standard 9 2 7 3" xfId="11979" xr:uid="{00000000-0005-0000-0000-0000D22E0000}"/>
    <cellStyle name="Standard 9 2 7 3 2" xfId="23923" xr:uid="{32FF029F-DB8B-455B-98DE-6B69A7AD550E}"/>
    <cellStyle name="Standard 9 2 7 4" xfId="23920" xr:uid="{80A4D02C-2261-4C63-8021-C376CF2E3726}"/>
    <cellStyle name="Standard 9 2 8" xfId="11980" xr:uid="{00000000-0005-0000-0000-0000D32E0000}"/>
    <cellStyle name="Standard 9 2 8 2" xfId="11981" xr:uid="{00000000-0005-0000-0000-0000D42E0000}"/>
    <cellStyle name="Standard 9 2 8 2 2" xfId="23925" xr:uid="{32839B4A-880E-46BE-9CBD-9BCDA44E76D0}"/>
    <cellStyle name="Standard 9 2 8 3" xfId="23924" xr:uid="{D00A7684-ECCF-4F5E-9F48-AE1C1A6BD02B}"/>
    <cellStyle name="Standard 9 2 9" xfId="11982" xr:uid="{00000000-0005-0000-0000-0000D52E0000}"/>
    <cellStyle name="Standard 9 2 9 2" xfId="23926" xr:uid="{A815628D-D7E8-4B27-BDE1-1660687E2C2E}"/>
    <cellStyle name="Standard 9 3" xfId="11983" xr:uid="{00000000-0005-0000-0000-0000D62E0000}"/>
    <cellStyle name="Standard 9 3 2" xfId="11984" xr:uid="{00000000-0005-0000-0000-0000D72E0000}"/>
    <cellStyle name="Standard 9 3 2 2" xfId="11985" xr:uid="{00000000-0005-0000-0000-0000D82E0000}"/>
    <cellStyle name="Standard 9 3 2 2 2" xfId="23929" xr:uid="{75DF88A6-3E6E-48E8-AA28-21AF2DDDD3C8}"/>
    <cellStyle name="Standard 9 3 2 3" xfId="23928" xr:uid="{644B7B3D-7310-4E26-9738-9799BEE24802}"/>
    <cellStyle name="Standard 9 3 3" xfId="11986" xr:uid="{00000000-0005-0000-0000-0000D92E0000}"/>
    <cellStyle name="Standard 9 3 3 2" xfId="23930" xr:uid="{136FCE05-26E6-4155-A8FD-A11945583E16}"/>
    <cellStyle name="Standard 9 3 4" xfId="23927" xr:uid="{E0B6E4B4-8DB0-4308-9450-A953376E99D7}"/>
    <cellStyle name="Standard 9 4" xfId="11987" xr:uid="{00000000-0005-0000-0000-0000DA2E0000}"/>
    <cellStyle name="Standard 9 4 2" xfId="11988" xr:uid="{00000000-0005-0000-0000-0000DB2E0000}"/>
    <cellStyle name="Standard 9 4 2 2" xfId="11989" xr:uid="{00000000-0005-0000-0000-0000DC2E0000}"/>
    <cellStyle name="Standard 9 4 2 2 2" xfId="23933" xr:uid="{D5AF9FDA-FF9C-438D-9466-C5CB6FC2DD2D}"/>
    <cellStyle name="Standard 9 4 2 3" xfId="23932" xr:uid="{AD1455B8-542D-4C95-B1A0-63A5B261950A}"/>
    <cellStyle name="Standard 9 4 3" xfId="11990" xr:uid="{00000000-0005-0000-0000-0000DD2E0000}"/>
    <cellStyle name="Standard 9 4 3 2" xfId="23934" xr:uid="{F0171944-E918-44F4-B2EF-405F58D464B5}"/>
    <cellStyle name="Standard 9 4 4" xfId="23931" xr:uid="{D0C63858-400C-483C-A4D1-9CDCEC16BC2D}"/>
    <cellStyle name="Standard 9 5" xfId="11991" xr:uid="{00000000-0005-0000-0000-0000DE2E0000}"/>
    <cellStyle name="Standard 9 5 2" xfId="11992" xr:uid="{00000000-0005-0000-0000-0000DF2E0000}"/>
    <cellStyle name="Standard 9 5 2 2" xfId="11993" xr:uid="{00000000-0005-0000-0000-0000E02E0000}"/>
    <cellStyle name="Standard 9 5 2 2 2" xfId="23937" xr:uid="{C06D542C-987A-4F5A-A363-3F0E2520B2E5}"/>
    <cellStyle name="Standard 9 5 2 3" xfId="23936" xr:uid="{E823DE22-124B-4D05-85AA-00A88B7BF538}"/>
    <cellStyle name="Standard 9 5 3" xfId="11994" xr:uid="{00000000-0005-0000-0000-0000E12E0000}"/>
    <cellStyle name="Standard 9 5 3 2" xfId="23938" xr:uid="{A35D9B50-4F9C-43B2-AC92-4B5C4DBEE70A}"/>
    <cellStyle name="Standard 9 5 4" xfId="23935" xr:uid="{0062048A-3109-4476-AF7D-9926FC5A6553}"/>
    <cellStyle name="Standard 9 6" xfId="11995" xr:uid="{00000000-0005-0000-0000-0000E22E0000}"/>
    <cellStyle name="Standard 9 6 2" xfId="11996" xr:uid="{00000000-0005-0000-0000-0000E32E0000}"/>
    <cellStyle name="Standard 9 6 2 2" xfId="11997" xr:uid="{00000000-0005-0000-0000-0000E42E0000}"/>
    <cellStyle name="Standard 9 6 2 2 2" xfId="23941" xr:uid="{0A2680C8-8AF7-42E5-8AA6-5277CCE7842E}"/>
    <cellStyle name="Standard 9 6 2 3" xfId="23940" xr:uid="{A9A835E5-FC3A-4B81-9EFB-23C551023F5A}"/>
    <cellStyle name="Standard 9 6 3" xfId="11998" xr:uid="{00000000-0005-0000-0000-0000E52E0000}"/>
    <cellStyle name="Standard 9 6 3 2" xfId="23942" xr:uid="{F760B37F-2891-423F-8E8E-8C19F6F6A6B6}"/>
    <cellStyle name="Standard 9 6 4" xfId="23939" xr:uid="{3951D3B4-CE84-4912-AC53-402A61441C1F}"/>
    <cellStyle name="Standard 9 7" xfId="11999" xr:uid="{00000000-0005-0000-0000-0000E62E0000}"/>
    <cellStyle name="Standard 9 7 2" xfId="12000" xr:uid="{00000000-0005-0000-0000-0000E72E0000}"/>
    <cellStyle name="Standard 9 7 2 2" xfId="12001" xr:uid="{00000000-0005-0000-0000-0000E82E0000}"/>
    <cellStyle name="Standard 9 7 2 2 2" xfId="23945" xr:uid="{D784B81E-380C-40DE-AC5F-5B6684C0474C}"/>
    <cellStyle name="Standard 9 7 2 3" xfId="23944" xr:uid="{803942B3-65C6-4911-A808-2C1C689703C5}"/>
    <cellStyle name="Standard 9 7 3" xfId="12002" xr:uid="{00000000-0005-0000-0000-0000E92E0000}"/>
    <cellStyle name="Standard 9 7 3 2" xfId="23946" xr:uid="{E45E9C36-BAF9-4779-986C-FB36D721FE5D}"/>
    <cellStyle name="Standard 9 7 4" xfId="23943" xr:uid="{901BD150-3CFF-4A02-87E8-E91B64F4BA9D}"/>
    <cellStyle name="Standard 9 8" xfId="12003" xr:uid="{00000000-0005-0000-0000-0000EA2E0000}"/>
    <cellStyle name="Standard 9 8 2" xfId="12004" xr:uid="{00000000-0005-0000-0000-0000EB2E0000}"/>
    <cellStyle name="Standard 9 8 2 2" xfId="12005" xr:uid="{00000000-0005-0000-0000-0000EC2E0000}"/>
    <cellStyle name="Standard 9 8 2 2 2" xfId="23949" xr:uid="{DAA27226-9AE1-4A89-8912-7CC0B9F1FCDF}"/>
    <cellStyle name="Standard 9 8 2 3" xfId="23948" xr:uid="{B4CDF18C-34FD-4BB1-83FD-70A49EDC2744}"/>
    <cellStyle name="Standard 9 8 3" xfId="12006" xr:uid="{00000000-0005-0000-0000-0000ED2E0000}"/>
    <cellStyle name="Standard 9 8 3 2" xfId="23950" xr:uid="{55C4D5C2-359F-4F8A-B85F-C7E839031342}"/>
    <cellStyle name="Standard 9 8 4" xfId="23947" xr:uid="{A90B3A6A-9B18-4028-AE73-EFFB2398075B}"/>
    <cellStyle name="Standard 9 9" xfId="12007" xr:uid="{00000000-0005-0000-0000-0000EE2E0000}"/>
    <cellStyle name="Standard 9 9 2" xfId="12008" xr:uid="{00000000-0005-0000-0000-0000EF2E0000}"/>
    <cellStyle name="Standard 9 9 2 2" xfId="23952" xr:uid="{7D1CB16C-3C33-48AC-AB5F-2B1CC2991344}"/>
    <cellStyle name="Standard 9 9 3" xfId="23951" xr:uid="{1F38C385-130B-4635-9A1B-F687275F184E}"/>
    <cellStyle name="一般 2" xfId="23958" xr:uid="{D694808E-C495-4ADC-B4FE-1884FAB3AD90}"/>
    <cellStyle name="標準_7月7日定例会資料 の ワークシート" xfId="3" xr:uid="{00000000-0005-0000-0000-0000F02E0000}"/>
  </cellStyles>
  <dxfs count="98">
    <dxf>
      <fill>
        <patternFill>
          <bgColor theme="0" tint="-0.24994659260841701"/>
        </pattern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ill>
        <patternFill>
          <bgColor theme="0"/>
        </patternFill>
      </fill>
    </dxf>
    <dxf>
      <fill>
        <patternFill>
          <bgColor rgb="FF0070C0"/>
        </patternFill>
      </fill>
    </dxf>
    <dxf>
      <fill>
        <patternFill>
          <bgColor rgb="FFFFC000"/>
        </patternFill>
      </fill>
    </dxf>
    <dxf>
      <fill>
        <patternFill>
          <bgColor rgb="FFFFFF00"/>
        </patternFill>
      </fill>
    </dxf>
    <dxf>
      <fill>
        <patternFill>
          <bgColor rgb="FF92D050"/>
        </patternFill>
      </fill>
    </dxf>
    <dxf>
      <fill>
        <patternFill>
          <bgColor rgb="FF00B050"/>
        </pattern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color rgb="FF00B050"/>
      </font>
    </dxf>
    <dxf>
      <font>
        <color rgb="FF9C0006"/>
      </font>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ill>
        <patternFill>
          <bgColor theme="0"/>
        </patternFill>
      </fill>
    </dxf>
    <dxf>
      <fill>
        <patternFill>
          <bgColor rgb="FF0070C0"/>
        </patternFill>
      </fill>
    </dxf>
    <dxf>
      <fill>
        <patternFill>
          <bgColor rgb="FFFFC000"/>
        </patternFill>
      </fill>
    </dxf>
    <dxf>
      <fill>
        <patternFill>
          <bgColor rgb="FFFFFF00"/>
        </patternFill>
      </fill>
    </dxf>
    <dxf>
      <fill>
        <patternFill>
          <bgColor rgb="FF92D050"/>
        </patternFill>
      </fill>
    </dxf>
    <dxf>
      <fill>
        <patternFill>
          <bgColor rgb="FF00B050"/>
        </patternFill>
      </fill>
    </dxf>
    <dxf>
      <font>
        <b/>
        <i val="0"/>
        <condense val="0"/>
        <extend val="0"/>
        <color indexed="12"/>
      </font>
      <fill>
        <patternFill>
          <bgColor indexed="42"/>
        </patternFill>
      </fill>
      <border>
        <left style="thin">
          <color indexed="64"/>
        </left>
        <right style="thin">
          <color indexed="64"/>
        </right>
        <top style="thin">
          <color indexed="64"/>
        </top>
        <bottom style="thin">
          <color indexed="64"/>
        </bottom>
      </border>
    </dxf>
    <dxf>
      <fill>
        <patternFill>
          <bgColor theme="0" tint="-4.9989318521683403E-2"/>
        </patternFill>
      </fill>
    </dxf>
    <dxf>
      <font>
        <b val="0"/>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color rgb="FFFF0000"/>
      </font>
      <fill>
        <patternFill>
          <bgColor rgb="FFFFFF00"/>
        </patternFill>
      </fill>
    </dxf>
    <dxf>
      <fill>
        <patternFill>
          <bgColor rgb="FFCCFF66"/>
        </patternFill>
      </fill>
    </dxf>
    <dxf>
      <fill>
        <patternFill>
          <bgColor rgb="FF99FF66"/>
        </patternFill>
      </fill>
    </dxf>
    <dxf>
      <font>
        <b/>
        <i val="0"/>
        <color auto="1"/>
      </font>
      <fill>
        <patternFill>
          <bgColor rgb="FF66FF33"/>
        </patternFill>
      </fill>
    </dxf>
    <dxf>
      <font>
        <b/>
        <i val="0"/>
        <color rgb="FF0000FF"/>
      </font>
      <fill>
        <gradientFill degree="90">
          <stop position="0">
            <color theme="0"/>
          </stop>
          <stop position="1">
            <color rgb="FF66FF33"/>
          </stop>
        </gradientFill>
      </fill>
    </dxf>
    <dxf>
      <fill>
        <patternFill>
          <bgColor rgb="FF4BACC6"/>
        </patternFill>
      </fill>
    </dxf>
    <dxf>
      <fill>
        <patternFill>
          <bgColor rgb="FFF9AD6F"/>
        </patternFill>
      </fill>
    </dxf>
    <dxf>
      <fill>
        <patternFill>
          <bgColor rgb="FF00EA6A"/>
        </patternFill>
      </fill>
    </dxf>
  </dxfs>
  <tableStyles count="0" defaultTableStyle="TableStyleMedium9" defaultPivotStyle="PivotStyleLight16"/>
  <colors>
    <mruColors>
      <color rgb="FF404040"/>
      <color rgb="FFFF3737"/>
      <color rgb="FFF5F5F5"/>
      <color rgb="FFFAFAFA"/>
      <color rgb="FFFF481D"/>
      <color rgb="FFFF5229"/>
      <color rgb="FFF60000"/>
      <color rgb="FFFF572F"/>
      <color rgb="FFFF0D0D"/>
      <color rgb="FFFE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094983410092616E-2"/>
          <c:y val="0.53692603518793403"/>
          <c:w val="0.85538453919675139"/>
          <c:h val="0.20566902797872941"/>
        </c:manualLayout>
      </c:layout>
      <c:scatterChart>
        <c:scatterStyle val="lineMarker"/>
        <c:varyColors val="0"/>
        <c:ser>
          <c:idx val="0"/>
          <c:order val="0"/>
          <c:tx>
            <c:v>Today</c:v>
          </c:tx>
          <c:spPr>
            <a:ln w="25400" cap="rnd">
              <a:noFill/>
              <a:round/>
            </a:ln>
            <a:effectLst/>
          </c:spPr>
          <c:marker>
            <c:symbol val="picture"/>
            <c:spPr>
              <a:blipFill>
                <a:blip xmlns:r="http://schemas.openxmlformats.org/officeDocument/2006/relationships" r:embed="rId1"/>
                <a:stretch>
                  <a:fillRect/>
                </a:stretch>
              </a:blipFill>
              <a:ln w="25400">
                <a:noFill/>
              </a:ln>
              <a:effectLst/>
            </c:spPr>
          </c:marker>
          <c:xVal>
            <c:numRef>
              <c:f>[1]DropDown!$A$80</c:f>
              <c:numCache>
                <c:formatCode>m/d/yyyy</c:formatCode>
                <c:ptCount val="1"/>
                <c:pt idx="0">
                  <c:v>45622</c:v>
                </c:pt>
              </c:numCache>
            </c:numRef>
          </c:xVal>
          <c:yVal>
            <c:numLit>
              <c:formatCode>General</c:formatCode>
              <c:ptCount val="1"/>
              <c:pt idx="0">
                <c:v>1</c:v>
              </c:pt>
            </c:numLit>
          </c:yVal>
          <c:smooth val="0"/>
          <c:extLst>
            <c:ext xmlns:c16="http://schemas.microsoft.com/office/drawing/2014/chart" uri="{C3380CC4-5D6E-409C-BE32-E72D297353CC}">
              <c16:uniqueId val="{00000000-FFDF-483A-851E-E6E27CDF1544}"/>
            </c:ext>
          </c:extLst>
        </c:ser>
        <c:ser>
          <c:idx val="1"/>
          <c:order val="1"/>
          <c:tx>
            <c:strRef>
              <c:f>[1]DropDown!$B$79</c:f>
              <c:strCache>
                <c:ptCount val="1"/>
                <c:pt idx="0">
                  <c:v>MS1</c:v>
                </c:pt>
              </c:strCache>
            </c:strRef>
          </c:tx>
          <c:spPr>
            <a:ln w="28575">
              <a:noFill/>
            </a:ln>
          </c:spPr>
          <c:marker>
            <c:symbol val="diamond"/>
            <c:size val="7"/>
            <c:spPr>
              <a:solidFill>
                <a:srgbClr val="FFFFFF"/>
              </a:solidFill>
              <a:ln w="3175">
                <a:solidFill>
                  <a:schemeClr val="tx1">
                    <a:lumMod val="95000"/>
                    <a:lumOff val="5000"/>
                  </a:schemeClr>
                </a:solidFill>
              </a:ln>
            </c:spPr>
          </c:marker>
          <c:dLbls>
            <c:dLbl>
              <c:idx val="0"/>
              <c:layout>
                <c:manualLayout>
                  <c:x val="-4.5306217749133938E-2"/>
                  <c:y val="-0.17630499061613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FFDF-483A-851E-E6E27CDF1544}"/>
                </c:ext>
              </c:extLst>
            </c:dLbl>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[1]DropDown!$B$80</c:f>
              <c:numCache>
                <c:formatCode>m/d/yyyy</c:formatCode>
                <c:ptCount val="1"/>
                <c:pt idx="0">
                  <c:v>45260</c:v>
                </c:pt>
              </c:numCache>
            </c:numRef>
          </c:xVal>
          <c:yVal>
            <c:numLit>
              <c:formatCode>General</c:formatCode>
              <c:ptCount val="1"/>
              <c:pt idx="0">
                <c:v>1</c:v>
              </c:pt>
            </c:numLit>
          </c:yVal>
          <c:smooth val="0"/>
          <c:extLst>
            <c:ext xmlns:c16="http://schemas.microsoft.com/office/drawing/2014/chart" uri="{C3380CC4-5D6E-409C-BE32-E72D297353CC}">
              <c16:uniqueId val="{00000002-FFDF-483A-851E-E6E27CDF1544}"/>
            </c:ext>
          </c:extLst>
        </c:ser>
        <c:ser>
          <c:idx val="2"/>
          <c:order val="2"/>
          <c:tx>
            <c:strRef>
              <c:f>[1]DropDown!$C$79</c:f>
              <c:strCache>
                <c:ptCount val="1"/>
                <c:pt idx="0">
                  <c:v>MS2</c:v>
                </c:pt>
              </c:strCache>
            </c:strRef>
          </c:tx>
          <c:spPr>
            <a:ln w="28575">
              <a:noFill/>
            </a:ln>
          </c:spPr>
          <c:marker>
            <c:symbol val="diamond"/>
            <c:size val="7"/>
            <c:spPr>
              <a:solidFill>
                <a:srgbClr val="0070C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[1]DropDown!$C$80</c:f>
              <c:numCache>
                <c:formatCode>m/d/yyyy</c:formatCode>
                <c:ptCount val="1"/>
                <c:pt idx="0">
                  <c:v>45397</c:v>
                </c:pt>
              </c:numCache>
            </c:numRef>
          </c:xVal>
          <c:yVal>
            <c:numLit>
              <c:formatCode>General</c:formatCode>
              <c:ptCount val="1"/>
              <c:pt idx="0">
                <c:v>1</c:v>
              </c:pt>
            </c:numLit>
          </c:yVal>
          <c:smooth val="0"/>
          <c:extLst>
            <c:ext xmlns:c16="http://schemas.microsoft.com/office/drawing/2014/chart" uri="{C3380CC4-5D6E-409C-BE32-E72D297353CC}">
              <c16:uniqueId val="{00000003-FFDF-483A-851E-E6E27CDF1544}"/>
            </c:ext>
          </c:extLst>
        </c:ser>
        <c:ser>
          <c:idx val="3"/>
          <c:order val="3"/>
          <c:tx>
            <c:strRef>
              <c:f>[1]DropDown!$D$79</c:f>
              <c:strCache>
                <c:ptCount val="1"/>
                <c:pt idx="0">
                  <c:v>MS3</c:v>
                </c:pt>
              </c:strCache>
            </c:strRef>
          </c:tx>
          <c:spPr>
            <a:ln w="28575">
              <a:noFill/>
            </a:ln>
          </c:spPr>
          <c:marker>
            <c:symbol val="diamond"/>
            <c:size val="7"/>
            <c:spPr>
              <a:solidFill>
                <a:srgbClr val="FFC00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[1]DropDown!$D$80</c:f>
              <c:numCache>
                <c:formatCode>m/d/yyyy</c:formatCode>
                <c:ptCount val="1"/>
                <c:pt idx="0">
                  <c:v>45562</c:v>
                </c:pt>
              </c:numCache>
            </c:numRef>
          </c:xVal>
          <c:yVal>
            <c:numLit>
              <c:formatCode>General</c:formatCode>
              <c:ptCount val="1"/>
              <c:pt idx="0">
                <c:v>1</c:v>
              </c:pt>
            </c:numLit>
          </c:yVal>
          <c:smooth val="0"/>
          <c:extLst>
            <c:ext xmlns:c16="http://schemas.microsoft.com/office/drawing/2014/chart" uri="{C3380CC4-5D6E-409C-BE32-E72D297353CC}">
              <c16:uniqueId val="{00000004-FFDF-483A-851E-E6E27CDF1544}"/>
            </c:ext>
          </c:extLst>
        </c:ser>
        <c:ser>
          <c:idx val="4"/>
          <c:order val="4"/>
          <c:tx>
            <c:strRef>
              <c:f>[1]DropDown!$E$79</c:f>
              <c:strCache>
                <c:ptCount val="1"/>
                <c:pt idx="0">
                  <c:v>MS4</c:v>
                </c:pt>
              </c:strCache>
            </c:strRef>
          </c:tx>
          <c:spPr>
            <a:ln w="28575">
              <a:noFill/>
            </a:ln>
          </c:spPr>
          <c:marker>
            <c:symbol val="diamond"/>
            <c:size val="7"/>
            <c:spPr>
              <a:solidFill>
                <a:srgbClr val="FFFF0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[1]DropDown!$E$80</c:f>
              <c:numCache>
                <c:formatCode>m/d/yyyy</c:formatCode>
                <c:ptCount val="1"/>
                <c:pt idx="0">
                  <c:v>45589</c:v>
                </c:pt>
              </c:numCache>
            </c:numRef>
          </c:xVal>
          <c:yVal>
            <c:numLit>
              <c:formatCode>General</c:formatCode>
              <c:ptCount val="1"/>
              <c:pt idx="0">
                <c:v>1</c:v>
              </c:pt>
            </c:numLit>
          </c:yVal>
          <c:smooth val="0"/>
          <c:extLst>
            <c:ext xmlns:c16="http://schemas.microsoft.com/office/drawing/2014/chart" uri="{C3380CC4-5D6E-409C-BE32-E72D297353CC}">
              <c16:uniqueId val="{00000005-FFDF-483A-851E-E6E27CDF1544}"/>
            </c:ext>
          </c:extLst>
        </c:ser>
        <c:ser>
          <c:idx val="5"/>
          <c:order val="5"/>
          <c:tx>
            <c:strRef>
              <c:f>[1]DropDown!$F$79</c:f>
              <c:strCache>
                <c:ptCount val="1"/>
                <c:pt idx="0">
                  <c:v>-</c:v>
                </c:pt>
              </c:strCache>
            </c:strRef>
          </c:tx>
          <c:spPr>
            <a:ln w="28575">
              <a:noFill/>
            </a:ln>
          </c:spPr>
          <c:marker>
            <c:symbol val="diamond"/>
            <c:size val="7"/>
            <c:spPr>
              <a:solidFill>
                <a:srgbClr val="92D05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[1]DropDown!$F$80</c:f>
              <c:numCache>
                <c:formatCode>m/d/yyyy</c:formatCode>
                <c:ptCount val="1"/>
                <c:pt idx="0">
                  <c:v>45597</c:v>
                </c:pt>
              </c:numCache>
            </c:numRef>
          </c:xVal>
          <c:yVal>
            <c:numLit>
              <c:formatCode>General</c:formatCode>
              <c:ptCount val="1"/>
              <c:pt idx="0">
                <c:v>1</c:v>
              </c:pt>
            </c:numLit>
          </c:yVal>
          <c:smooth val="0"/>
          <c:extLst>
            <c:ext xmlns:c16="http://schemas.microsoft.com/office/drawing/2014/chart" uri="{C3380CC4-5D6E-409C-BE32-E72D297353CC}">
              <c16:uniqueId val="{00000006-FFDF-483A-851E-E6E27CDF1544}"/>
            </c:ext>
          </c:extLst>
        </c:ser>
        <c:ser>
          <c:idx val="6"/>
          <c:order val="6"/>
          <c:tx>
            <c:strRef>
              <c:f>[1]DropDown!$G$79</c:f>
              <c:strCache>
                <c:ptCount val="1"/>
                <c:pt idx="0">
                  <c:v>-</c:v>
                </c:pt>
              </c:strCache>
            </c:strRef>
          </c:tx>
          <c:spPr>
            <a:ln w="28575">
              <a:noFill/>
            </a:ln>
          </c:spPr>
          <c:marker>
            <c:symbol val="diamond"/>
            <c:size val="7"/>
            <c:spPr>
              <a:solidFill>
                <a:srgbClr val="00B05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[1]DropDown!$G$80</c:f>
              <c:numCache>
                <c:formatCode>m/d/yyyy</c:formatCode>
                <c:ptCount val="1"/>
                <c:pt idx="0">
                  <c:v>45717</c:v>
                </c:pt>
              </c:numCache>
            </c:numRef>
          </c:xVal>
          <c:yVal>
            <c:numLit>
              <c:formatCode>General</c:formatCode>
              <c:ptCount val="1"/>
              <c:pt idx="0">
                <c:v>1</c:v>
              </c:pt>
            </c:numLit>
          </c:yVal>
          <c:smooth val="0"/>
          <c:extLst>
            <c:ext xmlns:c16="http://schemas.microsoft.com/office/drawing/2014/chart" uri="{C3380CC4-5D6E-409C-BE32-E72D297353CC}">
              <c16:uniqueId val="{00000007-FFDF-483A-851E-E6E27CDF1544}"/>
            </c:ext>
          </c:extLst>
        </c:ser>
        <c:ser>
          <c:idx val="7"/>
          <c:order val="7"/>
          <c:tx>
            <c:strRef>
              <c:f>[1]DropDown!$H$79</c:f>
              <c:strCache>
                <c:ptCount val="1"/>
              </c:strCache>
            </c:strRef>
          </c:tx>
          <c:spPr>
            <a:ln w="28575">
              <a:noFill/>
            </a:ln>
          </c:spPr>
          <c:marker>
            <c:symbol val="diamond"/>
            <c:size val="7"/>
            <c:spPr>
              <a:solidFill>
                <a:srgbClr val="00B05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[1]DropDown!$H$80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8-FFDF-483A-851E-E6E27CDF1544}"/>
            </c:ext>
          </c:extLst>
        </c:ser>
        <c:ser>
          <c:idx val="8"/>
          <c:order val="8"/>
          <c:tx>
            <c:strRef>
              <c:f>[1]DropDown!$I$79</c:f>
              <c:strCache>
                <c:ptCount val="1"/>
              </c:strCache>
            </c:strRef>
          </c:tx>
          <c:spPr>
            <a:ln w="28575">
              <a:noFill/>
            </a:ln>
          </c:spPr>
          <c:marker>
            <c:symbol val="diamond"/>
            <c:size val="7"/>
            <c:spPr>
              <a:solidFill>
                <a:srgbClr val="0070C0"/>
              </a:solidFill>
              <a:ln w="3175">
                <a:solidFill>
                  <a:schemeClr val="tx1">
                    <a:lumMod val="95000"/>
                    <a:lumOff val="5000"/>
                  </a:schemeClr>
                </a:solidFill>
              </a:ln>
            </c:spPr>
          </c:marker>
          <c:dLbls>
            <c:spPr>
              <a:noFill/>
              <a:ln>
                <a:noFill/>
              </a:ln>
              <a:effectLst/>
            </c:spPr>
            <c:txPr>
              <a:bodyPr wrap="square" lIns="38100" tIns="19050" rIns="38100" bIns="19050" anchor="ctr">
                <a:spAutoFit/>
              </a:bodyPr>
              <a:lstStyle/>
              <a:p>
                <a:pPr>
                  <a:defRPr sz="700">
                    <a:solidFill>
                      <a:srgbClr val="404040"/>
                    </a:solidFil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[1]DropDown!$I$80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9-FFDF-483A-851E-E6E27CDF1544}"/>
            </c:ext>
          </c:extLst>
        </c:ser>
        <c:ser>
          <c:idx val="9"/>
          <c:order val="9"/>
          <c:tx>
            <c:strRef>
              <c:f>[1]DropDown!$J$79</c:f>
              <c:strCache>
                <c:ptCount val="1"/>
              </c:strCache>
            </c:strRef>
          </c:tx>
          <c:spPr>
            <a:ln w="28575">
              <a:noFill/>
            </a:ln>
          </c:spPr>
          <c:marker>
            <c:symbol val="diamond"/>
            <c:size val="7"/>
            <c:spPr>
              <a:ln w="3175">
                <a:solidFill>
                  <a:schemeClr val="tx1">
                    <a:lumMod val="95000"/>
                    <a:lumOff val="5000"/>
                  </a:schemeClr>
                </a:solidFill>
              </a:ln>
            </c:spPr>
          </c:marker>
          <c:dLbls>
            <c:dLbl>
              <c:idx val="0"/>
              <c:layout>
                <c:manualLayout>
                  <c:x val="-5.4898644997695985E-2"/>
                  <c:y val="-0.29885107058885818"/>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FFDF-483A-851E-E6E27CDF1544}"/>
                </c:ext>
              </c:extLst>
            </c:dLbl>
            <c:spPr>
              <a:noFill/>
              <a:ln>
                <a:noFill/>
              </a:ln>
              <a:effectLst/>
            </c:spPr>
            <c:txPr>
              <a:bodyPr wrap="square" lIns="38100" tIns="19050" rIns="38100" bIns="19050" anchor="ctr">
                <a:spAutoFit/>
              </a:bodyPr>
              <a:lstStyle/>
              <a:p>
                <a:pPr>
                  <a:defRPr sz="6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[1]DropDown!$J$80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B-FFDF-483A-851E-E6E27CDF1544}"/>
            </c:ext>
          </c:extLst>
        </c:ser>
        <c:ser>
          <c:idx val="10"/>
          <c:order val="10"/>
          <c:tx>
            <c:strRef>
              <c:f>[1]DropDown!$K$79</c:f>
              <c:strCache>
                <c:ptCount val="1"/>
              </c:strCache>
            </c:strRef>
          </c:tx>
          <c:spPr>
            <a:ln w="28575">
              <a:noFill/>
            </a:ln>
          </c:spPr>
          <c:marker>
            <c:symbol val="diamond"/>
            <c:size val="7"/>
          </c:marker>
          <c:dPt>
            <c:idx val="0"/>
            <c:marker>
              <c:spPr>
                <a:solidFill>
                  <a:srgbClr val="00B050"/>
                </a:solidFill>
                <a:ln w="3175">
                  <a:solidFill>
                    <a:schemeClr val="tx1">
                      <a:lumMod val="95000"/>
                      <a:lumOff val="5000"/>
                    </a:schemeClr>
                  </a:solidFill>
                </a:ln>
              </c:spPr>
            </c:marker>
            <c:bubble3D val="0"/>
            <c:extLst>
              <c:ext xmlns:c16="http://schemas.microsoft.com/office/drawing/2014/chart" uri="{C3380CC4-5D6E-409C-BE32-E72D297353CC}">
                <c16:uniqueId val="{0000000C-FFDF-483A-851E-E6E27CDF1544}"/>
              </c:ext>
            </c:extLst>
          </c:dPt>
          <c:dLbls>
            <c:dLbl>
              <c:idx val="0"/>
              <c:layout>
                <c:manualLayout>
                  <c:x val="-4.9902724211973899E-2"/>
                  <c:y val="-0.31236211964632032"/>
                </c:manualLayout>
              </c:layout>
              <c:tx>
                <c:rich>
                  <a:bodyPr/>
                  <a:lstStyle/>
                  <a:p>
                    <a:fld id="{EC2B00EC-4CC1-42E2-A760-BECC67E714F8}" type="SERIESNAME">
                      <a:rPr lang="en-US" altLang="zh-TW" sz="600"/>
                      <a:pPr/>
                      <a:t>[DATENREIHENNAME]</a:t>
                    </a:fld>
                    <a:endParaRPr lang="en-US"/>
                  </a:p>
                </c:rich>
              </c:tx>
              <c:dLblPos val="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C-FFDF-483A-851E-E6E27CDF1544}"/>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[1]DropDown!$K$80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D-FFDF-483A-851E-E6E27CDF1544}"/>
            </c:ext>
          </c:extLst>
        </c:ser>
        <c:ser>
          <c:idx val="11"/>
          <c:order val="11"/>
          <c:tx>
            <c:strRef>
              <c:f>[1]DropDown!$L$79</c:f>
              <c:strCache>
                <c:ptCount val="1"/>
              </c:strCache>
            </c:strRef>
          </c:tx>
          <c:spPr>
            <a:ln w="28575">
              <a:noFill/>
            </a:ln>
          </c:spPr>
          <c:marker>
            <c:symbol val="diamond"/>
            <c:size val="7"/>
            <c:spPr>
              <a:ln w="3175">
                <a:solidFill>
                  <a:schemeClr val="tx1">
                    <a:lumMod val="95000"/>
                    <a:lumOff val="5000"/>
                  </a:schemeClr>
                </a:solidFill>
              </a:ln>
            </c:spPr>
          </c:marker>
          <c:dLbls>
            <c:dLbl>
              <c:idx val="0"/>
              <c:layout>
                <c:manualLayout>
                  <c:x val="-4.9902724211973899E-2"/>
                  <c:y val="-0.31236211964632032"/>
                </c:manualLayout>
              </c:layout>
              <c:tx>
                <c:rich>
                  <a:bodyPr/>
                  <a:lstStyle/>
                  <a:p>
                    <a:fld id="{FA1B7217-8C53-4F18-B96F-CA6901BB9E8C}" type="SERIESNAME">
                      <a:rPr lang="en-US" altLang="zh-TW" sz="600"/>
                      <a:pPr/>
                      <a:t>[DATENREIHENNAME]</a:t>
                    </a:fld>
                    <a:endParaRPr lang="en-US"/>
                  </a:p>
                </c:rich>
              </c:tx>
              <c:dLblPos val="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FFDF-483A-851E-E6E27CDF1544}"/>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[1]DropDown!$L$80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F-FFDF-483A-851E-E6E27CDF1544}"/>
            </c:ext>
          </c:extLst>
        </c:ser>
        <c:ser>
          <c:idx val="12"/>
          <c:order val="12"/>
          <c:tx>
            <c:v>Nomination</c:v>
          </c:tx>
          <c:spPr>
            <a:ln w="28575">
              <a:noFill/>
            </a:ln>
          </c:spPr>
          <c:marker>
            <c:symbol val="triangle"/>
            <c:size val="7"/>
            <c:spPr>
              <a:ln>
                <a:solidFill>
                  <a:schemeClr val="tx1">
                    <a:lumMod val="85000"/>
                    <a:lumOff val="15000"/>
                  </a:schemeClr>
                </a:solidFill>
              </a:ln>
            </c:spPr>
          </c:marker>
          <c:dPt>
            <c:idx val="0"/>
            <c:marker>
              <c:spPr>
                <a:solidFill>
                  <a:schemeClr val="bg1"/>
                </a:solidFill>
                <a:ln>
                  <a:solidFill>
                    <a:schemeClr val="tx1">
                      <a:lumMod val="85000"/>
                      <a:lumOff val="15000"/>
                    </a:schemeClr>
                  </a:solidFill>
                </a:ln>
              </c:spPr>
            </c:marker>
            <c:bubble3D val="0"/>
            <c:extLst>
              <c:ext xmlns:c16="http://schemas.microsoft.com/office/drawing/2014/chart" uri="{C3380CC4-5D6E-409C-BE32-E72D297353CC}">
                <c16:uniqueId val="{00000010-FFDF-483A-851E-E6E27CDF1544}"/>
              </c:ext>
            </c:extLst>
          </c:dPt>
          <c:dLbls>
            <c:dLbl>
              <c:idx val="0"/>
              <c:layout>
                <c:manualLayout>
                  <c:x val="-3.1417077500388198E-2"/>
                  <c:y val="-0.1722097585529847"/>
                </c:manualLayout>
              </c:layout>
              <c:tx>
                <c:rich>
                  <a:bodyPr/>
                  <a:lstStyle/>
                  <a:p>
                    <a:r>
                      <a:rPr lang="en-US">
                        <a:solidFill>
                          <a:srgbClr val="404040"/>
                        </a:solidFill>
                      </a:rPr>
                      <a:t>Nom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FDF-483A-851E-E6E27CDF1544}"/>
                </c:ext>
              </c:extLst>
            </c:dLbl>
            <c:spPr>
              <a:noFill/>
              <a:ln>
                <a:noFill/>
              </a:ln>
              <a:effectLst/>
            </c:spPr>
            <c:txPr>
              <a:bodyPr wrap="square" lIns="38100" tIns="19050" rIns="38100" bIns="19050" anchor="ctr">
                <a:spAutoFit/>
              </a:bodyPr>
              <a:lstStyle/>
              <a:p>
                <a:pPr>
                  <a:defRPr sz="700">
                    <a:solidFill>
                      <a:srgbClr val="40404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[1]DropDown!$F$2</c:f>
              <c:numCache>
                <c:formatCode>m/d/yyyy</c:formatCode>
                <c:ptCount val="1"/>
                <c:pt idx="0">
                  <c:v>0</c:v>
                </c:pt>
              </c:numCache>
              <c:extLst xmlns:c15="http://schemas.microsoft.com/office/drawing/2012/chart"/>
            </c:numRef>
          </c:xVal>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1-FFDF-483A-851E-E6E27CDF1544}"/>
            </c:ext>
          </c:extLst>
        </c:ser>
        <c:ser>
          <c:idx val="13"/>
          <c:order val="13"/>
          <c:tx>
            <c:v>SOP</c:v>
          </c:tx>
          <c:spPr>
            <a:ln w="28575">
              <a:noFill/>
            </a:ln>
          </c:spPr>
          <c:marker>
            <c:symbol val="triangle"/>
            <c:size val="7"/>
            <c:spPr>
              <a:solidFill>
                <a:srgbClr val="FF3F3F"/>
              </a:solidFill>
              <a:ln>
                <a:solidFill>
                  <a:schemeClr val="tx1">
                    <a:lumMod val="85000"/>
                    <a:lumOff val="15000"/>
                  </a:schemeClr>
                </a:solidFill>
              </a:ln>
            </c:spPr>
          </c:marker>
          <c:dLbls>
            <c:dLbl>
              <c:idx val="0"/>
              <c:layout>
                <c:manualLayout>
                  <c:x val="-4.0251572327044211E-2"/>
                  <c:y val="-0.23571415314164615"/>
                </c:manualLayout>
              </c:layout>
              <c:tx>
                <c:rich>
                  <a:bodyPr/>
                  <a:lstStyle/>
                  <a:p>
                    <a:r>
                      <a:rPr lang="en-US"/>
                      <a:t>SOP</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FDF-483A-851E-E6E27CDF1544}"/>
                </c:ext>
              </c:extLst>
            </c:dLbl>
            <c:spPr>
              <a:noFill/>
              <a:ln>
                <a:noFill/>
              </a:ln>
              <a:effectLst/>
            </c:spPr>
            <c:txPr>
              <a:bodyPr wrap="square" lIns="38100" tIns="19050" rIns="38100" bIns="19050" anchor="ctr">
                <a:spAutoFit/>
              </a:bodyPr>
              <a:lstStyle/>
              <a:p>
                <a:pPr>
                  <a:defRPr sz="700">
                    <a:solidFill>
                      <a:srgbClr val="40404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[1]DropDown!$G$2</c:f>
              <c:numCache>
                <c:formatCode>m/d/yyyy</c:formatCode>
                <c:ptCount val="1"/>
                <c:pt idx="0">
                  <c:v>0</c:v>
                </c:pt>
              </c:numCache>
              <c:extLst xmlns:c15="http://schemas.microsoft.com/office/drawing/2012/chart"/>
            </c:numRef>
          </c:xVal>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3-FFDF-483A-851E-E6E27CDF1544}"/>
            </c:ext>
          </c:extLst>
        </c:ser>
        <c:dLbls>
          <c:showLegendKey val="0"/>
          <c:showVal val="0"/>
          <c:showCatName val="0"/>
          <c:showSerName val="0"/>
          <c:showPercent val="0"/>
          <c:showBubbleSize val="0"/>
        </c:dLbls>
        <c:axId val="595123248"/>
        <c:axId val="595118544"/>
        <c:extLst/>
      </c:scatterChart>
      <c:valAx>
        <c:axId val="595123248"/>
        <c:scaling>
          <c:orientation val="minMax"/>
          <c:max val="46599"/>
          <c:min val="45201"/>
        </c:scaling>
        <c:delete val="0"/>
        <c:axPos val="b"/>
        <c:numFmt formatCode="[$-407]mmm/\ 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en-US"/>
          </a:p>
        </c:txPr>
        <c:crossAx val="595118544"/>
        <c:crossesAt val="0"/>
        <c:crossBetween val="midCat"/>
      </c:valAx>
      <c:valAx>
        <c:axId val="595118544"/>
        <c:scaling>
          <c:orientation val="minMax"/>
        </c:scaling>
        <c:delete val="1"/>
        <c:axPos val="l"/>
        <c:numFmt formatCode="General" sourceLinked="1"/>
        <c:majorTickMark val="none"/>
        <c:minorTickMark val="none"/>
        <c:tickLblPos val="nextTo"/>
        <c:crossAx val="595123248"/>
        <c:crossesAt val="43600"/>
        <c:crossBetween val="midCat"/>
      </c:valAx>
      <c:spPr>
        <a:gradFill flip="none" rotWithShape="1">
          <a:gsLst>
            <a:gs pos="0">
              <a:srgbClr val="C2E0DF">
                <a:lumMod val="70000"/>
              </a:srgbClr>
            </a:gs>
            <a:gs pos="51000">
              <a:srgbClr val="C2E0DF"/>
            </a:gs>
            <a:gs pos="100000">
              <a:srgbClr val="C2E0DF">
                <a:lumMod val="43000"/>
                <a:lumOff val="57000"/>
              </a:srgbClr>
            </a:gs>
          </a:gsLst>
          <a:lin ang="0" scaled="1"/>
          <a:tileRect/>
        </a:gradFill>
        <a:ln w="3175">
          <a:solidFill>
            <a:schemeClr val="bg1">
              <a:lumMod val="50000"/>
            </a:schemeClr>
          </a:solidFill>
        </a:ln>
        <a:effectLst/>
      </c:spPr>
    </c:plotArea>
    <c:plotVisOnly val="1"/>
    <c:dispBlanksAs val="gap"/>
    <c:showDLblsOverMax val="0"/>
  </c:chart>
  <c:spPr>
    <a:solidFill>
      <a:schemeClr val="bg1">
        <a:lumMod val="95000"/>
        <a:alpha val="0"/>
      </a:schemeClr>
    </a:solidFill>
    <a:ln w="3175" cap="flat" cmpd="sng" algn="ctr">
      <a:solidFill>
        <a:schemeClr val="tx1">
          <a:lumMod val="95000"/>
          <a:lumOff val="5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874799146838668E-2"/>
          <c:y val="0.53692603518793403"/>
          <c:w val="0.89060464664139205"/>
          <c:h val="0.20566902797872941"/>
        </c:manualLayout>
      </c:layout>
      <c:scatterChart>
        <c:scatterStyle val="lineMarker"/>
        <c:varyColors val="0"/>
        <c:ser>
          <c:idx val="0"/>
          <c:order val="0"/>
          <c:tx>
            <c:v>Today</c:v>
          </c:tx>
          <c:spPr>
            <a:ln w="25400" cap="rnd">
              <a:noFill/>
              <a:round/>
            </a:ln>
            <a:effectLst/>
          </c:spPr>
          <c:marker>
            <c:symbol val="picture"/>
            <c:spPr>
              <a:blipFill>
                <a:blip xmlns:r="http://schemas.openxmlformats.org/officeDocument/2006/relationships" r:embed="rId1"/>
                <a:stretch>
                  <a:fillRect/>
                </a:stretch>
              </a:blipFill>
              <a:ln w="25400">
                <a:noFill/>
              </a:ln>
              <a:effectLst/>
            </c:spPr>
          </c:marker>
          <c:xVal>
            <c:numRef>
              <c:f>DropDown!$A$80</c:f>
              <c:numCache>
                <c:formatCode>m/d/yyyy</c:formatCode>
                <c:ptCount val="1"/>
                <c:pt idx="0">
                  <c:v>45622</c:v>
                </c:pt>
              </c:numCache>
            </c:numRef>
          </c:xVal>
          <c:yVal>
            <c:numLit>
              <c:formatCode>General</c:formatCode>
              <c:ptCount val="1"/>
              <c:pt idx="0">
                <c:v>1</c:v>
              </c:pt>
            </c:numLit>
          </c:yVal>
          <c:smooth val="0"/>
          <c:extLst>
            <c:ext xmlns:c16="http://schemas.microsoft.com/office/drawing/2014/chart" uri="{C3380CC4-5D6E-409C-BE32-E72D297353CC}">
              <c16:uniqueId val="{00000000-FBF0-4649-BAB2-06205C13A7F8}"/>
            </c:ext>
          </c:extLst>
        </c:ser>
        <c:ser>
          <c:idx val="1"/>
          <c:order val="1"/>
          <c:tx>
            <c:strRef>
              <c:f>DropDown!$B$79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DropDown!$B$80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1-FBF0-4649-BAB2-06205C13A7F8}"/>
            </c:ext>
          </c:extLst>
        </c:ser>
        <c:ser>
          <c:idx val="2"/>
          <c:order val="2"/>
          <c:tx>
            <c:strRef>
              <c:f>DropDown!$C$79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DropDown!$C$80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2-FBF0-4649-BAB2-06205C13A7F8}"/>
            </c:ext>
          </c:extLst>
        </c:ser>
        <c:ser>
          <c:idx val="3"/>
          <c:order val="3"/>
          <c:tx>
            <c:strRef>
              <c:f>DropDown!$D$79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DropDown!$D$80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3-FBF0-4649-BAB2-06205C13A7F8}"/>
            </c:ext>
          </c:extLst>
        </c:ser>
        <c:ser>
          <c:idx val="4"/>
          <c:order val="4"/>
          <c:tx>
            <c:strRef>
              <c:f>DropDown!$E$79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DropDown!$E$80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4-FBF0-4649-BAB2-06205C13A7F8}"/>
            </c:ext>
          </c:extLst>
        </c:ser>
        <c:ser>
          <c:idx val="5"/>
          <c:order val="5"/>
          <c:tx>
            <c:strRef>
              <c:f>DropDown!$F$79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DropDown!$F$80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5-FBF0-4649-BAB2-06205C13A7F8}"/>
            </c:ext>
          </c:extLst>
        </c:ser>
        <c:ser>
          <c:idx val="6"/>
          <c:order val="6"/>
          <c:tx>
            <c:strRef>
              <c:f>DropDown!$G$79</c:f>
              <c:strCache>
                <c:ptCount val="1"/>
                <c:pt idx="0">
                  <c:v>-</c:v>
                </c:pt>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DropDown!$G$80</c:f>
              <c:numCache>
                <c:formatCode>m/d/yyyy</c:formatCode>
                <c:ptCount val="1"/>
              </c:numCache>
            </c:numRef>
          </c:xVal>
          <c:yVal>
            <c:numLit>
              <c:formatCode>General</c:formatCode>
              <c:ptCount val="1"/>
              <c:pt idx="0">
                <c:v>1</c:v>
              </c:pt>
            </c:numLit>
          </c:yVal>
          <c:smooth val="0"/>
          <c:extLst>
            <c:ext xmlns:c16="http://schemas.microsoft.com/office/drawing/2014/chart" uri="{C3380CC4-5D6E-409C-BE32-E72D297353CC}">
              <c16:uniqueId val="{00000006-FBF0-4649-BAB2-06205C13A7F8}"/>
            </c:ext>
          </c:extLst>
        </c:ser>
        <c:ser>
          <c:idx val="7"/>
          <c:order val="7"/>
          <c:tx>
            <c:strRef>
              <c:f>DropDown!$H$79</c:f>
              <c:strCache>
                <c:ptCount val="1"/>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DropDown!$H$80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7-FBF0-4649-BAB2-06205C13A7F8}"/>
            </c:ext>
          </c:extLst>
        </c:ser>
        <c:ser>
          <c:idx val="8"/>
          <c:order val="8"/>
          <c:tx>
            <c:strRef>
              <c:f>DropDown!$I$79</c:f>
              <c:strCache>
                <c:ptCount val="1"/>
              </c:strCache>
            </c:strRef>
          </c:tx>
          <c:spPr>
            <a:ln w="28575">
              <a:noFill/>
            </a:ln>
          </c:spPr>
          <c:marker>
            <c:symbol val="picture"/>
            <c:spPr>
              <a:blipFill>
                <a:blip xmlns:r="http://schemas.openxmlformats.org/officeDocument/2006/relationships" r:embed="rId2"/>
                <a:stretch>
                  <a:fillRect/>
                </a:stretch>
              </a:blipFill>
              <a:ln w="25400">
                <a:noFill/>
              </a:ln>
            </c:spPr>
          </c:marker>
          <c:dLbls>
            <c:spPr>
              <a:noFill/>
              <a:ln>
                <a:noFill/>
              </a:ln>
              <a:effectLst/>
            </c:spPr>
            <c:txPr>
              <a:bodyPr wrap="square" lIns="38100" tIns="19050" rIns="38100" bIns="19050" anchor="ctr">
                <a:spAutoFit/>
              </a:bodyPr>
              <a:lstStyle/>
              <a:p>
                <a:pPr>
                  <a:defRPr sz="600"/>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DropDown!$I$80</c:f>
              <c:numCache>
                <c:formatCode>General</c:formatCode>
                <c:ptCount val="1"/>
              </c:numCache>
            </c:numRef>
          </c:xVal>
          <c:yVal>
            <c:numLit>
              <c:formatCode>General</c:formatCode>
              <c:ptCount val="1"/>
              <c:pt idx="0">
                <c:v>1</c:v>
              </c:pt>
            </c:numLit>
          </c:yVal>
          <c:smooth val="0"/>
          <c:extLst>
            <c:ext xmlns:c16="http://schemas.microsoft.com/office/drawing/2014/chart" uri="{C3380CC4-5D6E-409C-BE32-E72D297353CC}">
              <c16:uniqueId val="{00000008-FBF0-4649-BAB2-06205C13A7F8}"/>
            </c:ext>
          </c:extLst>
        </c:ser>
        <c:dLbls>
          <c:showLegendKey val="0"/>
          <c:showVal val="0"/>
          <c:showCatName val="0"/>
          <c:showSerName val="0"/>
          <c:showPercent val="0"/>
          <c:showBubbleSize val="0"/>
        </c:dLbls>
        <c:axId val="364272424"/>
        <c:axId val="127807256"/>
      </c:scatterChart>
      <c:valAx>
        <c:axId val="364272424"/>
        <c:scaling>
          <c:orientation val="minMax"/>
        </c:scaling>
        <c:delete val="0"/>
        <c:axPos val="b"/>
        <c:numFmt formatCode="[$-407]mmm/\ 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600" b="1" i="0" u="none" strike="noStrike" kern="1200" baseline="0">
                <a:solidFill>
                  <a:schemeClr val="bg1">
                    <a:lumMod val="50000"/>
                  </a:schemeClr>
                </a:solidFill>
                <a:latin typeface="+mn-lt"/>
                <a:ea typeface="+mn-ea"/>
                <a:cs typeface="+mn-cs"/>
              </a:defRPr>
            </a:pPr>
            <a:endParaRPr lang="en-US"/>
          </a:p>
        </c:txPr>
        <c:crossAx val="127807256"/>
        <c:crossesAt val="0"/>
        <c:crossBetween val="midCat"/>
      </c:valAx>
      <c:valAx>
        <c:axId val="127807256"/>
        <c:scaling>
          <c:orientation val="minMax"/>
        </c:scaling>
        <c:delete val="1"/>
        <c:axPos val="l"/>
        <c:numFmt formatCode="General" sourceLinked="1"/>
        <c:majorTickMark val="none"/>
        <c:minorTickMark val="none"/>
        <c:tickLblPos val="nextTo"/>
        <c:crossAx val="364272424"/>
        <c:crossesAt val="43600"/>
        <c:crossBetween val="midCat"/>
      </c:valAx>
      <c:spPr>
        <a:gradFill flip="none" rotWithShape="1">
          <a:gsLst>
            <a:gs pos="0">
              <a:srgbClr val="C2E0DF">
                <a:lumMod val="70000"/>
              </a:srgbClr>
            </a:gs>
            <a:gs pos="51000">
              <a:srgbClr val="C2E0DF"/>
            </a:gs>
            <a:gs pos="100000">
              <a:srgbClr val="C2E0DF">
                <a:lumMod val="43000"/>
                <a:lumOff val="57000"/>
              </a:srgbClr>
            </a:gs>
          </a:gsLst>
          <a:lin ang="0" scaled="1"/>
          <a:tileRect/>
        </a:gradFill>
        <a:ln>
          <a:noFill/>
        </a:ln>
        <a:effectLst/>
      </c:spPr>
    </c:plotArea>
    <c:plotVisOnly val="1"/>
    <c:dispBlanksAs val="gap"/>
    <c:showDLblsOverMax val="0"/>
  </c:chart>
  <c:spPr>
    <a:solidFill>
      <a:sysClr val="window" lastClr="FFFFFF"/>
    </a:solidFill>
    <a:ln w="3175" cap="flat" cmpd="sng" algn="ctr">
      <a:solidFill>
        <a:schemeClr val="bg1">
          <a:lumMod val="50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5522</xdr:colOff>
      <xdr:row>0</xdr:row>
      <xdr:rowOff>0</xdr:rowOff>
    </xdr:from>
    <xdr:to>
      <xdr:col>8</xdr:col>
      <xdr:colOff>5522</xdr:colOff>
      <xdr:row>3</xdr:row>
      <xdr:rowOff>0</xdr:rowOff>
    </xdr:to>
    <xdr:graphicFrame macro="">
      <xdr:nvGraphicFramePr>
        <xdr:cNvPr id="2" name="Diagramm 44">
          <a:extLst>
            <a:ext uri="{FF2B5EF4-FFF2-40B4-BE49-F238E27FC236}">
              <a16:creationId xmlns:a16="http://schemas.microsoft.com/office/drawing/2014/main" id="{D7274B3A-F208-4446-AE43-452CC2BAD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0</xdr:colOff>
      <xdr:row>5</xdr:row>
      <xdr:rowOff>184680</xdr:rowOff>
    </xdr:to>
    <xdr:sp macro="" textlink="">
      <xdr:nvSpPr>
        <xdr:cNvPr id="3" name="Text Box 1" descr="新聞紙">
          <a:extLst>
            <a:ext uri="{FF2B5EF4-FFF2-40B4-BE49-F238E27FC236}">
              <a16:creationId xmlns:a16="http://schemas.microsoft.com/office/drawing/2014/main" id="{5854561E-87DA-4D4F-B45B-EECFD285B8FA}"/>
            </a:ext>
          </a:extLst>
        </xdr:cNvPr>
        <xdr:cNvSpPr txBox="1">
          <a:spLocks noChangeArrowheads="1"/>
        </xdr:cNvSpPr>
      </xdr:nvSpPr>
      <xdr:spPr bwMode="auto">
        <a:xfrm>
          <a:off x="0" y="0"/>
          <a:ext cx="2590800" cy="1146705"/>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9525">
          <a:solidFill>
            <a:srgbClr val="000000"/>
          </a:solidFill>
          <a:miter lim="800000"/>
          <a:headEnd/>
          <a:tailEnd/>
        </a:ln>
        <a:effectLst/>
      </xdr:spPr>
      <xdr:txBody>
        <a:bodyPr vertOverflow="clip" wrap="square" lIns="27432" tIns="18288" rIns="0" bIns="18288" anchor="ctr" upright="1"/>
        <a:lstStyle/>
        <a:p>
          <a:pPr marL="0" marR="0" lvl="0" indent="0" algn="ctr" defTabSz="914400" rtl="0" eaLnBrk="1" fontAlgn="auto" latinLnBrk="0" hangingPunct="1">
            <a:lnSpc>
              <a:spcPts val="1800"/>
            </a:lnSpc>
            <a:spcBef>
              <a:spcPts val="0"/>
            </a:spcBef>
            <a:spcAft>
              <a:spcPts val="0"/>
            </a:spcAft>
            <a:buClrTx/>
            <a:buSzTx/>
            <a:buFontTx/>
            <a:buNone/>
            <a:tabLst/>
            <a:defRPr sz="1000"/>
          </a:pPr>
          <a:r>
            <a:rPr lang="en-US" altLang="ja-JP" sz="1200" b="1" i="0" u="none" strike="noStrike" baseline="0">
              <a:solidFill>
                <a:schemeClr val="accent5">
                  <a:lumMod val="75000"/>
                </a:schemeClr>
              </a:solidFill>
              <a:latin typeface="ＭＳ Ｐゴシック"/>
              <a:ea typeface="ＭＳ Ｐゴシック"/>
            </a:rPr>
            <a:t>CDD MBLU</a:t>
          </a:r>
          <a:endParaRPr lang="en-US" altLang="ja-JP" sz="500" b="0" i="0" u="none" strike="noStrike" baseline="0">
            <a:solidFill>
              <a:schemeClr val="accent5">
                <a:lumMod val="75000"/>
              </a:schemeClr>
            </a:solidFill>
            <a:latin typeface="ＭＳ Ｐゴシック"/>
            <a:ea typeface="+mn-ea"/>
          </a:endParaRPr>
        </a:p>
      </xdr:txBody>
    </xdr:sp>
    <xdr:clientData/>
  </xdr:twoCellAnchor>
  <xdr:twoCellAnchor>
    <xdr:from>
      <xdr:col>1</xdr:col>
      <xdr:colOff>0</xdr:colOff>
      <xdr:row>0</xdr:row>
      <xdr:rowOff>0</xdr:rowOff>
    </xdr:from>
    <xdr:to>
      <xdr:col>1</xdr:col>
      <xdr:colOff>2086241</xdr:colOff>
      <xdr:row>5</xdr:row>
      <xdr:rowOff>182880</xdr:rowOff>
    </xdr:to>
    <xdr:sp macro="" textlink="">
      <xdr:nvSpPr>
        <xdr:cNvPr id="4" name="TextBox 2">
          <a:extLst>
            <a:ext uri="{FF2B5EF4-FFF2-40B4-BE49-F238E27FC236}">
              <a16:creationId xmlns:a16="http://schemas.microsoft.com/office/drawing/2014/main" id="{634A6903-9578-44C1-8E84-FA3FDB5D689F}"/>
            </a:ext>
          </a:extLst>
        </xdr:cNvPr>
        <xdr:cNvSpPr txBox="1"/>
      </xdr:nvSpPr>
      <xdr:spPr>
        <a:xfrm>
          <a:off x="2590800" y="0"/>
          <a:ext cx="2086241" cy="1144905"/>
        </a:xfrm>
        <a:prstGeom prst="rect">
          <a:avLst/>
        </a:prstGeom>
        <a:solidFill>
          <a:srgbClr val="FFFFFF"/>
        </a:solidFill>
        <a:ln w="9525"/>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t"/>
        <a:lstStyle/>
        <a:p>
          <a:r>
            <a:rPr lang="en-US" sz="1200" b="1">
              <a:solidFill>
                <a:schemeClr val="accent5"/>
              </a:solidFill>
            </a:rPr>
            <a:t>A: </a:t>
          </a:r>
          <a:r>
            <a:rPr lang="en-US" sz="1050" b="0">
              <a:solidFill>
                <a:schemeClr val="accent5"/>
              </a:solidFill>
            </a:rPr>
            <a:t>Concept</a:t>
          </a:r>
          <a:r>
            <a:rPr lang="en-US" sz="1050" b="0" baseline="0">
              <a:solidFill>
                <a:schemeClr val="accent5"/>
              </a:solidFill>
            </a:rPr>
            <a:t> available</a:t>
          </a:r>
          <a:endParaRPr lang="en-US" sz="1050" b="0">
            <a:solidFill>
              <a:schemeClr val="accent5"/>
            </a:solidFill>
          </a:endParaRPr>
        </a:p>
        <a:p>
          <a:r>
            <a:rPr lang="en-US" sz="1200" b="1">
              <a:solidFill>
                <a:schemeClr val="accent6"/>
              </a:solidFill>
            </a:rPr>
            <a:t>T: </a:t>
          </a:r>
          <a:r>
            <a:rPr lang="en-US" sz="1050" b="0">
              <a:solidFill>
                <a:schemeClr val="accent6"/>
              </a:solidFill>
            </a:rPr>
            <a:t>Function implemented / Parameter testable</a:t>
          </a:r>
        </a:p>
        <a:p>
          <a:r>
            <a:rPr lang="en-US" sz="1200" b="1">
              <a:solidFill>
                <a:srgbClr val="00B050"/>
              </a:solidFill>
            </a:rPr>
            <a:t>S:</a:t>
          </a:r>
          <a:r>
            <a:rPr lang="en-US" sz="1200" b="1" baseline="0">
              <a:solidFill>
                <a:srgbClr val="00B050"/>
              </a:solidFill>
            </a:rPr>
            <a:t> </a:t>
          </a:r>
          <a:r>
            <a:rPr lang="en-US" sz="1050" b="0" baseline="0">
              <a:solidFill>
                <a:srgbClr val="00B050"/>
              </a:solidFill>
            </a:rPr>
            <a:t>Full Performance according Spezification / Requirement</a:t>
          </a:r>
        </a:p>
        <a:p>
          <a:endParaRPr lang="en-US" sz="1050" b="0" baseline="0">
            <a:solidFill>
              <a:srgbClr val="00B050"/>
            </a:solidFill>
          </a:endParaRPr>
        </a:p>
        <a:p>
          <a:endParaRPr lang="en-US" sz="1050" b="0" baseline="0">
            <a:solidFill>
              <a:srgbClr val="00B050"/>
            </a:solidFill>
          </a:endParaRPr>
        </a:p>
        <a:p>
          <a:endParaRPr lang="en-US" sz="1200" b="1" baseline="0">
            <a:solidFill>
              <a:srgbClr val="00B050"/>
            </a:solidFill>
          </a:endParaRPr>
        </a:p>
        <a:p>
          <a:endParaRPr lang="en-US" sz="1200" b="1">
            <a:solidFill>
              <a:schemeClr val="accent3"/>
            </a:solidFill>
          </a:endParaRPr>
        </a:p>
      </xdr:txBody>
    </xdr:sp>
    <xdr:clientData/>
  </xdr:twoCellAnchor>
  <mc:AlternateContent xmlns:mc="http://schemas.openxmlformats.org/markup-compatibility/2006">
    <mc:Choice xmlns:a14="http://schemas.microsoft.com/office/drawing/2010/main" Requires="a14">
      <xdr:twoCellAnchor>
        <xdr:from>
          <xdr:col>44</xdr:col>
          <xdr:colOff>28575</xdr:colOff>
          <xdr:row>1</xdr:row>
          <xdr:rowOff>28575</xdr:rowOff>
        </xdr:from>
        <xdr:to>
          <xdr:col>62</xdr:col>
          <xdr:colOff>257175</xdr:colOff>
          <xdr:row>3</xdr:row>
          <xdr:rowOff>180975</xdr:rowOff>
        </xdr:to>
        <xdr:sp macro="" textlink="">
          <xdr:nvSpPr>
            <xdr:cNvPr id="7169" name="Button 1" descr="Adapt ME" hidden="1">
              <a:extLst>
                <a:ext uri="{63B3BB69-23CF-44E3-9099-C40C66FF867C}">
                  <a14:compatExt spid="_x0000_s7169"/>
                </a:ext>
                <a:ext uri="{FF2B5EF4-FFF2-40B4-BE49-F238E27FC236}">
                  <a16:creationId xmlns:a16="http://schemas.microsoft.com/office/drawing/2014/main" id="{1E171CE2-E643-42AA-84E4-CF38294FDC8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Analyse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0</xdr:row>
          <xdr:rowOff>28575</xdr:rowOff>
        </xdr:from>
        <xdr:to>
          <xdr:col>3</xdr:col>
          <xdr:colOff>381000</xdr:colOff>
          <xdr:row>1</xdr:row>
          <xdr:rowOff>28575</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24B9FADE-A5EA-4F2A-8AF1-13B3F488DA8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28575</xdr:colOff>
          <xdr:row>1</xdr:row>
          <xdr:rowOff>28575</xdr:rowOff>
        </xdr:from>
        <xdr:to>
          <xdr:col>19</xdr:col>
          <xdr:colOff>447675</xdr:colOff>
          <xdr:row>1</xdr:row>
          <xdr:rowOff>180975</xdr:rowOff>
        </xdr:to>
        <xdr:sp macro="" textlink="">
          <xdr:nvSpPr>
            <xdr:cNvPr id="7171" name="Button 3" descr="Adapt ME" hidden="1">
              <a:extLst>
                <a:ext uri="{63B3BB69-23CF-44E3-9099-C40C66FF867C}">
                  <a14:compatExt spid="_x0000_s7171"/>
                </a:ext>
                <a:ext uri="{FF2B5EF4-FFF2-40B4-BE49-F238E27FC236}">
                  <a16:creationId xmlns:a16="http://schemas.microsoft.com/office/drawing/2014/main" id="{77A4B5C6-4436-4EAF-9B98-4468AFC57A5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3</xdr:row>
          <xdr:rowOff>28575</xdr:rowOff>
        </xdr:from>
        <xdr:to>
          <xdr:col>19</xdr:col>
          <xdr:colOff>447675</xdr:colOff>
          <xdr:row>3</xdr:row>
          <xdr:rowOff>180975</xdr:rowOff>
        </xdr:to>
        <xdr:sp macro="" textlink="">
          <xdr:nvSpPr>
            <xdr:cNvPr id="7172" name="Button 4" descr="Adapt ME" hidden="1">
              <a:extLst>
                <a:ext uri="{63B3BB69-23CF-44E3-9099-C40C66FF867C}">
                  <a14:compatExt spid="_x0000_s7172"/>
                </a:ext>
                <a:ext uri="{FF2B5EF4-FFF2-40B4-BE49-F238E27FC236}">
                  <a16:creationId xmlns:a16="http://schemas.microsoft.com/office/drawing/2014/main" id="{8350682B-1053-40DA-AB8D-92459D7BE0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2</xdr:row>
          <xdr:rowOff>28575</xdr:rowOff>
        </xdr:from>
        <xdr:to>
          <xdr:col>19</xdr:col>
          <xdr:colOff>447675</xdr:colOff>
          <xdr:row>2</xdr:row>
          <xdr:rowOff>180975</xdr:rowOff>
        </xdr:to>
        <xdr:sp macro="" textlink="">
          <xdr:nvSpPr>
            <xdr:cNvPr id="7173" name="Button 5" descr="Adapt ME" hidden="1">
              <a:extLst>
                <a:ext uri="{63B3BB69-23CF-44E3-9099-C40C66FF867C}">
                  <a14:compatExt spid="_x0000_s7173"/>
                </a:ext>
                <a:ext uri="{FF2B5EF4-FFF2-40B4-BE49-F238E27FC236}">
                  <a16:creationId xmlns:a16="http://schemas.microsoft.com/office/drawing/2014/main" id="{9E3AA0EC-B893-4826-A68E-BB923D22077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xdr:row>
          <xdr:rowOff>28575</xdr:rowOff>
        </xdr:from>
        <xdr:to>
          <xdr:col>24</xdr:col>
          <xdr:colOff>447675</xdr:colOff>
          <xdr:row>1</xdr:row>
          <xdr:rowOff>180975</xdr:rowOff>
        </xdr:to>
        <xdr:sp macro="" textlink="">
          <xdr:nvSpPr>
            <xdr:cNvPr id="7174" name="Button 6" descr="Adapt ME" hidden="1">
              <a:extLst>
                <a:ext uri="{63B3BB69-23CF-44E3-9099-C40C66FF867C}">
                  <a14:compatExt spid="_x0000_s7174"/>
                </a:ext>
                <a:ext uri="{FF2B5EF4-FFF2-40B4-BE49-F238E27FC236}">
                  <a16:creationId xmlns:a16="http://schemas.microsoft.com/office/drawing/2014/main" id="{D935CACA-4AFF-4172-ADF6-D3FA47490F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24</xdr:col>
          <xdr:colOff>447675</xdr:colOff>
          <xdr:row>3</xdr:row>
          <xdr:rowOff>180975</xdr:rowOff>
        </xdr:to>
        <xdr:sp macro="" textlink="">
          <xdr:nvSpPr>
            <xdr:cNvPr id="7175" name="Button 7" descr="Adapt ME" hidden="1">
              <a:extLst>
                <a:ext uri="{63B3BB69-23CF-44E3-9099-C40C66FF867C}">
                  <a14:compatExt spid="_x0000_s7175"/>
                </a:ext>
                <a:ext uri="{FF2B5EF4-FFF2-40B4-BE49-F238E27FC236}">
                  <a16:creationId xmlns:a16="http://schemas.microsoft.com/office/drawing/2014/main" id="{229CD0FC-1696-4D31-8D1F-0A46A98196E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2</xdr:row>
          <xdr:rowOff>28575</xdr:rowOff>
        </xdr:from>
        <xdr:to>
          <xdr:col>24</xdr:col>
          <xdr:colOff>447675</xdr:colOff>
          <xdr:row>2</xdr:row>
          <xdr:rowOff>180975</xdr:rowOff>
        </xdr:to>
        <xdr:sp macro="" textlink="">
          <xdr:nvSpPr>
            <xdr:cNvPr id="7176" name="Button 8" descr="Adapt ME" hidden="1">
              <a:extLst>
                <a:ext uri="{63B3BB69-23CF-44E3-9099-C40C66FF867C}">
                  <a14:compatExt spid="_x0000_s7176"/>
                </a:ext>
                <a:ext uri="{FF2B5EF4-FFF2-40B4-BE49-F238E27FC236}">
                  <a16:creationId xmlns:a16="http://schemas.microsoft.com/office/drawing/2014/main" id="{E3104B96-CE6D-4396-8F68-EE71BC8D35D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28575</xdr:colOff>
          <xdr:row>1</xdr:row>
          <xdr:rowOff>28575</xdr:rowOff>
        </xdr:from>
        <xdr:to>
          <xdr:col>29</xdr:col>
          <xdr:colOff>447675</xdr:colOff>
          <xdr:row>1</xdr:row>
          <xdr:rowOff>180975</xdr:rowOff>
        </xdr:to>
        <xdr:sp macro="" textlink="">
          <xdr:nvSpPr>
            <xdr:cNvPr id="7177" name="Button 9" descr="Adapt ME" hidden="1">
              <a:extLst>
                <a:ext uri="{63B3BB69-23CF-44E3-9099-C40C66FF867C}">
                  <a14:compatExt spid="_x0000_s7177"/>
                </a:ext>
                <a:ext uri="{FF2B5EF4-FFF2-40B4-BE49-F238E27FC236}">
                  <a16:creationId xmlns:a16="http://schemas.microsoft.com/office/drawing/2014/main" id="{8D04C8BD-A8C0-403D-AADB-9F3EAD26F4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28575</xdr:colOff>
          <xdr:row>3</xdr:row>
          <xdr:rowOff>28575</xdr:rowOff>
        </xdr:from>
        <xdr:to>
          <xdr:col>29</xdr:col>
          <xdr:colOff>447675</xdr:colOff>
          <xdr:row>3</xdr:row>
          <xdr:rowOff>180975</xdr:rowOff>
        </xdr:to>
        <xdr:sp macro="" textlink="">
          <xdr:nvSpPr>
            <xdr:cNvPr id="7178" name="Button 10" descr="Adapt ME" hidden="1">
              <a:extLst>
                <a:ext uri="{63B3BB69-23CF-44E3-9099-C40C66FF867C}">
                  <a14:compatExt spid="_x0000_s7178"/>
                </a:ext>
                <a:ext uri="{FF2B5EF4-FFF2-40B4-BE49-F238E27FC236}">
                  <a16:creationId xmlns:a16="http://schemas.microsoft.com/office/drawing/2014/main" id="{55AA69C8-E929-47F6-B39E-8503EB07D5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28575</xdr:colOff>
          <xdr:row>2</xdr:row>
          <xdr:rowOff>28575</xdr:rowOff>
        </xdr:from>
        <xdr:to>
          <xdr:col>29</xdr:col>
          <xdr:colOff>447675</xdr:colOff>
          <xdr:row>2</xdr:row>
          <xdr:rowOff>180975</xdr:rowOff>
        </xdr:to>
        <xdr:sp macro="" textlink="">
          <xdr:nvSpPr>
            <xdr:cNvPr id="7179" name="Button 11" descr="Adapt ME" hidden="1">
              <a:extLst>
                <a:ext uri="{63B3BB69-23CF-44E3-9099-C40C66FF867C}">
                  <a14:compatExt spid="_x0000_s7179"/>
                </a:ext>
                <a:ext uri="{FF2B5EF4-FFF2-40B4-BE49-F238E27FC236}">
                  <a16:creationId xmlns:a16="http://schemas.microsoft.com/office/drawing/2014/main" id="{0591D37D-AC03-4C06-BD31-AA6D118261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27516</xdr:rowOff>
        </xdr:from>
        <xdr:to>
          <xdr:col>6</xdr:col>
          <xdr:colOff>0</xdr:colOff>
          <xdr:row>5</xdr:row>
          <xdr:rowOff>152400</xdr:rowOff>
        </xdr:to>
        <xdr:grpSp>
          <xdr:nvGrpSpPr>
            <xdr:cNvPr id="5" name="Gruppieren 4">
              <a:extLst>
                <a:ext uri="{FF2B5EF4-FFF2-40B4-BE49-F238E27FC236}">
                  <a16:creationId xmlns:a16="http://schemas.microsoft.com/office/drawing/2014/main" id="{55F8A29E-A9DB-4C53-819C-FBBCD7757401}"/>
                </a:ext>
              </a:extLst>
            </xdr:cNvPr>
            <xdr:cNvGrpSpPr/>
          </xdr:nvGrpSpPr>
          <xdr:grpSpPr>
            <a:xfrm>
              <a:off x="11779250" y="810683"/>
              <a:ext cx="0" cy="304800"/>
              <a:chOff x="0" y="809088"/>
              <a:chExt cx="0" cy="304800"/>
            </a:xfrm>
          </xdr:grpSpPr>
          <xdr:sp macro="" textlink="">
            <xdr:nvSpPr>
              <xdr:cNvPr id="7180" name="OptionButton1" hidden="1">
                <a:extLst>
                  <a:ext uri="{63B3BB69-23CF-44E3-9099-C40C66FF867C}">
                    <a14:compatExt spid="_x0000_s7180"/>
                  </a:ext>
                  <a:ext uri="{FF2B5EF4-FFF2-40B4-BE49-F238E27FC236}">
                    <a16:creationId xmlns:a16="http://schemas.microsoft.com/office/drawing/2014/main" id="{00000000-0008-0000-0600-00000C480000}"/>
                  </a:ext>
                </a:extLst>
              </xdr:cNvPr>
              <xdr:cNvSpPr/>
            </xdr:nvSpPr>
            <xdr:spPr bwMode="auto">
              <a:xfrm>
                <a:off x="0" y="809088"/>
                <a:ext cx="0" cy="304800"/>
              </a:xfrm>
              <a:prstGeom prst="rect">
                <a:avLst/>
              </a:prstGeom>
              <a:noFill/>
              <a:ln>
                <a:noFill/>
              </a:ln>
              <a:extLst>
                <a:ext uri="{91240B29-F687-4F45-9708-019B960494DF}">
                  <a14:hiddenLine w="9525">
                    <a:noFill/>
                    <a:miter lim="800000"/>
                    <a:headEnd/>
                    <a:tailEnd/>
                  </a14:hiddenLine>
                </a:ext>
              </a:extLst>
            </xdr:spPr>
          </xdr:sp>
          <xdr:sp macro="" textlink="">
            <xdr:nvSpPr>
              <xdr:cNvPr id="7181" name="OptionButton2" hidden="1">
                <a:extLst>
                  <a:ext uri="{63B3BB69-23CF-44E3-9099-C40C66FF867C}">
                    <a14:compatExt spid="_x0000_s7181"/>
                  </a:ext>
                  <a:ext uri="{FF2B5EF4-FFF2-40B4-BE49-F238E27FC236}">
                    <a16:creationId xmlns:a16="http://schemas.microsoft.com/office/drawing/2014/main" id="{00000000-0008-0000-0600-00000D480000}"/>
                  </a:ext>
                </a:extLst>
              </xdr:cNvPr>
              <xdr:cNvSpPr/>
            </xdr:nvSpPr>
            <xdr:spPr bwMode="auto">
              <a:xfrm>
                <a:off x="0" y="810683"/>
                <a:ext cx="0" cy="29633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28575</xdr:colOff>
          <xdr:row>1</xdr:row>
          <xdr:rowOff>28575</xdr:rowOff>
        </xdr:from>
        <xdr:to>
          <xdr:col>34</xdr:col>
          <xdr:colOff>447675</xdr:colOff>
          <xdr:row>1</xdr:row>
          <xdr:rowOff>180975</xdr:rowOff>
        </xdr:to>
        <xdr:sp macro="" textlink="">
          <xdr:nvSpPr>
            <xdr:cNvPr id="7182" name="Button 14" descr="Adapt ME" hidden="1">
              <a:extLst>
                <a:ext uri="{63B3BB69-23CF-44E3-9099-C40C66FF867C}">
                  <a14:compatExt spid="_x0000_s7182"/>
                </a:ext>
                <a:ext uri="{FF2B5EF4-FFF2-40B4-BE49-F238E27FC236}">
                  <a16:creationId xmlns:a16="http://schemas.microsoft.com/office/drawing/2014/main" id="{D99F4079-1427-4D53-A036-AD60ABA44F7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28575</xdr:colOff>
          <xdr:row>3</xdr:row>
          <xdr:rowOff>28575</xdr:rowOff>
        </xdr:from>
        <xdr:to>
          <xdr:col>34</xdr:col>
          <xdr:colOff>447675</xdr:colOff>
          <xdr:row>3</xdr:row>
          <xdr:rowOff>180975</xdr:rowOff>
        </xdr:to>
        <xdr:sp macro="" textlink="">
          <xdr:nvSpPr>
            <xdr:cNvPr id="7183" name="Button 15" descr="Adapt ME" hidden="1">
              <a:extLst>
                <a:ext uri="{63B3BB69-23CF-44E3-9099-C40C66FF867C}">
                  <a14:compatExt spid="_x0000_s7183"/>
                </a:ext>
                <a:ext uri="{FF2B5EF4-FFF2-40B4-BE49-F238E27FC236}">
                  <a16:creationId xmlns:a16="http://schemas.microsoft.com/office/drawing/2014/main" id="{8F4F875E-6EE7-4776-8037-688BB47069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28575</xdr:colOff>
          <xdr:row>2</xdr:row>
          <xdr:rowOff>28575</xdr:rowOff>
        </xdr:from>
        <xdr:to>
          <xdr:col>34</xdr:col>
          <xdr:colOff>447675</xdr:colOff>
          <xdr:row>2</xdr:row>
          <xdr:rowOff>180975</xdr:rowOff>
        </xdr:to>
        <xdr:sp macro="" textlink="">
          <xdr:nvSpPr>
            <xdr:cNvPr id="7184" name="Button 16" descr="Adapt ME" hidden="1">
              <a:extLst>
                <a:ext uri="{63B3BB69-23CF-44E3-9099-C40C66FF867C}">
                  <a14:compatExt spid="_x0000_s7184"/>
                </a:ext>
                <a:ext uri="{FF2B5EF4-FFF2-40B4-BE49-F238E27FC236}">
                  <a16:creationId xmlns:a16="http://schemas.microsoft.com/office/drawing/2014/main" id="{D2DC7E93-1FFF-49D1-9B26-25FCE489C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1</xdr:row>
          <xdr:rowOff>28575</xdr:rowOff>
        </xdr:from>
        <xdr:to>
          <xdr:col>14</xdr:col>
          <xdr:colOff>447675</xdr:colOff>
          <xdr:row>1</xdr:row>
          <xdr:rowOff>180975</xdr:rowOff>
        </xdr:to>
        <xdr:sp macro="" textlink="">
          <xdr:nvSpPr>
            <xdr:cNvPr id="7185" name="Button 17" descr="Adapt ME" hidden="1">
              <a:extLst>
                <a:ext uri="{63B3BB69-23CF-44E3-9099-C40C66FF867C}">
                  <a14:compatExt spid="_x0000_s7185"/>
                </a:ext>
                <a:ext uri="{FF2B5EF4-FFF2-40B4-BE49-F238E27FC236}">
                  <a16:creationId xmlns:a16="http://schemas.microsoft.com/office/drawing/2014/main" id="{70A44387-513D-495F-8E53-4CD0D89CD6A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3</xdr:row>
          <xdr:rowOff>28575</xdr:rowOff>
        </xdr:from>
        <xdr:to>
          <xdr:col>14</xdr:col>
          <xdr:colOff>447675</xdr:colOff>
          <xdr:row>3</xdr:row>
          <xdr:rowOff>180975</xdr:rowOff>
        </xdr:to>
        <xdr:sp macro="" textlink="">
          <xdr:nvSpPr>
            <xdr:cNvPr id="7186" name="Button 18" descr="Adapt ME" hidden="1">
              <a:extLst>
                <a:ext uri="{63B3BB69-23CF-44E3-9099-C40C66FF867C}">
                  <a14:compatExt spid="_x0000_s7186"/>
                </a:ext>
                <a:ext uri="{FF2B5EF4-FFF2-40B4-BE49-F238E27FC236}">
                  <a16:creationId xmlns:a16="http://schemas.microsoft.com/office/drawing/2014/main" id="{133D2849-2424-494F-8234-6380C836CDE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2</xdr:row>
          <xdr:rowOff>28575</xdr:rowOff>
        </xdr:from>
        <xdr:to>
          <xdr:col>14</xdr:col>
          <xdr:colOff>447675</xdr:colOff>
          <xdr:row>2</xdr:row>
          <xdr:rowOff>180975</xdr:rowOff>
        </xdr:to>
        <xdr:sp macro="" textlink="">
          <xdr:nvSpPr>
            <xdr:cNvPr id="7187" name="Button 19" descr="Adapt ME" hidden="1">
              <a:extLst>
                <a:ext uri="{63B3BB69-23CF-44E3-9099-C40C66FF867C}">
                  <a14:compatExt spid="_x0000_s7187"/>
                </a:ext>
                <a:ext uri="{FF2B5EF4-FFF2-40B4-BE49-F238E27FC236}">
                  <a16:creationId xmlns:a16="http://schemas.microsoft.com/office/drawing/2014/main" id="{AED0E6AA-30D1-4EAE-B76B-3A06E55B8EF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xdr:twoCellAnchor>
    <xdr:from>
      <xdr:col>63</xdr:col>
      <xdr:colOff>52916</xdr:colOff>
      <xdr:row>0</xdr:row>
      <xdr:rowOff>52916</xdr:rowOff>
    </xdr:from>
    <xdr:to>
      <xdr:col>64</xdr:col>
      <xdr:colOff>529166</xdr:colOff>
      <xdr:row>7</xdr:row>
      <xdr:rowOff>169334</xdr:rowOff>
    </xdr:to>
    <xdr:grpSp>
      <xdr:nvGrpSpPr>
        <xdr:cNvPr id="6" name="Gruppieren 37">
          <a:extLst>
            <a:ext uri="{FF2B5EF4-FFF2-40B4-BE49-F238E27FC236}">
              <a16:creationId xmlns:a16="http://schemas.microsoft.com/office/drawing/2014/main" id="{BE83F3AD-BF0A-411B-9BF1-993AEF91BFC5}"/>
            </a:ext>
          </a:extLst>
        </xdr:cNvPr>
        <xdr:cNvGrpSpPr/>
      </xdr:nvGrpSpPr>
      <xdr:grpSpPr>
        <a:xfrm>
          <a:off x="55837666" y="52916"/>
          <a:ext cx="1301750" cy="1460501"/>
          <a:chOff x="9738358" y="914400"/>
          <a:chExt cx="1102827" cy="1863090"/>
        </a:xfrm>
        <a:effectLst>
          <a:outerShdw blurRad="50800" dist="38100" dir="2700000" algn="tl" rotWithShape="0">
            <a:prstClr val="black">
              <a:alpha val="40000"/>
            </a:prstClr>
          </a:outerShdw>
        </a:effectLst>
      </xdr:grpSpPr>
      <xdr:grpSp>
        <xdr:nvGrpSpPr>
          <xdr:cNvPr id="7" name="Gruppieren 38">
            <a:extLst>
              <a:ext uri="{FF2B5EF4-FFF2-40B4-BE49-F238E27FC236}">
                <a16:creationId xmlns:a16="http://schemas.microsoft.com/office/drawing/2014/main" id="{04DC9AE6-4161-F93C-9C09-8320FF92C852}"/>
              </a:ext>
            </a:extLst>
          </xdr:cNvPr>
          <xdr:cNvGrpSpPr/>
        </xdr:nvGrpSpPr>
        <xdr:grpSpPr>
          <a:xfrm>
            <a:off x="9738358" y="914400"/>
            <a:ext cx="1102827" cy="1863090"/>
            <a:chOff x="9738360" y="914400"/>
            <a:chExt cx="1567289" cy="2194560"/>
          </a:xfrm>
        </xdr:grpSpPr>
        <xdr:sp macro="" textlink="">
          <xdr:nvSpPr>
            <xdr:cNvPr id="9" name="Rechteck 40">
              <a:extLst>
                <a:ext uri="{FF2B5EF4-FFF2-40B4-BE49-F238E27FC236}">
                  <a16:creationId xmlns:a16="http://schemas.microsoft.com/office/drawing/2014/main" id="{C4284674-F2EB-DC0D-8FA4-9ACC3B15E0B6}"/>
                </a:ext>
              </a:extLst>
            </xdr:cNvPr>
            <xdr:cNvSpPr/>
          </xdr:nvSpPr>
          <xdr:spPr>
            <a:xfrm>
              <a:off x="9738360" y="1280160"/>
              <a:ext cx="1567289" cy="365760"/>
            </a:xfrm>
            <a:prstGeom prst="rect">
              <a:avLst/>
            </a:prstGeom>
            <a:solidFill>
              <a:srgbClr val="F60000"/>
            </a:solidFill>
            <a:ln w="31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800">
                  <a:solidFill>
                    <a:schemeClr val="tx1">
                      <a:lumMod val="85000"/>
                      <a:lumOff val="15000"/>
                    </a:schemeClr>
                  </a:solidFill>
                </a:rPr>
                <a:t>not reached at all</a:t>
              </a:r>
            </a:p>
          </xdr:txBody>
        </xdr:sp>
        <xdr:sp macro="" textlink="">
          <xdr:nvSpPr>
            <xdr:cNvPr id="10" name="Rechteck 41">
              <a:extLst>
                <a:ext uri="{FF2B5EF4-FFF2-40B4-BE49-F238E27FC236}">
                  <a16:creationId xmlns:a16="http://schemas.microsoft.com/office/drawing/2014/main" id="{E1074056-C8AA-AAD8-B9D7-E6A2F8929586}"/>
                </a:ext>
              </a:extLst>
            </xdr:cNvPr>
            <xdr:cNvSpPr/>
          </xdr:nvSpPr>
          <xdr:spPr>
            <a:xfrm>
              <a:off x="9738360" y="1645920"/>
              <a:ext cx="1567288" cy="365760"/>
            </a:xfrm>
            <a:prstGeom prst="rect">
              <a:avLst/>
            </a:prstGeom>
            <a:solidFill>
              <a:srgbClr val="FF484F"/>
            </a:solidFill>
            <a:ln w="31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800">
                  <a:solidFill>
                    <a:schemeClr val="tx1">
                      <a:lumMod val="85000"/>
                      <a:lumOff val="15000"/>
                    </a:schemeClr>
                  </a:solidFill>
                </a:rPr>
                <a:t>not reached</a:t>
              </a:r>
            </a:p>
          </xdr:txBody>
        </xdr:sp>
        <xdr:sp macro="" textlink="">
          <xdr:nvSpPr>
            <xdr:cNvPr id="11" name="Rechteck 42">
              <a:extLst>
                <a:ext uri="{FF2B5EF4-FFF2-40B4-BE49-F238E27FC236}">
                  <a16:creationId xmlns:a16="http://schemas.microsoft.com/office/drawing/2014/main" id="{B4081821-C45F-590B-61A5-E686206F0DD7}"/>
                </a:ext>
              </a:extLst>
            </xdr:cNvPr>
            <xdr:cNvSpPr/>
          </xdr:nvSpPr>
          <xdr:spPr>
            <a:xfrm>
              <a:off x="9738360" y="2011680"/>
              <a:ext cx="1567288" cy="365760"/>
            </a:xfrm>
            <a:prstGeom prst="rect">
              <a:avLst/>
            </a:prstGeom>
            <a:solidFill>
              <a:srgbClr val="65FF65"/>
            </a:solidFill>
            <a:ln w="31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800">
                  <a:solidFill>
                    <a:schemeClr val="tx1">
                      <a:lumMod val="85000"/>
                      <a:lumOff val="15000"/>
                    </a:schemeClr>
                  </a:solidFill>
                </a:rPr>
                <a:t>reached</a:t>
              </a:r>
            </a:p>
          </xdr:txBody>
        </xdr:sp>
        <xdr:sp macro="" textlink="">
          <xdr:nvSpPr>
            <xdr:cNvPr id="12" name="Rechteck 43">
              <a:extLst>
                <a:ext uri="{FF2B5EF4-FFF2-40B4-BE49-F238E27FC236}">
                  <a16:creationId xmlns:a16="http://schemas.microsoft.com/office/drawing/2014/main" id="{EDCD1A6D-AA81-6F04-B71C-8055E195C83C}"/>
                </a:ext>
              </a:extLst>
            </xdr:cNvPr>
            <xdr:cNvSpPr/>
          </xdr:nvSpPr>
          <xdr:spPr>
            <a:xfrm>
              <a:off x="9738360" y="2377440"/>
              <a:ext cx="1567288" cy="365760"/>
            </a:xfrm>
            <a:prstGeom prst="rect">
              <a:avLst/>
            </a:prstGeom>
            <a:solidFill>
              <a:srgbClr val="00EA6A"/>
            </a:solidFill>
            <a:ln w="31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800">
                  <a:solidFill>
                    <a:schemeClr val="tx1">
                      <a:lumMod val="85000"/>
                      <a:lumOff val="15000"/>
                    </a:schemeClr>
                  </a:solidFill>
                </a:rPr>
                <a:t>more than fulfilled</a:t>
              </a:r>
            </a:p>
          </xdr:txBody>
        </xdr:sp>
        <xdr:sp macro="" textlink="">
          <xdr:nvSpPr>
            <xdr:cNvPr id="13" name="Rechteck 45">
              <a:extLst>
                <a:ext uri="{FF2B5EF4-FFF2-40B4-BE49-F238E27FC236}">
                  <a16:creationId xmlns:a16="http://schemas.microsoft.com/office/drawing/2014/main" id="{D668F554-3013-4F13-B697-E2E17BEF6346}"/>
                </a:ext>
              </a:extLst>
            </xdr:cNvPr>
            <xdr:cNvSpPr/>
          </xdr:nvSpPr>
          <xdr:spPr>
            <a:xfrm>
              <a:off x="9738360" y="2743200"/>
              <a:ext cx="1567288" cy="365760"/>
            </a:xfrm>
            <a:prstGeom prst="rect">
              <a:avLst/>
            </a:prstGeom>
            <a:solidFill>
              <a:srgbClr val="00B050"/>
            </a:solidFill>
            <a:ln w="31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800">
                  <a:solidFill>
                    <a:schemeClr val="tx1">
                      <a:lumMod val="85000"/>
                      <a:lumOff val="15000"/>
                    </a:schemeClr>
                  </a:solidFill>
                </a:rPr>
                <a:t>highly exceeded</a:t>
              </a:r>
            </a:p>
          </xdr:txBody>
        </xdr:sp>
        <xdr:sp macro="" textlink="">
          <xdr:nvSpPr>
            <xdr:cNvPr id="14" name="Rechteck 46">
              <a:extLst>
                <a:ext uri="{FF2B5EF4-FFF2-40B4-BE49-F238E27FC236}">
                  <a16:creationId xmlns:a16="http://schemas.microsoft.com/office/drawing/2014/main" id="{8EB1D831-5FEA-FB7E-5CBF-FA55905CA95F}"/>
                </a:ext>
              </a:extLst>
            </xdr:cNvPr>
            <xdr:cNvSpPr/>
          </xdr:nvSpPr>
          <xdr:spPr>
            <a:xfrm>
              <a:off x="9739738" y="914400"/>
              <a:ext cx="1565910" cy="365760"/>
            </a:xfrm>
            <a:prstGeom prst="rect">
              <a:avLst/>
            </a:prstGeom>
            <a:solidFill>
              <a:schemeClr val="bg1">
                <a:lumMod val="95000"/>
              </a:schemeClr>
            </a:solidFill>
            <a:ln w="190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DE" sz="1000">
                  <a:solidFill>
                    <a:schemeClr val="tx1">
                      <a:lumMod val="85000"/>
                      <a:lumOff val="15000"/>
                    </a:schemeClr>
                  </a:solidFill>
                </a:rPr>
                <a:t>Target Level</a:t>
              </a:r>
            </a:p>
          </xdr:txBody>
        </xdr:sp>
      </xdr:grpSp>
      <xdr:sp macro="" textlink="">
        <xdr:nvSpPr>
          <xdr:cNvPr id="8" name="Rechteck 39">
            <a:extLst>
              <a:ext uri="{FF2B5EF4-FFF2-40B4-BE49-F238E27FC236}">
                <a16:creationId xmlns:a16="http://schemas.microsoft.com/office/drawing/2014/main" id="{FD05BCF8-1C0C-BDAD-E3CE-0D2969284074}"/>
              </a:ext>
            </a:extLst>
          </xdr:cNvPr>
          <xdr:cNvSpPr/>
        </xdr:nvSpPr>
        <xdr:spPr>
          <a:xfrm>
            <a:off x="9738358" y="914400"/>
            <a:ext cx="1102826" cy="1863090"/>
          </a:xfrm>
          <a:prstGeom prst="rect">
            <a:avLst/>
          </a:prstGeom>
          <a:noFill/>
          <a:ln w="1905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sz="800">
              <a:solidFill>
                <a:schemeClr val="tx1">
                  <a:lumMod val="85000"/>
                  <a:lumOff val="15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39</xdr:col>
          <xdr:colOff>28575</xdr:colOff>
          <xdr:row>1</xdr:row>
          <xdr:rowOff>28575</xdr:rowOff>
        </xdr:from>
        <xdr:to>
          <xdr:col>39</xdr:col>
          <xdr:colOff>447675</xdr:colOff>
          <xdr:row>1</xdr:row>
          <xdr:rowOff>180975</xdr:rowOff>
        </xdr:to>
        <xdr:sp macro="" textlink="">
          <xdr:nvSpPr>
            <xdr:cNvPr id="7188" name="Button 20" descr="Adapt ME" hidden="1">
              <a:extLst>
                <a:ext uri="{63B3BB69-23CF-44E3-9099-C40C66FF867C}">
                  <a14:compatExt spid="_x0000_s7188"/>
                </a:ext>
                <a:ext uri="{FF2B5EF4-FFF2-40B4-BE49-F238E27FC236}">
                  <a16:creationId xmlns:a16="http://schemas.microsoft.com/office/drawing/2014/main" id="{11984B20-5541-43CB-87CF-7396DD0C79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Add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28575</xdr:colOff>
          <xdr:row>3</xdr:row>
          <xdr:rowOff>28575</xdr:rowOff>
        </xdr:from>
        <xdr:to>
          <xdr:col>39</xdr:col>
          <xdr:colOff>447675</xdr:colOff>
          <xdr:row>3</xdr:row>
          <xdr:rowOff>180975</xdr:rowOff>
        </xdr:to>
        <xdr:sp macro="" textlink="">
          <xdr:nvSpPr>
            <xdr:cNvPr id="7189" name="Button 21" descr="Adapt ME" hidden="1">
              <a:extLst>
                <a:ext uri="{63B3BB69-23CF-44E3-9099-C40C66FF867C}">
                  <a14:compatExt spid="_x0000_s7189"/>
                </a:ext>
                <a:ext uri="{FF2B5EF4-FFF2-40B4-BE49-F238E27FC236}">
                  <a16:creationId xmlns:a16="http://schemas.microsoft.com/office/drawing/2014/main" id="{A75C51A8-9946-4117-9180-4840E4FF14F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Del. 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28575</xdr:colOff>
          <xdr:row>2</xdr:row>
          <xdr:rowOff>28575</xdr:rowOff>
        </xdr:from>
        <xdr:to>
          <xdr:col>39</xdr:col>
          <xdr:colOff>447675</xdr:colOff>
          <xdr:row>2</xdr:row>
          <xdr:rowOff>180975</xdr:rowOff>
        </xdr:to>
        <xdr:sp macro="" textlink="">
          <xdr:nvSpPr>
            <xdr:cNvPr id="7190" name="Button 22" descr="Adapt ME" hidden="1">
              <a:extLst>
                <a:ext uri="{63B3BB69-23CF-44E3-9099-C40C66FF867C}">
                  <a14:compatExt spid="_x0000_s7190"/>
                </a:ext>
                <a:ext uri="{FF2B5EF4-FFF2-40B4-BE49-F238E27FC236}">
                  <a16:creationId xmlns:a16="http://schemas.microsoft.com/office/drawing/2014/main" id="{163468F6-0851-4215-BD26-5DB3628A9E5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Clear 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74</xdr:row>
      <xdr:rowOff>0</xdr:rowOff>
    </xdr:from>
    <xdr:to>
      <xdr:col>4</xdr:col>
      <xdr:colOff>0</xdr:colOff>
      <xdr:row>77</xdr:row>
      <xdr:rowOff>0</xdr:rowOff>
    </xdr:to>
    <xdr:graphicFrame macro="">
      <xdr:nvGraphicFramePr>
        <xdr:cNvPr id="7" name="Diagramm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032__SE\030__Projekte\050_CID\00_Austausch\Kastner\CDD_MBLU_AUO\Reifegradmanagement\20241014_DRAFT_Implementation%20Plan_ALL_preliminaryversion_final_Feedback_Reza.xlsm" TargetMode="External"/><Relationship Id="rId1" Type="http://schemas.openxmlformats.org/officeDocument/2006/relationships/externalLinkPath" Target="20241014_DRAFT_Implementation%20Plan_ALL_preliminaryversion_final_Feedback_Rez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P 07-2027_LCM&amp;CG"/>
      <sheetName val="SOP 07-2025_Touch"/>
      <sheetName val="Hardware"/>
      <sheetName val="Software"/>
      <sheetName val="DropDown"/>
      <sheetName val="SOP 27-2024_Mech"/>
      <sheetName val="SOP 27-2024_HW"/>
      <sheetName val="SOP 27-2024_SW"/>
      <sheetName val="SOP 27-2024_FuSa"/>
      <sheetName val="SOP 27-2024_ALS"/>
      <sheetName val="SOP 27-2024_BLU"/>
    </sheetNames>
    <sheetDataSet>
      <sheetData sheetId="0"/>
      <sheetData sheetId="1"/>
      <sheetData sheetId="2"/>
      <sheetData sheetId="3"/>
      <sheetData sheetId="4">
        <row r="2">
          <cell r="A2" t="str">
            <v>A</v>
          </cell>
          <cell r="B2" t="str">
            <v>-</v>
          </cell>
          <cell r="C2" t="str">
            <v>-</v>
          </cell>
          <cell r="D2" t="str">
            <v>-</v>
          </cell>
          <cell r="E2" t="str">
            <v>-</v>
          </cell>
          <cell r="F2" t="e">
            <v>#REF!</v>
          </cell>
          <cell r="G2" t="e">
            <v>#REF!</v>
          </cell>
        </row>
        <row r="3">
          <cell r="A3" t="str">
            <v>T</v>
          </cell>
          <cell r="B3" t="str">
            <v>MS1</v>
          </cell>
          <cell r="C3" t="str">
            <v>RG1</v>
          </cell>
          <cell r="D3" t="str">
            <v>tbd</v>
          </cell>
          <cell r="E3" t="str">
            <v>tbd</v>
          </cell>
        </row>
        <row r="4">
          <cell r="A4" t="str">
            <v>S</v>
          </cell>
          <cell r="B4" t="str">
            <v>MS2</v>
          </cell>
          <cell r="C4" t="str">
            <v>RG2</v>
          </cell>
          <cell r="D4" t="str">
            <v>A0</v>
          </cell>
          <cell r="E4" t="str">
            <v>A-80</v>
          </cell>
        </row>
        <row r="5">
          <cell r="B5" t="str">
            <v>MS3</v>
          </cell>
          <cell r="C5" t="str">
            <v>RG3</v>
          </cell>
          <cell r="D5" t="str">
            <v>A1</v>
          </cell>
          <cell r="E5" t="str">
            <v>A-90</v>
          </cell>
        </row>
        <row r="6">
          <cell r="B6" t="str">
            <v>MS4</v>
          </cell>
          <cell r="C6" t="str">
            <v>RG4</v>
          </cell>
          <cell r="D6" t="str">
            <v>A2</v>
          </cell>
          <cell r="E6" t="str">
            <v>A-100</v>
          </cell>
        </row>
        <row r="7">
          <cell r="B7" t="str">
            <v>MS5</v>
          </cell>
          <cell r="C7" t="str">
            <v>RG5</v>
          </cell>
          <cell r="D7" t="str">
            <v>A3</v>
          </cell>
          <cell r="E7" t="str">
            <v>A-110</v>
          </cell>
        </row>
        <row r="8">
          <cell r="B8" t="str">
            <v>MS6</v>
          </cell>
          <cell r="C8" t="str">
            <v>RG6</v>
          </cell>
          <cell r="D8" t="str">
            <v>B0</v>
          </cell>
          <cell r="E8" t="str">
            <v>A-120</v>
          </cell>
        </row>
        <row r="9">
          <cell r="B9" t="str">
            <v>MS7</v>
          </cell>
          <cell r="D9" t="str">
            <v>B1</v>
          </cell>
          <cell r="E9" t="str">
            <v>A-130</v>
          </cell>
        </row>
        <row r="10">
          <cell r="B10" t="str">
            <v>MS8</v>
          </cell>
          <cell r="D10" t="str">
            <v>B2</v>
          </cell>
          <cell r="E10" t="str">
            <v>A-140</v>
          </cell>
        </row>
        <row r="11">
          <cell r="D11" t="str">
            <v>B3</v>
          </cell>
          <cell r="E11" t="str">
            <v>A-150</v>
          </cell>
        </row>
        <row r="12">
          <cell r="D12" t="str">
            <v>C0</v>
          </cell>
          <cell r="E12" t="str">
            <v>A-160</v>
          </cell>
        </row>
        <row r="13">
          <cell r="D13" t="str">
            <v>C1</v>
          </cell>
          <cell r="E13" t="str">
            <v>A-170</v>
          </cell>
        </row>
        <row r="14">
          <cell r="D14" t="str">
            <v>C2</v>
          </cell>
          <cell r="E14" t="str">
            <v>A-180</v>
          </cell>
        </row>
        <row r="15">
          <cell r="D15" t="str">
            <v>C3</v>
          </cell>
          <cell r="E15" t="str">
            <v>A-190</v>
          </cell>
        </row>
        <row r="16">
          <cell r="D16" t="str">
            <v>D0</v>
          </cell>
          <cell r="E16" t="str">
            <v>A-200</v>
          </cell>
        </row>
        <row r="17">
          <cell r="D17" t="str">
            <v>D1</v>
          </cell>
          <cell r="E17" t="str">
            <v>A-210</v>
          </cell>
        </row>
        <row r="18">
          <cell r="E18" t="str">
            <v>A-220</v>
          </cell>
        </row>
        <row r="19">
          <cell r="E19" t="str">
            <v>A-230</v>
          </cell>
        </row>
        <row r="20">
          <cell r="E20" t="str">
            <v>A-240</v>
          </cell>
        </row>
        <row r="21">
          <cell r="E21" t="str">
            <v>A-250</v>
          </cell>
        </row>
        <row r="22">
          <cell r="E22" t="str">
            <v>A-260</v>
          </cell>
        </row>
        <row r="23">
          <cell r="E23" t="str">
            <v>A-270</v>
          </cell>
        </row>
        <row r="24">
          <cell r="E24" t="str">
            <v>A-280</v>
          </cell>
        </row>
        <row r="25">
          <cell r="E25" t="str">
            <v>A-290</v>
          </cell>
        </row>
        <row r="26">
          <cell r="E26" t="str">
            <v>A-300</v>
          </cell>
        </row>
        <row r="27">
          <cell r="E27" t="str">
            <v>A-310</v>
          </cell>
        </row>
        <row r="28">
          <cell r="E28" t="str">
            <v>A-320</v>
          </cell>
        </row>
        <row r="29">
          <cell r="E29" t="str">
            <v>A-330</v>
          </cell>
        </row>
        <row r="30">
          <cell r="E30" t="str">
            <v>A-340</v>
          </cell>
        </row>
        <row r="31">
          <cell r="E31" t="str">
            <v>A-350</v>
          </cell>
        </row>
        <row r="32">
          <cell r="E32" t="str">
            <v>A-360</v>
          </cell>
        </row>
        <row r="33">
          <cell r="E33" t="str">
            <v>A-370</v>
          </cell>
        </row>
        <row r="34">
          <cell r="E34" t="str">
            <v>A-380</v>
          </cell>
        </row>
        <row r="35">
          <cell r="E35" t="str">
            <v>A-390</v>
          </cell>
        </row>
        <row r="36">
          <cell r="E36" t="str">
            <v>A-400</v>
          </cell>
        </row>
        <row r="37">
          <cell r="E37" t="str">
            <v>A-410</v>
          </cell>
        </row>
        <row r="38">
          <cell r="E38" t="str">
            <v>A-420</v>
          </cell>
        </row>
        <row r="39">
          <cell r="E39" t="str">
            <v>A-430</v>
          </cell>
        </row>
        <row r="40">
          <cell r="E40" t="str">
            <v>A-440</v>
          </cell>
        </row>
        <row r="41">
          <cell r="E41" t="str">
            <v>A-450</v>
          </cell>
        </row>
        <row r="42">
          <cell r="E42" t="str">
            <v>A-460</v>
          </cell>
        </row>
        <row r="43">
          <cell r="E43" t="str">
            <v>A-470</v>
          </cell>
        </row>
        <row r="44">
          <cell r="E44" t="str">
            <v>A-480</v>
          </cell>
        </row>
        <row r="45">
          <cell r="E45" t="str">
            <v>A-490</v>
          </cell>
        </row>
        <row r="46">
          <cell r="E46" t="str">
            <v>A-500</v>
          </cell>
        </row>
        <row r="79">
          <cell r="B79" t="str">
            <v>MS1</v>
          </cell>
          <cell r="C79" t="str">
            <v>MS2</v>
          </cell>
          <cell r="D79" t="str">
            <v>MS3</v>
          </cell>
          <cell r="E79" t="str">
            <v>MS4</v>
          </cell>
          <cell r="F79" t="str">
            <v>-</v>
          </cell>
          <cell r="G79" t="str">
            <v>-</v>
          </cell>
        </row>
        <row r="80">
          <cell r="A80">
            <v>45622</v>
          </cell>
          <cell r="B80">
            <v>45260</v>
          </cell>
          <cell r="C80">
            <v>45397</v>
          </cell>
          <cell r="D80">
            <v>45562</v>
          </cell>
          <cell r="E80">
            <v>45589</v>
          </cell>
          <cell r="F80">
            <v>45597</v>
          </cell>
          <cell r="G80">
            <v>45717</v>
          </cell>
        </row>
      </sheetData>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E1D6-304A-47E5-83FB-DFB7F657C0DE}">
  <sheetPr codeName="Tabelle8"/>
  <dimension ref="A1:BO50"/>
  <sheetViews>
    <sheetView tabSelected="1" zoomScale="90" zoomScaleNormal="90" workbookViewId="0">
      <selection activeCell="A137" sqref="A45:XFD137"/>
    </sheetView>
  </sheetViews>
  <sheetFormatPr baseColWidth="10" defaultColWidth="10.875" defaultRowHeight="13.5"/>
  <cols>
    <col min="1" max="1" width="34" style="90" bestFit="1" customWidth="1"/>
    <col min="2" max="2" width="66.5" style="90" customWidth="1"/>
    <col min="3" max="3" width="11.75" style="90" customWidth="1"/>
    <col min="4" max="5" width="10.875" style="90"/>
    <col min="6" max="6" width="20.5" style="90" customWidth="1"/>
    <col min="7" max="8" width="10.875" style="90"/>
    <col min="9" max="14" width="4.125" style="90" bestFit="1" customWidth="1"/>
    <col min="15" max="16384" width="10.875" style="90"/>
  </cols>
  <sheetData>
    <row r="1" spans="1:67" s="91" customFormat="1" ht="17.100000000000001" customHeight="1" thickBot="1">
      <c r="A1" s="100"/>
      <c r="B1" s="129"/>
      <c r="C1" s="129" t="s">
        <v>121</v>
      </c>
      <c r="D1" s="177"/>
      <c r="E1" s="177"/>
      <c r="F1" s="178"/>
      <c r="G1" s="158"/>
      <c r="H1" s="155" t="s">
        <v>122</v>
      </c>
      <c r="I1" s="24" t="s">
        <v>13</v>
      </c>
      <c r="J1" s="25"/>
      <c r="K1" s="25"/>
      <c r="L1" s="25"/>
      <c r="M1" s="25"/>
      <c r="N1" s="26"/>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3"/>
      <c r="BL1" s="120"/>
    </row>
    <row r="2" spans="1:67" s="91" customFormat="1" ht="15" customHeight="1">
      <c r="A2" s="101"/>
      <c r="D2" s="152"/>
      <c r="E2" s="152"/>
      <c r="F2" s="152"/>
      <c r="G2" s="159"/>
      <c r="H2" s="153"/>
      <c r="I2" s="48" t="s">
        <v>9</v>
      </c>
      <c r="J2" s="39" t="s">
        <v>10</v>
      </c>
      <c r="K2" s="42" t="s">
        <v>2</v>
      </c>
      <c r="L2" s="45" t="s">
        <v>3</v>
      </c>
      <c r="M2" s="27" t="s">
        <v>4</v>
      </c>
      <c r="N2" s="30" t="s">
        <v>12</v>
      </c>
      <c r="O2" s="123"/>
      <c r="P2" s="51" t="s">
        <v>18</v>
      </c>
      <c r="Q2" s="51"/>
      <c r="R2" s="124" t="s">
        <v>106</v>
      </c>
      <c r="S2" s="125">
        <f ca="1">(R45/(R46+R45))*100</f>
        <v>15.151515151515152</v>
      </c>
      <c r="T2" s="123"/>
      <c r="U2" s="51" t="s">
        <v>19</v>
      </c>
      <c r="V2" s="51"/>
      <c r="W2" s="124" t="s">
        <v>106</v>
      </c>
      <c r="X2" s="125">
        <f ca="1">(W45/(W46+W45))*100</f>
        <v>15.151515151515152</v>
      </c>
      <c r="Y2" s="123"/>
      <c r="Z2" s="51" t="s">
        <v>16</v>
      </c>
      <c r="AA2" s="51"/>
      <c r="AB2" s="124" t="s">
        <v>106</v>
      </c>
      <c r="AC2" s="125">
        <f ca="1">(AB45/(AB46+AB45))*100</f>
        <v>15.151515151515152</v>
      </c>
      <c r="AD2" s="123"/>
      <c r="AE2" s="51" t="s">
        <v>22</v>
      </c>
      <c r="AF2" s="51"/>
      <c r="AG2" s="124" t="s">
        <v>106</v>
      </c>
      <c r="AH2" s="125">
        <f ca="1">(AG45/(AG46+AG45))*100</f>
        <v>15.151515151515152</v>
      </c>
      <c r="AI2" s="123"/>
      <c r="AJ2" s="51" t="s">
        <v>95</v>
      </c>
      <c r="AK2" s="51"/>
      <c r="AL2" s="124" t="s">
        <v>106</v>
      </c>
      <c r="AM2" s="125">
        <f ca="1">(AL45/(AL46+AL45))*100</f>
        <v>15.151515151515152</v>
      </c>
      <c r="AN2" s="123"/>
      <c r="AO2" s="51" t="s">
        <v>95</v>
      </c>
      <c r="AP2" s="51"/>
      <c r="AQ2" s="124" t="s">
        <v>106</v>
      </c>
      <c r="AR2" s="125">
        <f ca="1">(AQ45/(AQ46+AQ45))*100</f>
        <v>15.151515151515152</v>
      </c>
      <c r="AS2" s="33"/>
      <c r="AT2" s="34"/>
      <c r="AU2" s="34"/>
      <c r="AV2" s="34"/>
      <c r="AW2" s="34"/>
      <c r="AX2" s="34"/>
      <c r="AY2" s="34"/>
      <c r="AZ2" s="34"/>
      <c r="BA2" s="34"/>
      <c r="BB2" s="34"/>
      <c r="BC2" s="34"/>
      <c r="BD2" s="34"/>
      <c r="BE2" s="34"/>
      <c r="BF2" s="34"/>
      <c r="BG2" s="34"/>
      <c r="BH2" s="34"/>
      <c r="BI2" s="34"/>
      <c r="BJ2" s="34"/>
      <c r="BK2" s="69"/>
      <c r="BL2" s="113"/>
    </row>
    <row r="3" spans="1:67" s="91" customFormat="1" ht="15" customHeight="1">
      <c r="A3" s="101"/>
      <c r="D3" s="152"/>
      <c r="E3" s="152"/>
      <c r="F3" s="152"/>
      <c r="G3" s="159"/>
      <c r="H3" s="154"/>
      <c r="I3" s="49"/>
      <c r="J3" s="40"/>
      <c r="K3" s="43"/>
      <c r="L3" s="46"/>
      <c r="M3" s="28"/>
      <c r="N3" s="31"/>
      <c r="O3" s="104"/>
      <c r="P3" s="58">
        <v>45260</v>
      </c>
      <c r="Q3" s="58"/>
      <c r="R3" s="105" t="s">
        <v>107</v>
      </c>
      <c r="S3" s="107" t="e">
        <f>(#REF!/(#REF!+#REF!))*100</f>
        <v>#REF!</v>
      </c>
      <c r="T3" s="104"/>
      <c r="U3" s="58">
        <v>45397</v>
      </c>
      <c r="V3" s="58"/>
      <c r="W3" s="105" t="s">
        <v>107</v>
      </c>
      <c r="X3" s="107" t="e">
        <f>(#REF!/(#REF!+#REF!))*100</f>
        <v>#REF!</v>
      </c>
      <c r="Y3" s="104"/>
      <c r="Z3" s="58">
        <v>45534</v>
      </c>
      <c r="AA3" s="58"/>
      <c r="AB3" s="105" t="s">
        <v>107</v>
      </c>
      <c r="AC3" s="107" t="e">
        <f>(#REF!/(#REF!+#REF!))*100</f>
        <v>#REF!</v>
      </c>
      <c r="AD3" s="104"/>
      <c r="AE3" s="58">
        <v>45589</v>
      </c>
      <c r="AF3" s="58"/>
      <c r="AG3" s="105" t="s">
        <v>107</v>
      </c>
      <c r="AH3" s="107" t="e">
        <f>(#REF!/(#REF!+#REF!))*100</f>
        <v>#REF!</v>
      </c>
      <c r="AI3" s="104"/>
      <c r="AJ3" s="58">
        <v>45597</v>
      </c>
      <c r="AK3" s="58"/>
      <c r="AL3" s="105" t="s">
        <v>107</v>
      </c>
      <c r="AM3" s="107" t="e">
        <f>(#REF!/(#REF!+#REF!))*100</f>
        <v>#REF!</v>
      </c>
      <c r="AN3" s="104"/>
      <c r="AO3" s="58">
        <v>45717</v>
      </c>
      <c r="AP3" s="58"/>
      <c r="AQ3" s="105" t="s">
        <v>107</v>
      </c>
      <c r="AR3" s="107" t="e">
        <f>(#REF!/(#REF!+#REF!))*100</f>
        <v>#REF!</v>
      </c>
      <c r="AS3" s="35"/>
      <c r="AT3" s="36"/>
      <c r="AU3" s="36"/>
      <c r="AV3" s="36"/>
      <c r="AW3" s="36"/>
      <c r="AX3" s="36"/>
      <c r="AY3" s="36"/>
      <c r="AZ3" s="36"/>
      <c r="BA3" s="36"/>
      <c r="BB3" s="36"/>
      <c r="BC3" s="36"/>
      <c r="BD3" s="36"/>
      <c r="BE3" s="36"/>
      <c r="BF3" s="36"/>
      <c r="BG3" s="36"/>
      <c r="BH3" s="36"/>
      <c r="BI3" s="36"/>
      <c r="BJ3" s="36"/>
      <c r="BK3" s="68"/>
      <c r="BL3" s="113"/>
    </row>
    <row r="4" spans="1:67" s="91" customFormat="1" ht="15" customHeight="1">
      <c r="A4" s="149"/>
      <c r="D4" s="156" t="s">
        <v>101</v>
      </c>
      <c r="E4" s="160" t="s">
        <v>102</v>
      </c>
      <c r="F4" s="156" t="s">
        <v>11</v>
      </c>
      <c r="G4" s="160" t="s">
        <v>100</v>
      </c>
      <c r="H4" s="156" t="s">
        <v>103</v>
      </c>
      <c r="I4" s="49"/>
      <c r="J4" s="40"/>
      <c r="K4" s="43"/>
      <c r="L4" s="46"/>
      <c r="M4" s="28"/>
      <c r="N4" s="31"/>
      <c r="O4" s="103"/>
      <c r="P4" s="121" t="s">
        <v>95</v>
      </c>
      <c r="Q4" s="122" t="s">
        <v>95</v>
      </c>
      <c r="R4" s="106" t="s">
        <v>108</v>
      </c>
      <c r="S4" s="108" t="e">
        <f>(#REF!/(#REF!+#REF!))*100</f>
        <v>#REF!</v>
      </c>
      <c r="T4" s="103"/>
      <c r="U4" s="121" t="s">
        <v>95</v>
      </c>
      <c r="V4" s="122" t="s">
        <v>31</v>
      </c>
      <c r="W4" s="106" t="s">
        <v>108</v>
      </c>
      <c r="X4" s="108" t="e">
        <f>(#REF!/(#REF!+#REF!))*100</f>
        <v>#REF!</v>
      </c>
      <c r="Y4" s="103"/>
      <c r="Z4" s="121" t="s">
        <v>49</v>
      </c>
      <c r="AA4" s="122" t="s">
        <v>17</v>
      </c>
      <c r="AB4" s="106" t="s">
        <v>108</v>
      </c>
      <c r="AC4" s="108" t="e">
        <f>(#REF!/(#REF!+#REF!))*100</f>
        <v>#REF!</v>
      </c>
      <c r="AD4" s="103"/>
      <c r="AE4" s="121" t="s">
        <v>51</v>
      </c>
      <c r="AF4" s="122" t="s">
        <v>20</v>
      </c>
      <c r="AG4" s="106" t="s">
        <v>108</v>
      </c>
      <c r="AH4" s="108" t="e">
        <f>(#REF!/(#REF!+#REF!))*100</f>
        <v>#REF!</v>
      </c>
      <c r="AI4" s="103"/>
      <c r="AJ4" s="121" t="s">
        <v>95</v>
      </c>
      <c r="AK4" s="122" t="s">
        <v>95</v>
      </c>
      <c r="AL4" s="106" t="s">
        <v>108</v>
      </c>
      <c r="AM4" s="108" t="e">
        <f>(#REF!/(#REF!+#REF!))*100</f>
        <v>#REF!</v>
      </c>
      <c r="AN4" s="103"/>
      <c r="AO4" s="121" t="s">
        <v>95</v>
      </c>
      <c r="AP4" s="122" t="s">
        <v>95</v>
      </c>
      <c r="AQ4" s="106" t="s">
        <v>108</v>
      </c>
      <c r="AR4" s="108" t="e">
        <f>(#REF!/(#REF!+#REF!))*100</f>
        <v>#REF!</v>
      </c>
      <c r="AS4" s="37"/>
      <c r="AT4" s="38"/>
      <c r="AU4" s="38"/>
      <c r="AV4" s="38"/>
      <c r="AW4" s="38"/>
      <c r="AX4" s="38"/>
      <c r="AY4" s="38"/>
      <c r="AZ4" s="38"/>
      <c r="BA4" s="38"/>
      <c r="BB4" s="38"/>
      <c r="BC4" s="38"/>
      <c r="BD4" s="38"/>
      <c r="BE4" s="38"/>
      <c r="BF4" s="38"/>
      <c r="BG4" s="38"/>
      <c r="BH4" s="38"/>
      <c r="BI4" s="38"/>
      <c r="BJ4" s="38"/>
      <c r="BK4" s="89"/>
      <c r="BL4" s="113"/>
    </row>
    <row r="5" spans="1:67" s="91" customFormat="1" ht="14.25" customHeight="1">
      <c r="A5" s="101"/>
      <c r="D5" s="167"/>
      <c r="E5" s="168"/>
      <c r="F5" s="71"/>
      <c r="G5" s="71"/>
      <c r="H5" s="150"/>
      <c r="I5" s="49"/>
      <c r="J5" s="40"/>
      <c r="K5" s="43"/>
      <c r="L5" s="46"/>
      <c r="M5" s="28"/>
      <c r="N5" s="31"/>
      <c r="O5" s="52" t="s">
        <v>123</v>
      </c>
      <c r="P5" s="53"/>
      <c r="Q5" s="53"/>
      <c r="R5" s="53"/>
      <c r="S5" s="54"/>
      <c r="T5" s="52" t="s">
        <v>124</v>
      </c>
      <c r="U5" s="53"/>
      <c r="V5" s="53"/>
      <c r="W5" s="53"/>
      <c r="X5" s="54"/>
      <c r="Y5" s="52" t="s">
        <v>125</v>
      </c>
      <c r="Z5" s="53"/>
      <c r="AA5" s="53"/>
      <c r="AB5" s="53"/>
      <c r="AC5" s="54"/>
      <c r="AD5" s="52" t="s">
        <v>126</v>
      </c>
      <c r="AE5" s="53"/>
      <c r="AF5" s="53"/>
      <c r="AG5" s="53"/>
      <c r="AH5" s="54"/>
      <c r="AI5" s="52" t="s">
        <v>127</v>
      </c>
      <c r="AJ5" s="53"/>
      <c r="AK5" s="53"/>
      <c r="AL5" s="53"/>
      <c r="AM5" s="54"/>
      <c r="AN5" s="52" t="s">
        <v>128</v>
      </c>
      <c r="AO5" s="53"/>
      <c r="AP5" s="53"/>
      <c r="AQ5" s="53"/>
      <c r="AR5" s="54"/>
      <c r="AS5" s="61" t="s">
        <v>87</v>
      </c>
      <c r="AT5" s="62"/>
      <c r="AU5" s="62"/>
      <c r="AV5" s="62"/>
      <c r="AW5" s="62"/>
      <c r="AX5" s="63"/>
      <c r="AY5" s="61" t="s">
        <v>90</v>
      </c>
      <c r="AZ5" s="62"/>
      <c r="BA5" s="62"/>
      <c r="BB5" s="62"/>
      <c r="BC5" s="62"/>
      <c r="BD5" s="63"/>
      <c r="BE5" s="61" t="s">
        <v>88</v>
      </c>
      <c r="BF5" s="62"/>
      <c r="BG5" s="62"/>
      <c r="BH5" s="62"/>
      <c r="BI5" s="62"/>
      <c r="BJ5" s="63"/>
      <c r="BK5" s="79" t="s">
        <v>91</v>
      </c>
      <c r="BL5" s="92"/>
    </row>
    <row r="6" spans="1:67" s="91" customFormat="1" ht="15" customHeight="1" thickBot="1">
      <c r="A6" s="101"/>
      <c r="D6" s="169"/>
      <c r="E6" s="170"/>
      <c r="F6" s="70"/>
      <c r="G6" s="70"/>
      <c r="H6" s="151"/>
      <c r="I6" s="50"/>
      <c r="J6" s="41"/>
      <c r="K6" s="44"/>
      <c r="L6" s="47"/>
      <c r="M6" s="29"/>
      <c r="N6" s="32"/>
      <c r="O6" s="55"/>
      <c r="P6" s="56"/>
      <c r="Q6" s="56"/>
      <c r="R6" s="56"/>
      <c r="S6" s="57"/>
      <c r="T6" s="55"/>
      <c r="U6" s="56"/>
      <c r="V6" s="56"/>
      <c r="W6" s="56"/>
      <c r="X6" s="57"/>
      <c r="Y6" s="55"/>
      <c r="Z6" s="56"/>
      <c r="AA6" s="56"/>
      <c r="AB6" s="56"/>
      <c r="AC6" s="57"/>
      <c r="AD6" s="55"/>
      <c r="AE6" s="56"/>
      <c r="AF6" s="56"/>
      <c r="AG6" s="56"/>
      <c r="AH6" s="57"/>
      <c r="AI6" s="55"/>
      <c r="AJ6" s="56"/>
      <c r="AK6" s="56"/>
      <c r="AL6" s="56"/>
      <c r="AM6" s="57"/>
      <c r="AN6" s="55"/>
      <c r="AO6" s="56"/>
      <c r="AP6" s="56"/>
      <c r="AQ6" s="56"/>
      <c r="AR6" s="57"/>
      <c r="AS6" s="64"/>
      <c r="AT6" s="65"/>
      <c r="AU6" s="65"/>
      <c r="AV6" s="65"/>
      <c r="AW6" s="65"/>
      <c r="AX6" s="66"/>
      <c r="AY6" s="64"/>
      <c r="AZ6" s="65"/>
      <c r="BA6" s="65"/>
      <c r="BB6" s="65"/>
      <c r="BC6" s="65"/>
      <c r="BD6" s="66"/>
      <c r="BE6" s="64"/>
      <c r="BF6" s="65"/>
      <c r="BG6" s="65"/>
      <c r="BH6" s="65"/>
      <c r="BI6" s="65"/>
      <c r="BJ6" s="66"/>
      <c r="BK6" s="78"/>
      <c r="BL6" s="92"/>
    </row>
    <row r="7" spans="1:67" s="91" customFormat="1" ht="15" customHeight="1" thickBot="1">
      <c r="A7" s="101"/>
      <c r="D7" s="199"/>
      <c r="E7" s="200"/>
      <c r="F7" s="201"/>
      <c r="G7" s="201"/>
      <c r="H7" s="202"/>
      <c r="I7" s="203"/>
      <c r="J7" s="204" t="s">
        <v>129</v>
      </c>
      <c r="K7" s="205" t="s">
        <v>130</v>
      </c>
      <c r="L7" s="206" t="s">
        <v>131</v>
      </c>
      <c r="M7" s="207" t="s">
        <v>132</v>
      </c>
      <c r="N7" s="208" t="s">
        <v>133</v>
      </c>
      <c r="O7" s="209"/>
      <c r="P7" s="209"/>
      <c r="Q7" s="209"/>
      <c r="R7" s="209"/>
      <c r="S7" s="209"/>
      <c r="T7" s="209"/>
      <c r="U7" s="209"/>
      <c r="V7" s="209"/>
      <c r="W7" s="209"/>
      <c r="X7" s="209"/>
      <c r="Y7" s="209"/>
      <c r="Z7" s="209"/>
      <c r="AA7" s="209"/>
      <c r="AB7" s="209"/>
      <c r="AC7" s="209"/>
      <c r="AD7" s="209"/>
      <c r="AE7" s="209"/>
      <c r="AF7" s="209"/>
      <c r="AG7" s="209"/>
      <c r="AH7" s="209"/>
      <c r="AI7" s="209"/>
      <c r="AJ7" s="209"/>
      <c r="AK7" s="209"/>
      <c r="AL7" s="209"/>
      <c r="AM7" s="209"/>
      <c r="AN7" s="209"/>
      <c r="AO7" s="209"/>
      <c r="AP7" s="209"/>
      <c r="AQ7" s="209"/>
      <c r="AR7" s="209"/>
      <c r="AS7" s="94"/>
      <c r="AT7" s="94"/>
      <c r="AU7" s="94"/>
      <c r="AV7" s="94"/>
      <c r="AW7" s="94"/>
      <c r="AX7" s="210"/>
      <c r="AY7" s="211"/>
      <c r="AZ7" s="94"/>
      <c r="BA7" s="94"/>
      <c r="BB7" s="94"/>
      <c r="BC7" s="94"/>
      <c r="BD7" s="210"/>
      <c r="BE7" s="211"/>
      <c r="BF7" s="94"/>
      <c r="BG7" s="94"/>
      <c r="BH7" s="94"/>
      <c r="BI7" s="94"/>
      <c r="BJ7" s="210"/>
      <c r="BK7" s="78"/>
      <c r="BL7" s="92"/>
    </row>
    <row r="8" spans="1:67" s="94" customFormat="1" ht="48.75" thickBot="1">
      <c r="A8" s="179" t="s">
        <v>0</v>
      </c>
      <c r="B8" s="76" t="s">
        <v>14</v>
      </c>
      <c r="C8" s="75"/>
      <c r="D8" s="75"/>
      <c r="E8" s="74"/>
      <c r="F8" s="157" t="s">
        <v>15</v>
      </c>
      <c r="G8" s="161" t="s">
        <v>11</v>
      </c>
      <c r="H8" s="148" t="s">
        <v>27</v>
      </c>
      <c r="I8" s="73" t="s">
        <v>109</v>
      </c>
      <c r="J8" s="75"/>
      <c r="K8" s="75"/>
      <c r="L8" s="75"/>
      <c r="M8" s="75"/>
      <c r="N8" s="72"/>
      <c r="O8" s="180" t="s">
        <v>134</v>
      </c>
      <c r="P8" s="181" t="s">
        <v>8</v>
      </c>
      <c r="Q8" s="182" t="s">
        <v>105</v>
      </c>
      <c r="R8" s="183" t="s">
        <v>85</v>
      </c>
      <c r="S8" s="184" t="s">
        <v>82</v>
      </c>
      <c r="T8" s="180" t="s">
        <v>1</v>
      </c>
      <c r="U8" s="181" t="s">
        <v>8</v>
      </c>
      <c r="V8" s="182" t="s">
        <v>105</v>
      </c>
      <c r="W8" s="183" t="s">
        <v>85</v>
      </c>
      <c r="X8" s="184" t="s">
        <v>82</v>
      </c>
      <c r="Y8" s="180" t="s">
        <v>1</v>
      </c>
      <c r="Z8" s="181" t="s">
        <v>8</v>
      </c>
      <c r="AA8" s="182" t="s">
        <v>105</v>
      </c>
      <c r="AB8" s="183" t="s">
        <v>85</v>
      </c>
      <c r="AC8" s="184" t="s">
        <v>82</v>
      </c>
      <c r="AD8" s="180" t="s">
        <v>1</v>
      </c>
      <c r="AE8" s="181" t="s">
        <v>8</v>
      </c>
      <c r="AF8" s="182" t="s">
        <v>105</v>
      </c>
      <c r="AG8" s="183" t="s">
        <v>85</v>
      </c>
      <c r="AH8" s="184" t="s">
        <v>82</v>
      </c>
      <c r="AI8" s="180" t="s">
        <v>1</v>
      </c>
      <c r="AJ8" s="181" t="s">
        <v>8</v>
      </c>
      <c r="AK8" s="182" t="s">
        <v>105</v>
      </c>
      <c r="AL8" s="183" t="s">
        <v>85</v>
      </c>
      <c r="AM8" s="184" t="s">
        <v>82</v>
      </c>
      <c r="AN8" s="180" t="s">
        <v>1</v>
      </c>
      <c r="AO8" s="181" t="s">
        <v>8</v>
      </c>
      <c r="AP8" s="182" t="s">
        <v>105</v>
      </c>
      <c r="AQ8" s="183" t="s">
        <v>85</v>
      </c>
      <c r="AR8" s="184" t="s">
        <v>82</v>
      </c>
      <c r="AS8" s="186" t="s">
        <v>95</v>
      </c>
      <c r="AT8" s="187" t="s">
        <v>95</v>
      </c>
      <c r="AU8" s="185" t="s">
        <v>95</v>
      </c>
      <c r="AV8" s="188" t="s">
        <v>95</v>
      </c>
      <c r="AW8" s="189" t="s">
        <v>95</v>
      </c>
      <c r="AX8" s="190" t="s">
        <v>95</v>
      </c>
      <c r="AY8" s="191" t="s">
        <v>95</v>
      </c>
      <c r="AZ8" s="187" t="s">
        <v>95</v>
      </c>
      <c r="BA8" s="185" t="s">
        <v>95</v>
      </c>
      <c r="BB8" s="188" t="s">
        <v>95</v>
      </c>
      <c r="BC8" s="189" t="s">
        <v>95</v>
      </c>
      <c r="BD8" s="190" t="s">
        <v>95</v>
      </c>
      <c r="BE8" s="191" t="s">
        <v>95</v>
      </c>
      <c r="BF8" s="187" t="s">
        <v>95</v>
      </c>
      <c r="BG8" s="185" t="s">
        <v>95</v>
      </c>
      <c r="BH8" s="188" t="s">
        <v>95</v>
      </c>
      <c r="BI8" s="189" t="s">
        <v>95</v>
      </c>
      <c r="BJ8" s="190" t="s">
        <v>95</v>
      </c>
      <c r="BK8" s="77"/>
      <c r="BL8" s="119"/>
    </row>
    <row r="9" spans="1:67" s="91" customFormat="1" ht="15" customHeight="1" thickBot="1">
      <c r="A9" s="67" t="s">
        <v>110</v>
      </c>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60"/>
      <c r="BL9" s="117"/>
    </row>
    <row r="10" spans="1:67" s="91" customFormat="1" ht="35.1" customHeight="1">
      <c r="A10" s="195" t="s">
        <v>111</v>
      </c>
      <c r="B10" s="194"/>
      <c r="C10" s="194"/>
      <c r="D10" s="196"/>
      <c r="E10" s="196"/>
      <c r="F10" s="198"/>
      <c r="G10" s="162"/>
      <c r="H10" s="162"/>
      <c r="I10" s="162"/>
      <c r="J10" s="162"/>
      <c r="K10" s="162"/>
      <c r="L10" s="162"/>
      <c r="M10" s="162"/>
      <c r="N10" s="162"/>
      <c r="O10" s="162"/>
      <c r="P10" s="93"/>
      <c r="Q10" s="97" t="str">
        <f ca="1">IF(P10="",(IF(AND(O10="T",INDIRECT(ADDRESS(ROW(O10),MATCH(O$5,$2:$2,0)))="A"),"yes",(IF(O10="S","yes",IF(O10=INDIRECT(ADDRESS(ROW(O10),MATCH(O$5,$2:$2,0))),"yes","no"))))),(IF(AND(P10="T",INDIRECT(ADDRESS(ROW(P10),MATCH(O$5,$2:$2,0)))="A"),"yes",(IF(P10="S","yes",IF(P10=INDIRECT(ADDRESS(ROW(P10),MATCH(O$5,$2:$2,0))),"yes","no"))))))</f>
        <v>yes</v>
      </c>
      <c r="R10" s="97"/>
      <c r="S10" s="96"/>
      <c r="T10" s="99"/>
      <c r="U10" s="93" t="s">
        <v>86</v>
      </c>
      <c r="V10" s="97" t="str">
        <f ca="1">IF(U10="",(IF(AND(T10="T",INDIRECT(ADDRESS(ROW(T10),MATCH(T$5,$2:$2,0)))="A"),"yes",(IF(T10="S","yes",IF(T10=INDIRECT(ADDRESS(ROW(T10),MATCH(T$5,$2:$2,0))),"yes","no"))))),(IF(AND(U10="T",INDIRECT(ADDRESS(ROW(U10),MATCH(T$5,$2:$2,0)))="A"),"yes",(IF(U10="S","yes",IF(U10=INDIRECT(ADDRESS(ROW(U10),MATCH(T$5,$2:$2,0))),"yes","no"))))))</f>
        <v>yes</v>
      </c>
      <c r="W10" s="97"/>
      <c r="X10" s="96"/>
      <c r="Y10" s="99"/>
      <c r="Z10" s="93" t="s">
        <v>86</v>
      </c>
      <c r="AA10" s="97" t="str">
        <f ca="1">IF(Z10="",(IF(AND(Y10="T",INDIRECT(ADDRESS(ROW(Y10),MATCH(Y$5,$2:$2,0)))="A"),"yes",(IF(Y10="S","yes",IF(Y10=INDIRECT(ADDRESS(ROW(Y10),MATCH(Y$5,$2:$2,0))),"yes","no"))))),(IF(AND(Z10="T",INDIRECT(ADDRESS(ROW(Z10),MATCH(Y$5,$2:$2,0)))="A"),"yes",(IF(Z10="S","yes",IF(Z10=INDIRECT(ADDRESS(ROW(Z10),MATCH(Y$5,$2:$2,0))),"yes","no"))))))</f>
        <v>yes</v>
      </c>
      <c r="AB10" s="97"/>
      <c r="AC10" s="96"/>
      <c r="AD10" s="99" t="s">
        <v>86</v>
      </c>
      <c r="AE10" s="93" t="s">
        <v>86</v>
      </c>
      <c r="AF10" s="97" t="str">
        <f ca="1">IF(AE10="",(IF(AND(AD10="T",INDIRECT(ADDRESS(ROW(AD10),MATCH(AD$5,$2:$2,0)))="A"),"yes",(IF(AD10="S","yes",IF(AD10=INDIRECT(ADDRESS(ROW(AD10),MATCH(AD$5,$2:$2,0))),"yes","no"))))),(IF(AND(AE10="T",INDIRECT(ADDRESS(ROW(AE10),MATCH(AD$5,$2:$2,0)))="A"),"yes",(IF(AE10="S","yes",IF(AE10=INDIRECT(ADDRESS(ROW(AE10),MATCH(AD$5,$2:$2,0))),"yes","no"))))))</f>
        <v>yes</v>
      </c>
      <c r="AG10" s="97"/>
      <c r="AH10" s="96"/>
      <c r="AI10" s="99" t="s">
        <v>86</v>
      </c>
      <c r="AJ10" s="93" t="s">
        <v>86</v>
      </c>
      <c r="AK10" s="97" t="str">
        <f ca="1">IF(AJ10="",(IF(AND(AI10="T",INDIRECT(ADDRESS(ROW(AI10),MATCH(AI$5,$2:$2,0)))="A"),"yes",(IF(AI10="S","yes",IF(AI10=INDIRECT(ADDRESS(ROW(AI10),MATCH(AI$5,$2:$2,0))),"yes","no"))))),(IF(AND(AJ10="T",INDIRECT(ADDRESS(ROW(AJ10),MATCH(AI$5,$2:$2,0)))="A"),"yes",(IF(AJ10="S","yes",IF(AJ10=INDIRECT(ADDRESS(ROW(AJ10),MATCH(AI$5,$2:$2,0))),"yes","no"))))))</f>
        <v>yes</v>
      </c>
      <c r="AL10" s="97"/>
      <c r="AM10" s="96"/>
      <c r="AN10" s="99" t="s">
        <v>86</v>
      </c>
      <c r="AO10" s="93" t="s">
        <v>86</v>
      </c>
      <c r="AP10" s="97" t="str">
        <f ca="1">IF(AO10="",(IF(AND(AN10="T",INDIRECT(ADDRESS(ROW(AN10),MATCH(AN$5,$2:$2,0)))="A"),"yes",(IF(AN10="S","yes",IF(AN10=INDIRECT(ADDRESS(ROW(AN10),MATCH(AN$5,$2:$2,0))),"yes","no"))))),(IF(AND(AO10="T",INDIRECT(ADDRESS(ROW(AO10),MATCH(AN$5,$2:$2,0)))="A"),"yes",(IF(AO10="S","yes",IF(AO10=INDIRECT(ADDRESS(ROW(AO10),MATCH(AN$5,$2:$2,0))),"yes","no"))))))</f>
        <v>yes</v>
      </c>
      <c r="AQ10" s="97"/>
      <c r="AR10" s="96"/>
      <c r="AS10" s="128"/>
      <c r="AT10" s="138"/>
      <c r="AU10" s="138"/>
      <c r="AV10" s="138"/>
      <c r="AW10" s="138"/>
      <c r="AX10" s="142"/>
      <c r="AY10" s="144"/>
      <c r="AZ10" s="138"/>
      <c r="BA10" s="138"/>
      <c r="BB10" s="138"/>
      <c r="BC10" s="138"/>
      <c r="BD10" s="127"/>
      <c r="BE10" s="126"/>
      <c r="BF10" s="138"/>
      <c r="BG10" s="138"/>
      <c r="BH10" s="138"/>
      <c r="BI10" s="138"/>
      <c r="BJ10" s="127"/>
      <c r="BK10" s="115"/>
      <c r="BN10" s="192"/>
      <c r="BO10" s="91">
        <v>1</v>
      </c>
    </row>
    <row r="11" spans="1:67" s="91" customFormat="1" ht="53.45" customHeight="1">
      <c r="A11" s="193"/>
      <c r="B11" s="194" t="s">
        <v>112</v>
      </c>
      <c r="C11" s="196" t="s">
        <v>135</v>
      </c>
      <c r="D11" s="196"/>
      <c r="E11" s="196"/>
      <c r="F11" s="194"/>
      <c r="G11" s="162"/>
      <c r="H11" s="95"/>
      <c r="I11" s="110" t="s">
        <v>136</v>
      </c>
      <c r="J11" s="110" t="s">
        <v>136</v>
      </c>
      <c r="K11" s="111" t="s">
        <v>137</v>
      </c>
      <c r="L11" s="111" t="s">
        <v>138</v>
      </c>
      <c r="M11" s="111" t="s">
        <v>138</v>
      </c>
      <c r="N11" s="111" t="s">
        <v>138</v>
      </c>
      <c r="O11" s="99"/>
      <c r="P11" s="93"/>
      <c r="Q11" s="97"/>
      <c r="R11" s="97"/>
      <c r="S11" s="96"/>
      <c r="T11" s="99"/>
      <c r="U11" s="93"/>
      <c r="V11" s="97"/>
      <c r="W11" s="97"/>
      <c r="X11" s="96"/>
      <c r="Y11" s="99"/>
      <c r="Z11" s="93"/>
      <c r="AA11" s="97"/>
      <c r="AB11" s="97"/>
      <c r="AC11" s="96"/>
      <c r="AD11" s="99"/>
      <c r="AE11" s="93"/>
      <c r="AF11" s="97"/>
      <c r="AG11" s="97"/>
      <c r="AH11" s="96"/>
      <c r="AI11" s="99"/>
      <c r="AJ11" s="93"/>
      <c r="AK11" s="97"/>
      <c r="AL11" s="97"/>
      <c r="AM11" s="96"/>
      <c r="AN11" s="99"/>
      <c r="AO11" s="93"/>
      <c r="AP11" s="97"/>
      <c r="AQ11" s="97"/>
      <c r="AR11" s="96"/>
      <c r="AS11" s="128"/>
      <c r="AT11" s="138"/>
      <c r="AU11" s="138"/>
      <c r="AV11" s="138"/>
      <c r="AW11" s="138"/>
      <c r="AX11" s="142"/>
      <c r="AY11" s="144"/>
      <c r="AZ11" s="138"/>
      <c r="BA11" s="138"/>
      <c r="BB11" s="138"/>
      <c r="BC11" s="138"/>
      <c r="BD11" s="127"/>
      <c r="BE11" s="126"/>
      <c r="BF11" s="138"/>
      <c r="BG11" s="138"/>
      <c r="BH11" s="138"/>
      <c r="BI11" s="138"/>
      <c r="BJ11" s="127"/>
      <c r="BK11" s="115"/>
      <c r="BN11" s="192"/>
    </row>
    <row r="12" spans="1:67" s="91" customFormat="1" ht="67.5">
      <c r="A12" s="193"/>
      <c r="B12" s="194" t="s">
        <v>113</v>
      </c>
      <c r="C12" s="196" t="s">
        <v>135</v>
      </c>
      <c r="D12" s="196"/>
      <c r="E12" s="196"/>
      <c r="F12" s="194"/>
      <c r="G12" s="164"/>
      <c r="H12" s="109"/>
      <c r="I12" s="110" t="s">
        <v>136</v>
      </c>
      <c r="J12" s="110" t="s">
        <v>136</v>
      </c>
      <c r="K12" s="111" t="s">
        <v>137</v>
      </c>
      <c r="L12" s="111" t="s">
        <v>138</v>
      </c>
      <c r="M12" s="111" t="s">
        <v>138</v>
      </c>
      <c r="N12" s="111" t="s">
        <v>138</v>
      </c>
      <c r="O12" s="99"/>
      <c r="P12" s="99"/>
      <c r="Q12" s="114" t="str">
        <f t="shared" ref="Q12:Q22" ca="1" si="0">IF(P12="",(IF(AND(O12="T",INDIRECT(ADDRESS(ROW(O12),MATCH(O$5,$2:$2,0)))="A"),"yes",(IF(O12="S","yes",IF(O12=INDIRECT(ADDRESS(ROW(O12),MATCH(O$5,$2:$2,0))),"yes","no"))))),(IF(AND(P12="T",INDIRECT(ADDRESS(ROW(P12),MATCH(O$5,$2:$2,0)))="A"),"yes",(IF(P12="S","yes",IF(P12=INDIRECT(ADDRESS(ROW(P12),MATCH(O$5,$2:$2,0))),"yes","no"))))))</f>
        <v>no</v>
      </c>
      <c r="R12" s="114"/>
      <c r="S12" s="135"/>
      <c r="T12" s="112"/>
      <c r="U12" s="111" t="s">
        <v>86</v>
      </c>
      <c r="V12" s="114" t="str">
        <f t="shared" ref="V12:V22" ca="1" si="1">IF(U12="",(IF(AND(T12="T",INDIRECT(ADDRESS(ROW(T12),MATCH(T$5,$2:$2,0)))="A"),"yes",(IF(T12="S","yes",IF(T12=INDIRECT(ADDRESS(ROW(T12),MATCH(T$5,$2:$2,0))),"yes","no"))))),(IF(AND(U12="T",INDIRECT(ADDRESS(ROW(U12),MATCH(T$5,$2:$2,0)))="A"),"yes",(IF(U12="S","yes",IF(U12=INDIRECT(ADDRESS(ROW(U12),MATCH(T$5,$2:$2,0))),"yes","no"))))))</f>
        <v>no</v>
      </c>
      <c r="W12" s="114"/>
      <c r="X12" s="135"/>
      <c r="Y12" s="112"/>
      <c r="Z12" s="111" t="s">
        <v>86</v>
      </c>
      <c r="AA12" s="114" t="str">
        <f t="shared" ref="AA12:AA22" ca="1" si="2">IF(Z12="",(IF(AND(Y12="T",INDIRECT(ADDRESS(ROW(Y12),MATCH(Y$5,$2:$2,0)))="A"),"yes",(IF(Y12="S","yes",IF(Y12=INDIRECT(ADDRESS(ROW(Y12),MATCH(Y$5,$2:$2,0))),"yes","no"))))),(IF(AND(Z12="T",INDIRECT(ADDRESS(ROW(Z12),MATCH(Y$5,$2:$2,0)))="A"),"yes",(IF(Z12="S","yes",IF(Z12=INDIRECT(ADDRESS(ROW(Z12),MATCH(Y$5,$2:$2,0))),"yes","no"))))))</f>
        <v>no</v>
      </c>
      <c r="AB12" s="114"/>
      <c r="AC12" s="135"/>
      <c r="AD12" s="112" t="s">
        <v>86</v>
      </c>
      <c r="AE12" s="111" t="s">
        <v>86</v>
      </c>
      <c r="AF12" s="114" t="str">
        <f t="shared" ref="AF12:AF22" ca="1" si="3">IF(AE12="",(IF(AND(AD12="T",INDIRECT(ADDRESS(ROW(AD12),MATCH(AD$5,$2:$2,0)))="A"),"yes",(IF(AD12="S","yes",IF(AD12=INDIRECT(ADDRESS(ROW(AD12),MATCH(AD$5,$2:$2,0))),"yes","no"))))),(IF(AND(AE12="T",INDIRECT(ADDRESS(ROW(AE12),MATCH(AD$5,$2:$2,0)))="A"),"yes",(IF(AE12="S","yes",IF(AE12=INDIRECT(ADDRESS(ROW(AE12),MATCH(AD$5,$2:$2,0))),"yes","no"))))))</f>
        <v>no</v>
      </c>
      <c r="AG12" s="114"/>
      <c r="AH12" s="135"/>
      <c r="AI12" s="112" t="s">
        <v>86</v>
      </c>
      <c r="AJ12" s="111" t="s">
        <v>86</v>
      </c>
      <c r="AK12" s="114" t="str">
        <f t="shared" ref="AK12:AK22" ca="1" si="4">IF(AJ12="",(IF(AND(AI12="T",INDIRECT(ADDRESS(ROW(AI12),MATCH(AI$5,$2:$2,0)))="A"),"yes",(IF(AI12="S","yes",IF(AI12=INDIRECT(ADDRESS(ROW(AI12),MATCH(AI$5,$2:$2,0))),"yes","no"))))),(IF(AND(AJ12="T",INDIRECT(ADDRESS(ROW(AJ12),MATCH(AI$5,$2:$2,0)))="A"),"yes",(IF(AJ12="S","yes",IF(AJ12=INDIRECT(ADDRESS(ROW(AJ12),MATCH(AI$5,$2:$2,0))),"yes","no"))))))</f>
        <v>no</v>
      </c>
      <c r="AL12" s="114"/>
      <c r="AM12" s="135"/>
      <c r="AN12" s="112" t="s">
        <v>86</v>
      </c>
      <c r="AO12" s="111" t="s">
        <v>86</v>
      </c>
      <c r="AP12" s="114" t="str">
        <f t="shared" ref="AP12:AP22" ca="1" si="5">IF(AO12="",(IF(AND(AN12="T",INDIRECT(ADDRESS(ROW(AN12),MATCH(AN$5,$2:$2,0)))="A"),"yes",(IF(AN12="S","yes",IF(AN12=INDIRECT(ADDRESS(ROW(AN12),MATCH(AN$5,$2:$2,0))),"yes","no"))))),(IF(AND(AO12="T",INDIRECT(ADDRESS(ROW(AO12),MATCH(AN$5,$2:$2,0)))="A"),"yes",(IF(AO12="S","yes",IF(AO12=INDIRECT(ADDRESS(ROW(AO12),MATCH(AN$5,$2:$2,0))),"yes","no"))))))</f>
        <v>no</v>
      </c>
      <c r="AQ12" s="114"/>
      <c r="AR12" s="135"/>
      <c r="AS12" s="128"/>
      <c r="AT12" s="138"/>
      <c r="AU12" s="138"/>
      <c r="AV12" s="138"/>
      <c r="AW12" s="138"/>
      <c r="AX12" s="142"/>
      <c r="AY12" s="144"/>
      <c r="AZ12" s="138"/>
      <c r="BA12" s="138"/>
      <c r="BB12" s="138"/>
      <c r="BC12" s="138"/>
      <c r="BD12" s="127"/>
      <c r="BE12" s="126"/>
      <c r="BF12" s="138"/>
      <c r="BG12" s="138"/>
      <c r="BH12" s="138"/>
      <c r="BI12" s="138"/>
      <c r="BJ12" s="127"/>
      <c r="BK12" s="115"/>
      <c r="BN12" s="192"/>
    </row>
    <row r="13" spans="1:67" s="91" customFormat="1">
      <c r="A13" s="193"/>
      <c r="B13" s="194"/>
      <c r="C13" s="196" t="s">
        <v>135</v>
      </c>
      <c r="D13" s="196"/>
      <c r="E13" s="196"/>
      <c r="F13" s="194"/>
      <c r="G13" s="164"/>
      <c r="H13" s="109"/>
      <c r="I13" s="110" t="s">
        <v>136</v>
      </c>
      <c r="J13" s="110" t="s">
        <v>136</v>
      </c>
      <c r="K13" s="111" t="s">
        <v>137</v>
      </c>
      <c r="L13" s="111" t="s">
        <v>138</v>
      </c>
      <c r="M13" s="111" t="s">
        <v>138</v>
      </c>
      <c r="N13" s="111" t="s">
        <v>138</v>
      </c>
      <c r="O13" s="99"/>
      <c r="P13" s="99"/>
      <c r="Q13" s="114" t="str">
        <f t="shared" ca="1" si="0"/>
        <v>no</v>
      </c>
      <c r="R13" s="114"/>
      <c r="S13" s="135"/>
      <c r="T13" s="112"/>
      <c r="U13" s="111" t="s">
        <v>86</v>
      </c>
      <c r="V13" s="114" t="str">
        <f t="shared" ca="1" si="1"/>
        <v>no</v>
      </c>
      <c r="W13" s="114"/>
      <c r="X13" s="135"/>
      <c r="Y13" s="112"/>
      <c r="Z13" s="111" t="s">
        <v>86</v>
      </c>
      <c r="AA13" s="114" t="str">
        <f t="shared" ca="1" si="2"/>
        <v>no</v>
      </c>
      <c r="AB13" s="114"/>
      <c r="AC13" s="135"/>
      <c r="AD13" s="112" t="s">
        <v>86</v>
      </c>
      <c r="AE13" s="111" t="s">
        <v>86</v>
      </c>
      <c r="AF13" s="114" t="str">
        <f t="shared" ca="1" si="3"/>
        <v>no</v>
      </c>
      <c r="AG13" s="114"/>
      <c r="AH13" s="135"/>
      <c r="AI13" s="112" t="s">
        <v>86</v>
      </c>
      <c r="AJ13" s="111" t="s">
        <v>86</v>
      </c>
      <c r="AK13" s="114" t="str">
        <f t="shared" ca="1" si="4"/>
        <v>no</v>
      </c>
      <c r="AL13" s="114"/>
      <c r="AM13" s="135"/>
      <c r="AN13" s="112" t="s">
        <v>86</v>
      </c>
      <c r="AO13" s="111" t="s">
        <v>86</v>
      </c>
      <c r="AP13" s="114" t="str">
        <f t="shared" ca="1" si="5"/>
        <v>no</v>
      </c>
      <c r="AQ13" s="114"/>
      <c r="AR13" s="135"/>
      <c r="AS13" s="128"/>
      <c r="AT13" s="138"/>
      <c r="AU13" s="138"/>
      <c r="AV13" s="138"/>
      <c r="AW13" s="138"/>
      <c r="AX13" s="142"/>
      <c r="AY13" s="144"/>
      <c r="AZ13" s="138"/>
      <c r="BA13" s="138"/>
      <c r="BB13" s="138"/>
      <c r="BC13" s="138"/>
      <c r="BD13" s="127"/>
      <c r="BE13" s="126"/>
      <c r="BF13" s="138"/>
      <c r="BG13" s="138"/>
      <c r="BH13" s="138"/>
      <c r="BI13" s="138"/>
      <c r="BJ13" s="127"/>
      <c r="BK13" s="115"/>
      <c r="BN13" s="192"/>
    </row>
    <row r="14" spans="1:67" s="91" customFormat="1" ht="15">
      <c r="A14" s="195" t="s">
        <v>114</v>
      </c>
      <c r="C14" s="196"/>
      <c r="D14" s="196"/>
      <c r="E14" s="196"/>
      <c r="F14" s="194"/>
      <c r="G14" s="165"/>
      <c r="H14" s="131"/>
      <c r="I14" s="110"/>
      <c r="J14" s="110"/>
      <c r="K14" s="111"/>
      <c r="L14" s="111"/>
      <c r="M14" s="111"/>
      <c r="N14" s="111"/>
      <c r="O14" s="99"/>
      <c r="P14" s="99"/>
      <c r="Q14" s="102" t="str">
        <f t="shared" ca="1" si="0"/>
        <v>yes</v>
      </c>
      <c r="R14" s="102"/>
      <c r="S14" s="136"/>
      <c r="T14" s="133"/>
      <c r="U14" s="132" t="s">
        <v>86</v>
      </c>
      <c r="V14" s="102" t="str">
        <f t="shared" ca="1" si="1"/>
        <v>yes</v>
      </c>
      <c r="W14" s="102"/>
      <c r="X14" s="136"/>
      <c r="Y14" s="133"/>
      <c r="Z14" s="132" t="s">
        <v>86</v>
      </c>
      <c r="AA14" s="102" t="str">
        <f t="shared" ca="1" si="2"/>
        <v>yes</v>
      </c>
      <c r="AB14" s="102"/>
      <c r="AC14" s="136"/>
      <c r="AD14" s="133" t="s">
        <v>86</v>
      </c>
      <c r="AE14" s="132" t="s">
        <v>86</v>
      </c>
      <c r="AF14" s="102" t="str">
        <f t="shared" ca="1" si="3"/>
        <v>yes</v>
      </c>
      <c r="AG14" s="102"/>
      <c r="AH14" s="136"/>
      <c r="AI14" s="133" t="s">
        <v>86</v>
      </c>
      <c r="AJ14" s="132" t="s">
        <v>86</v>
      </c>
      <c r="AK14" s="102" t="str">
        <f t="shared" ca="1" si="4"/>
        <v>yes</v>
      </c>
      <c r="AL14" s="102"/>
      <c r="AM14" s="136"/>
      <c r="AN14" s="133" t="s">
        <v>86</v>
      </c>
      <c r="AO14" s="132" t="s">
        <v>86</v>
      </c>
      <c r="AP14" s="102" t="str">
        <f t="shared" ca="1" si="5"/>
        <v>yes</v>
      </c>
      <c r="AQ14" s="102"/>
      <c r="AR14" s="136"/>
      <c r="AS14" s="128"/>
      <c r="AT14" s="138"/>
      <c r="AU14" s="138"/>
      <c r="AV14" s="138"/>
      <c r="AW14" s="138"/>
      <c r="AX14" s="142"/>
      <c r="AY14" s="144"/>
      <c r="AZ14" s="138"/>
      <c r="BA14" s="138"/>
      <c r="BB14" s="138"/>
      <c r="BC14" s="138"/>
      <c r="BD14" s="127"/>
      <c r="BE14" s="126"/>
      <c r="BF14" s="138"/>
      <c r="BG14" s="138"/>
      <c r="BH14" s="138"/>
      <c r="BI14" s="138"/>
      <c r="BJ14" s="127"/>
      <c r="BK14" s="115"/>
      <c r="BN14" s="192"/>
    </row>
    <row r="15" spans="1:67" s="91" customFormat="1" ht="27">
      <c r="A15" s="193"/>
      <c r="B15" s="194" t="s">
        <v>115</v>
      </c>
      <c r="C15" s="196"/>
      <c r="D15" s="196"/>
      <c r="E15" s="196"/>
      <c r="F15" s="194"/>
      <c r="G15" s="163"/>
      <c r="H15" s="95"/>
      <c r="I15" s="110" t="s">
        <v>136</v>
      </c>
      <c r="J15" s="110" t="s">
        <v>136</v>
      </c>
      <c r="K15" s="111" t="s">
        <v>137</v>
      </c>
      <c r="L15" s="111" t="s">
        <v>138</v>
      </c>
      <c r="M15" s="111" t="s">
        <v>138</v>
      </c>
      <c r="N15" s="111" t="s">
        <v>138</v>
      </c>
      <c r="O15" s="99"/>
      <c r="P15" s="99"/>
      <c r="Q15" s="97" t="str">
        <f t="shared" ca="1" si="0"/>
        <v>no</v>
      </c>
      <c r="R15" s="97"/>
      <c r="S15" s="130"/>
      <c r="T15" s="99"/>
      <c r="U15" s="93" t="s">
        <v>86</v>
      </c>
      <c r="V15" s="97" t="str">
        <f t="shared" ca="1" si="1"/>
        <v>no</v>
      </c>
      <c r="W15" s="97"/>
      <c r="X15" s="130"/>
      <c r="Y15" s="99"/>
      <c r="Z15" s="93" t="s">
        <v>86</v>
      </c>
      <c r="AA15" s="97" t="str">
        <f t="shared" ca="1" si="2"/>
        <v>no</v>
      </c>
      <c r="AB15" s="97"/>
      <c r="AC15" s="130"/>
      <c r="AD15" s="99" t="s">
        <v>86</v>
      </c>
      <c r="AE15" s="93" t="s">
        <v>86</v>
      </c>
      <c r="AF15" s="97" t="str">
        <f t="shared" ca="1" si="3"/>
        <v>no</v>
      </c>
      <c r="AG15" s="97"/>
      <c r="AH15" s="130"/>
      <c r="AI15" s="99" t="s">
        <v>86</v>
      </c>
      <c r="AJ15" s="93" t="s">
        <v>86</v>
      </c>
      <c r="AK15" s="97" t="str">
        <f t="shared" ca="1" si="4"/>
        <v>no</v>
      </c>
      <c r="AL15" s="97"/>
      <c r="AM15" s="130"/>
      <c r="AN15" s="99" t="s">
        <v>86</v>
      </c>
      <c r="AO15" s="93" t="s">
        <v>86</v>
      </c>
      <c r="AP15" s="97" t="str">
        <f t="shared" ca="1" si="5"/>
        <v>no</v>
      </c>
      <c r="AQ15" s="97"/>
      <c r="AR15" s="130"/>
      <c r="AS15" s="128"/>
      <c r="AT15" s="138"/>
      <c r="AU15" s="138"/>
      <c r="AV15" s="138"/>
      <c r="AW15" s="138"/>
      <c r="AX15" s="142"/>
      <c r="AY15" s="144"/>
      <c r="AZ15" s="138"/>
      <c r="BA15" s="138"/>
      <c r="BB15" s="138"/>
      <c r="BC15" s="138"/>
      <c r="BD15" s="127"/>
      <c r="BE15" s="126"/>
      <c r="BF15" s="138"/>
      <c r="BG15" s="138"/>
      <c r="BH15" s="138"/>
      <c r="BI15" s="138"/>
      <c r="BJ15" s="127"/>
      <c r="BK15" s="115"/>
      <c r="BN15" s="192"/>
    </row>
    <row r="16" spans="1:67" s="91" customFormat="1" ht="27">
      <c r="A16" s="193"/>
      <c r="B16" s="194" t="s">
        <v>116</v>
      </c>
      <c r="C16" s="196" t="s">
        <v>135</v>
      </c>
      <c r="D16" s="196"/>
      <c r="E16" s="196"/>
      <c r="F16" s="194"/>
      <c r="G16" s="198"/>
      <c r="H16" s="131"/>
      <c r="I16" s="110" t="s">
        <v>136</v>
      </c>
      <c r="J16" s="110" t="s">
        <v>136</v>
      </c>
      <c r="K16" s="111" t="s">
        <v>137</v>
      </c>
      <c r="L16" s="111" t="s">
        <v>138</v>
      </c>
      <c r="M16" s="111" t="s">
        <v>138</v>
      </c>
      <c r="N16" s="111" t="s">
        <v>138</v>
      </c>
      <c r="O16" s="133"/>
      <c r="P16" s="132"/>
      <c r="Q16" s="102" t="str">
        <f t="shared" ca="1" si="0"/>
        <v>no</v>
      </c>
      <c r="R16" s="102"/>
      <c r="S16" s="134"/>
      <c r="T16" s="110"/>
      <c r="U16" s="132" t="s">
        <v>86</v>
      </c>
      <c r="V16" s="102" t="str">
        <f t="shared" ca="1" si="1"/>
        <v>no</v>
      </c>
      <c r="W16" s="102"/>
      <c r="X16" s="134"/>
      <c r="Y16" s="110"/>
      <c r="Z16" s="132" t="s">
        <v>86</v>
      </c>
      <c r="AA16" s="102" t="str">
        <f t="shared" ca="1" si="2"/>
        <v>no</v>
      </c>
      <c r="AB16" s="102"/>
      <c r="AC16" s="134"/>
      <c r="AD16" s="133" t="s">
        <v>86</v>
      </c>
      <c r="AE16" s="132" t="s">
        <v>86</v>
      </c>
      <c r="AF16" s="102" t="str">
        <f t="shared" ca="1" si="3"/>
        <v>no</v>
      </c>
      <c r="AG16" s="102"/>
      <c r="AH16" s="134"/>
      <c r="AI16" s="133" t="s">
        <v>86</v>
      </c>
      <c r="AJ16" s="132" t="s">
        <v>86</v>
      </c>
      <c r="AK16" s="102" t="str">
        <f t="shared" ca="1" si="4"/>
        <v>no</v>
      </c>
      <c r="AL16" s="102"/>
      <c r="AM16" s="134"/>
      <c r="AN16" s="133" t="s">
        <v>86</v>
      </c>
      <c r="AO16" s="132" t="s">
        <v>86</v>
      </c>
      <c r="AP16" s="102" t="str">
        <f t="shared" ca="1" si="5"/>
        <v>no</v>
      </c>
      <c r="AQ16" s="102"/>
      <c r="AR16" s="134"/>
      <c r="AS16" s="139"/>
      <c r="AT16" s="140"/>
      <c r="AU16" s="140"/>
      <c r="AV16" s="140"/>
      <c r="AW16" s="140"/>
      <c r="AX16" s="141"/>
      <c r="AY16" s="143"/>
      <c r="AZ16" s="145"/>
      <c r="BA16" s="145"/>
      <c r="BB16" s="145"/>
      <c r="BC16" s="145"/>
      <c r="BD16" s="147"/>
      <c r="BE16" s="146"/>
      <c r="BF16" s="145"/>
      <c r="BG16" s="145"/>
      <c r="BH16" s="145"/>
      <c r="BI16" s="145"/>
      <c r="BJ16" s="147"/>
      <c r="BK16" s="116"/>
      <c r="BL16" s="118"/>
    </row>
    <row r="17" spans="1:67" s="91" customFormat="1">
      <c r="A17" s="194"/>
      <c r="B17" s="194" t="s">
        <v>117</v>
      </c>
      <c r="C17" s="196" t="s">
        <v>135</v>
      </c>
      <c r="D17" s="196"/>
      <c r="E17" s="196"/>
      <c r="F17" s="194"/>
      <c r="G17" s="198"/>
      <c r="H17" s="131"/>
      <c r="I17" s="110" t="s">
        <v>136</v>
      </c>
      <c r="J17" s="110" t="s">
        <v>136</v>
      </c>
      <c r="K17" s="111" t="s">
        <v>137</v>
      </c>
      <c r="L17" s="111" t="s">
        <v>138</v>
      </c>
      <c r="M17" s="111" t="s">
        <v>138</v>
      </c>
      <c r="N17" s="111" t="s">
        <v>138</v>
      </c>
      <c r="O17" s="133"/>
      <c r="P17" s="132"/>
      <c r="Q17" s="102" t="str">
        <f t="shared" ca="1" si="0"/>
        <v>no</v>
      </c>
      <c r="R17" s="102"/>
      <c r="S17" s="134"/>
      <c r="T17" s="110"/>
      <c r="U17" s="132" t="s">
        <v>86</v>
      </c>
      <c r="V17" s="102" t="str">
        <f t="shared" ca="1" si="1"/>
        <v>no</v>
      </c>
      <c r="W17" s="102"/>
      <c r="X17" s="134"/>
      <c r="Y17" s="110"/>
      <c r="Z17" s="132" t="s">
        <v>86</v>
      </c>
      <c r="AA17" s="102" t="str">
        <f t="shared" ca="1" si="2"/>
        <v>no</v>
      </c>
      <c r="AB17" s="102"/>
      <c r="AC17" s="134"/>
      <c r="AD17" s="133" t="s">
        <v>86</v>
      </c>
      <c r="AE17" s="132" t="s">
        <v>86</v>
      </c>
      <c r="AF17" s="102" t="str">
        <f t="shared" ca="1" si="3"/>
        <v>no</v>
      </c>
      <c r="AG17" s="102"/>
      <c r="AH17" s="134"/>
      <c r="AI17" s="133" t="s">
        <v>86</v>
      </c>
      <c r="AJ17" s="132" t="s">
        <v>86</v>
      </c>
      <c r="AK17" s="102" t="str">
        <f t="shared" ca="1" si="4"/>
        <v>no</v>
      </c>
      <c r="AL17" s="102"/>
      <c r="AM17" s="134"/>
      <c r="AN17" s="133" t="s">
        <v>86</v>
      </c>
      <c r="AO17" s="132" t="s">
        <v>86</v>
      </c>
      <c r="AP17" s="102" t="str">
        <f t="shared" ca="1" si="5"/>
        <v>no</v>
      </c>
      <c r="AQ17" s="102"/>
      <c r="AR17" s="134"/>
      <c r="AS17" s="139"/>
      <c r="AT17" s="140"/>
      <c r="AU17" s="140"/>
      <c r="AV17" s="140"/>
      <c r="AW17" s="140"/>
      <c r="AX17" s="141"/>
      <c r="AY17" s="143"/>
      <c r="AZ17" s="145"/>
      <c r="BA17" s="145"/>
      <c r="BB17" s="145"/>
      <c r="BC17" s="145"/>
      <c r="BD17" s="147"/>
      <c r="BE17" s="146"/>
      <c r="BF17" s="145"/>
      <c r="BG17" s="145"/>
      <c r="BH17" s="145"/>
      <c r="BI17" s="145"/>
      <c r="BJ17" s="147"/>
      <c r="BK17" s="116"/>
      <c r="BL17" s="118"/>
    </row>
    <row r="18" spans="1:67" s="91" customFormat="1">
      <c r="A18" s="193"/>
      <c r="B18" s="194"/>
      <c r="C18" s="196" t="s">
        <v>135</v>
      </c>
      <c r="D18" s="196"/>
      <c r="E18" s="196"/>
      <c r="F18" s="194"/>
      <c r="G18" s="198"/>
      <c r="H18" s="95"/>
      <c r="I18" s="110" t="s">
        <v>136</v>
      </c>
      <c r="J18" s="110" t="s">
        <v>136</v>
      </c>
      <c r="K18" s="111" t="s">
        <v>137</v>
      </c>
      <c r="L18" s="111" t="s">
        <v>138</v>
      </c>
      <c r="M18" s="111" t="s">
        <v>138</v>
      </c>
      <c r="N18" s="111" t="s">
        <v>138</v>
      </c>
      <c r="O18" s="99"/>
      <c r="P18" s="99"/>
      <c r="Q18" s="97" t="str">
        <f t="shared" ca="1" si="0"/>
        <v>no</v>
      </c>
      <c r="R18" s="97"/>
      <c r="S18" s="130"/>
      <c r="T18" s="110"/>
      <c r="U18" s="93" t="s">
        <v>86</v>
      </c>
      <c r="V18" s="97" t="str">
        <f t="shared" ca="1" si="1"/>
        <v>no</v>
      </c>
      <c r="W18" s="97"/>
      <c r="X18" s="130"/>
      <c r="Y18" s="110"/>
      <c r="Z18" s="93" t="s">
        <v>86</v>
      </c>
      <c r="AA18" s="97" t="str">
        <f t="shared" ca="1" si="2"/>
        <v>no</v>
      </c>
      <c r="AB18" s="97"/>
      <c r="AC18" s="130"/>
      <c r="AD18" s="99" t="s">
        <v>86</v>
      </c>
      <c r="AE18" s="93" t="s">
        <v>86</v>
      </c>
      <c r="AF18" s="97" t="str">
        <f t="shared" ca="1" si="3"/>
        <v>no</v>
      </c>
      <c r="AG18" s="97"/>
      <c r="AH18" s="130"/>
      <c r="AI18" s="99" t="s">
        <v>86</v>
      </c>
      <c r="AJ18" s="93" t="s">
        <v>86</v>
      </c>
      <c r="AK18" s="97" t="str">
        <f t="shared" ca="1" si="4"/>
        <v>no</v>
      </c>
      <c r="AL18" s="97"/>
      <c r="AM18" s="130"/>
      <c r="AN18" s="99" t="s">
        <v>86</v>
      </c>
      <c r="AO18" s="93" t="s">
        <v>86</v>
      </c>
      <c r="AP18" s="97" t="str">
        <f t="shared" ca="1" si="5"/>
        <v>no</v>
      </c>
      <c r="AQ18" s="97"/>
      <c r="AR18" s="130"/>
      <c r="AS18" s="128"/>
      <c r="AT18" s="138"/>
      <c r="AU18" s="138"/>
      <c r="AV18" s="138"/>
      <c r="AW18" s="138"/>
      <c r="AX18" s="142"/>
      <c r="AY18" s="144"/>
      <c r="AZ18" s="138"/>
      <c r="BA18" s="138"/>
      <c r="BB18" s="138"/>
      <c r="BC18" s="138"/>
      <c r="BD18" s="127"/>
      <c r="BE18" s="126"/>
      <c r="BF18" s="138"/>
      <c r="BG18" s="138"/>
      <c r="BH18" s="138"/>
      <c r="BI18" s="138"/>
      <c r="BJ18" s="127"/>
      <c r="BK18" s="137"/>
    </row>
    <row r="19" spans="1:67" s="91" customFormat="1" ht="15">
      <c r="A19" s="195" t="s">
        <v>118</v>
      </c>
      <c r="B19" s="193"/>
      <c r="C19" s="196"/>
      <c r="D19" s="196"/>
      <c r="E19" s="196"/>
      <c r="F19" s="194"/>
      <c r="G19" s="198"/>
      <c r="H19" s="95"/>
      <c r="I19" s="110"/>
      <c r="J19" s="110"/>
      <c r="K19" s="111"/>
      <c r="L19" s="111"/>
      <c r="M19" s="111"/>
      <c r="N19" s="111"/>
      <c r="O19" s="99"/>
      <c r="P19" s="99"/>
      <c r="Q19" s="97" t="str">
        <f t="shared" ca="1" si="0"/>
        <v>yes</v>
      </c>
      <c r="R19" s="97"/>
      <c r="S19" s="130"/>
      <c r="T19" s="110"/>
      <c r="U19" s="93" t="s">
        <v>86</v>
      </c>
      <c r="V19" s="97" t="str">
        <f t="shared" ca="1" si="1"/>
        <v>yes</v>
      </c>
      <c r="W19" s="97"/>
      <c r="X19" s="130"/>
      <c r="Y19" s="110"/>
      <c r="Z19" s="93" t="s">
        <v>86</v>
      </c>
      <c r="AA19" s="97" t="str">
        <f t="shared" ca="1" si="2"/>
        <v>yes</v>
      </c>
      <c r="AB19" s="97"/>
      <c r="AC19" s="130"/>
      <c r="AD19" s="99" t="s">
        <v>86</v>
      </c>
      <c r="AE19" s="93" t="s">
        <v>86</v>
      </c>
      <c r="AF19" s="97" t="str">
        <f t="shared" ca="1" si="3"/>
        <v>yes</v>
      </c>
      <c r="AG19" s="97"/>
      <c r="AH19" s="130"/>
      <c r="AI19" s="99" t="s">
        <v>86</v>
      </c>
      <c r="AJ19" s="93" t="s">
        <v>86</v>
      </c>
      <c r="AK19" s="97" t="str">
        <f t="shared" ca="1" si="4"/>
        <v>yes</v>
      </c>
      <c r="AL19" s="97"/>
      <c r="AM19" s="130"/>
      <c r="AN19" s="99" t="s">
        <v>86</v>
      </c>
      <c r="AO19" s="93" t="s">
        <v>86</v>
      </c>
      <c r="AP19" s="97" t="str">
        <f t="shared" ca="1" si="5"/>
        <v>yes</v>
      </c>
      <c r="AQ19" s="97"/>
      <c r="AR19" s="130"/>
      <c r="AS19" s="128"/>
      <c r="AT19" s="138"/>
      <c r="AU19" s="138"/>
      <c r="AV19" s="138"/>
      <c r="AW19" s="138"/>
      <c r="AX19" s="142"/>
      <c r="AY19" s="144"/>
      <c r="AZ19" s="138"/>
      <c r="BA19" s="138"/>
      <c r="BB19" s="138"/>
      <c r="BC19" s="138"/>
      <c r="BD19" s="127"/>
      <c r="BE19" s="126"/>
      <c r="BF19" s="138"/>
      <c r="BG19" s="138"/>
      <c r="BH19" s="138"/>
      <c r="BI19" s="138"/>
      <c r="BJ19" s="127"/>
      <c r="BK19" s="137"/>
    </row>
    <row r="20" spans="1:67" s="91" customFormat="1" ht="76.5">
      <c r="B20" s="194" t="s">
        <v>119</v>
      </c>
      <c r="C20" s="196" t="s">
        <v>135</v>
      </c>
      <c r="D20" s="196"/>
      <c r="E20" s="196"/>
      <c r="F20" s="194"/>
      <c r="G20" s="198"/>
      <c r="H20" s="109"/>
      <c r="I20" s="110" t="s">
        <v>136</v>
      </c>
      <c r="J20" s="110" t="s">
        <v>136</v>
      </c>
      <c r="K20" s="111" t="s">
        <v>137</v>
      </c>
      <c r="L20" s="111" t="s">
        <v>138</v>
      </c>
      <c r="M20" s="111" t="s">
        <v>138</v>
      </c>
      <c r="N20" s="111" t="s">
        <v>138</v>
      </c>
      <c r="O20" s="99"/>
      <c r="P20" s="99"/>
      <c r="Q20" s="114" t="str">
        <f t="shared" ca="1" si="0"/>
        <v>no</v>
      </c>
      <c r="R20" s="114"/>
      <c r="S20" s="135"/>
      <c r="T20" s="112"/>
      <c r="U20" s="111" t="s">
        <v>86</v>
      </c>
      <c r="V20" s="114" t="str">
        <f t="shared" ca="1" si="1"/>
        <v>no</v>
      </c>
      <c r="W20" s="114"/>
      <c r="X20" s="135"/>
      <c r="Y20" s="112"/>
      <c r="Z20" s="111" t="s">
        <v>86</v>
      </c>
      <c r="AA20" s="114" t="str">
        <f t="shared" ca="1" si="2"/>
        <v>no</v>
      </c>
      <c r="AB20" s="114"/>
      <c r="AC20" s="135"/>
      <c r="AD20" s="112" t="s">
        <v>86</v>
      </c>
      <c r="AE20" s="111" t="s">
        <v>86</v>
      </c>
      <c r="AF20" s="114" t="str">
        <f t="shared" ca="1" si="3"/>
        <v>no</v>
      </c>
      <c r="AG20" s="114"/>
      <c r="AH20" s="135"/>
      <c r="AI20" s="112" t="s">
        <v>86</v>
      </c>
      <c r="AJ20" s="111" t="s">
        <v>86</v>
      </c>
      <c r="AK20" s="114" t="str">
        <f t="shared" ca="1" si="4"/>
        <v>no</v>
      </c>
      <c r="AL20" s="114"/>
      <c r="AM20" s="135"/>
      <c r="AN20" s="112" t="s">
        <v>86</v>
      </c>
      <c r="AO20" s="111" t="s">
        <v>86</v>
      </c>
      <c r="AP20" s="114" t="str">
        <f t="shared" ca="1" si="5"/>
        <v>no</v>
      </c>
      <c r="AQ20" s="114"/>
      <c r="AR20" s="135"/>
      <c r="AS20" s="128"/>
      <c r="AT20" s="138"/>
      <c r="AU20" s="138"/>
      <c r="AV20" s="138"/>
      <c r="AW20" s="138"/>
      <c r="AX20" s="142"/>
      <c r="AY20" s="144"/>
      <c r="AZ20" s="138"/>
      <c r="BA20" s="138"/>
      <c r="BB20" s="138"/>
      <c r="BC20" s="138"/>
      <c r="BD20" s="127"/>
      <c r="BE20" s="126"/>
      <c r="BF20" s="138"/>
      <c r="BG20" s="138"/>
      <c r="BH20" s="138"/>
      <c r="BI20" s="138"/>
      <c r="BJ20" s="127"/>
      <c r="BK20" s="115"/>
      <c r="BN20" s="192"/>
    </row>
    <row r="21" spans="1:67" s="91" customFormat="1" ht="35.1" customHeight="1">
      <c r="B21" s="194" t="s">
        <v>120</v>
      </c>
      <c r="C21" s="196" t="s">
        <v>135</v>
      </c>
      <c r="D21" s="196"/>
      <c r="E21" s="196"/>
      <c r="F21" s="194"/>
      <c r="G21" s="198"/>
      <c r="H21" s="95"/>
      <c r="I21" s="110" t="s">
        <v>136</v>
      </c>
      <c r="J21" s="110" t="s">
        <v>136</v>
      </c>
      <c r="K21" s="111" t="s">
        <v>137</v>
      </c>
      <c r="L21" s="111" t="s">
        <v>138</v>
      </c>
      <c r="M21" s="111" t="s">
        <v>138</v>
      </c>
      <c r="N21" s="111" t="s">
        <v>138</v>
      </c>
      <c r="O21" s="99"/>
      <c r="P21" s="99"/>
      <c r="Q21" s="97" t="str">
        <f t="shared" ca="1" si="0"/>
        <v>no</v>
      </c>
      <c r="R21" s="97"/>
      <c r="S21" s="130"/>
      <c r="T21" s="99"/>
      <c r="U21" s="93" t="s">
        <v>86</v>
      </c>
      <c r="V21" s="97" t="str">
        <f t="shared" ca="1" si="1"/>
        <v>no</v>
      </c>
      <c r="W21" s="97"/>
      <c r="X21" s="130"/>
      <c r="Y21" s="99"/>
      <c r="Z21" s="93" t="s">
        <v>86</v>
      </c>
      <c r="AA21" s="97" t="str">
        <f t="shared" ca="1" si="2"/>
        <v>no</v>
      </c>
      <c r="AB21" s="97"/>
      <c r="AC21" s="130"/>
      <c r="AD21" s="99" t="s">
        <v>86</v>
      </c>
      <c r="AE21" s="93" t="s">
        <v>86</v>
      </c>
      <c r="AF21" s="97" t="str">
        <f t="shared" ca="1" si="3"/>
        <v>no</v>
      </c>
      <c r="AG21" s="97"/>
      <c r="AH21" s="130"/>
      <c r="AI21" s="99" t="s">
        <v>86</v>
      </c>
      <c r="AJ21" s="93" t="s">
        <v>86</v>
      </c>
      <c r="AK21" s="97" t="str">
        <f t="shared" ca="1" si="4"/>
        <v>no</v>
      </c>
      <c r="AL21" s="97"/>
      <c r="AM21" s="130"/>
      <c r="AN21" s="99" t="s">
        <v>86</v>
      </c>
      <c r="AO21" s="93" t="s">
        <v>86</v>
      </c>
      <c r="AP21" s="97" t="str">
        <f t="shared" ca="1" si="5"/>
        <v>no</v>
      </c>
      <c r="AQ21" s="97"/>
      <c r="AR21" s="130"/>
      <c r="AS21" s="128"/>
      <c r="AT21" s="138"/>
      <c r="AU21" s="138"/>
      <c r="AV21" s="138"/>
      <c r="AW21" s="138"/>
      <c r="AX21" s="142"/>
      <c r="AY21" s="144"/>
      <c r="AZ21" s="138"/>
      <c r="BA21" s="138"/>
      <c r="BB21" s="138"/>
      <c r="BC21" s="138"/>
      <c r="BD21" s="127"/>
      <c r="BE21" s="126"/>
      <c r="BF21" s="138"/>
      <c r="BG21" s="138"/>
      <c r="BH21" s="138"/>
      <c r="BI21" s="138"/>
      <c r="BJ21" s="127"/>
      <c r="BK21" s="115"/>
      <c r="BN21" s="192"/>
    </row>
    <row r="22" spans="1:67" s="91" customFormat="1">
      <c r="A22" s="193"/>
      <c r="B22" s="194"/>
      <c r="C22" s="196" t="s">
        <v>135</v>
      </c>
      <c r="D22" s="196"/>
      <c r="E22" s="196"/>
      <c r="F22" s="194"/>
      <c r="G22" s="198"/>
      <c r="H22" s="95"/>
      <c r="I22" s="110" t="s">
        <v>136</v>
      </c>
      <c r="J22" s="110" t="s">
        <v>136</v>
      </c>
      <c r="K22" s="111" t="s">
        <v>137</v>
      </c>
      <c r="L22" s="111" t="s">
        <v>138</v>
      </c>
      <c r="M22" s="111" t="s">
        <v>138</v>
      </c>
      <c r="N22" s="111" t="s">
        <v>138</v>
      </c>
      <c r="O22" s="99"/>
      <c r="P22" s="99"/>
      <c r="Q22" s="97" t="str">
        <f t="shared" ca="1" si="0"/>
        <v>no</v>
      </c>
      <c r="R22" s="97"/>
      <c r="S22" s="130"/>
      <c r="T22" s="99"/>
      <c r="U22" s="93" t="s">
        <v>86</v>
      </c>
      <c r="V22" s="97" t="str">
        <f t="shared" ca="1" si="1"/>
        <v>no</v>
      </c>
      <c r="W22" s="97"/>
      <c r="X22" s="130"/>
      <c r="Y22" s="99"/>
      <c r="Z22" s="93" t="s">
        <v>86</v>
      </c>
      <c r="AA22" s="97" t="str">
        <f t="shared" ca="1" si="2"/>
        <v>no</v>
      </c>
      <c r="AB22" s="97"/>
      <c r="AC22" s="130"/>
      <c r="AD22" s="99" t="s">
        <v>86</v>
      </c>
      <c r="AE22" s="93" t="s">
        <v>86</v>
      </c>
      <c r="AF22" s="97" t="str">
        <f t="shared" ca="1" si="3"/>
        <v>no</v>
      </c>
      <c r="AG22" s="97"/>
      <c r="AH22" s="130"/>
      <c r="AI22" s="99" t="s">
        <v>86</v>
      </c>
      <c r="AJ22" s="93" t="s">
        <v>86</v>
      </c>
      <c r="AK22" s="97" t="str">
        <f t="shared" ca="1" si="4"/>
        <v>no</v>
      </c>
      <c r="AL22" s="97"/>
      <c r="AM22" s="130"/>
      <c r="AN22" s="99" t="s">
        <v>86</v>
      </c>
      <c r="AO22" s="93" t="s">
        <v>86</v>
      </c>
      <c r="AP22" s="97" t="str">
        <f t="shared" ca="1" si="5"/>
        <v>no</v>
      </c>
      <c r="AQ22" s="97"/>
      <c r="AR22" s="130"/>
      <c r="AS22" s="128"/>
      <c r="AT22" s="138"/>
      <c r="AU22" s="138"/>
      <c r="AV22" s="138"/>
      <c r="AW22" s="138"/>
      <c r="AX22" s="142"/>
      <c r="AY22" s="144"/>
      <c r="AZ22" s="138"/>
      <c r="BA22" s="138"/>
      <c r="BB22" s="138"/>
      <c r="BC22" s="138"/>
      <c r="BD22" s="127"/>
      <c r="BE22" s="126"/>
      <c r="BF22" s="138"/>
      <c r="BG22" s="138"/>
      <c r="BH22" s="138"/>
      <c r="BI22" s="138"/>
      <c r="BJ22" s="127"/>
      <c r="BK22" s="115"/>
      <c r="BN22" s="192"/>
    </row>
    <row r="23" spans="1:67" s="91" customFormat="1" ht="15">
      <c r="A23" s="195"/>
      <c r="B23" s="194"/>
      <c r="C23" s="196"/>
      <c r="D23" s="196"/>
      <c r="E23" s="196"/>
      <c r="F23" s="194"/>
      <c r="G23" s="198"/>
      <c r="H23" s="95"/>
      <c r="I23" s="95"/>
      <c r="J23" s="95"/>
      <c r="K23" s="95"/>
      <c r="L23" s="95"/>
      <c r="M23" s="95"/>
      <c r="N23" s="95"/>
      <c r="O23" s="99"/>
      <c r="P23" s="99"/>
      <c r="Q23" s="97" t="str">
        <f t="shared" ref="Q23:Q32" ca="1" si="6">IF(P23="",(IF(AND(O23="T",INDIRECT(ADDRESS(ROW(O23),MATCH(O$5,$2:$2,0)))="A"),"yes",(IF(O23="S","yes",IF(O23=INDIRECT(ADDRESS(ROW(O23),MATCH(O$5,$2:$2,0))),"yes","no"))))),(IF(AND(P23="T",INDIRECT(ADDRESS(ROW(P23),MATCH(O$5,$2:$2,0)))="A"),"yes",(IF(P23="S","yes",IF(P23=INDIRECT(ADDRESS(ROW(P23),MATCH(O$5,$2:$2,0))),"yes","no"))))))</f>
        <v>yes</v>
      </c>
      <c r="R23" s="97"/>
      <c r="S23" s="130"/>
      <c r="T23" s="99"/>
      <c r="U23" s="93" t="s">
        <v>86</v>
      </c>
      <c r="V23" s="97" t="str">
        <f t="shared" ref="V23:V32" ca="1" si="7">IF(U23="",(IF(AND(T23="T",INDIRECT(ADDRESS(ROW(T23),MATCH(T$5,$2:$2,0)))="A"),"yes",(IF(T23="S","yes",IF(T23=INDIRECT(ADDRESS(ROW(T23),MATCH(T$5,$2:$2,0))),"yes","no"))))),(IF(AND(U23="T",INDIRECT(ADDRESS(ROW(U23),MATCH(T$5,$2:$2,0)))="A"),"yes",(IF(U23="S","yes",IF(U23=INDIRECT(ADDRESS(ROW(U23),MATCH(T$5,$2:$2,0))),"yes","no"))))))</f>
        <v>yes</v>
      </c>
      <c r="W23" s="97"/>
      <c r="X23" s="130"/>
      <c r="Y23" s="99"/>
      <c r="Z23" s="93" t="s">
        <v>86</v>
      </c>
      <c r="AA23" s="97" t="str">
        <f t="shared" ref="AA23:AA32" ca="1" si="8">IF(Z23="",(IF(AND(Y23="T",INDIRECT(ADDRESS(ROW(Y23),MATCH(Y$5,$2:$2,0)))="A"),"yes",(IF(Y23="S","yes",IF(Y23=INDIRECT(ADDRESS(ROW(Y23),MATCH(Y$5,$2:$2,0))),"yes","no"))))),(IF(AND(Z23="T",INDIRECT(ADDRESS(ROW(Z23),MATCH(Y$5,$2:$2,0)))="A"),"yes",(IF(Z23="S","yes",IF(Z23=INDIRECT(ADDRESS(ROW(Z23),MATCH(Y$5,$2:$2,0))),"yes","no"))))))</f>
        <v>yes</v>
      </c>
      <c r="AB23" s="97"/>
      <c r="AC23" s="130"/>
      <c r="AD23" s="99" t="s">
        <v>86</v>
      </c>
      <c r="AE23" s="93" t="s">
        <v>86</v>
      </c>
      <c r="AF23" s="97" t="str">
        <f t="shared" ref="AF23:AF32" ca="1" si="9">IF(AE23="",(IF(AND(AD23="T",INDIRECT(ADDRESS(ROW(AD23),MATCH(AD$5,$2:$2,0)))="A"),"yes",(IF(AD23="S","yes",IF(AD23=INDIRECT(ADDRESS(ROW(AD23),MATCH(AD$5,$2:$2,0))),"yes","no"))))),(IF(AND(AE23="T",INDIRECT(ADDRESS(ROW(AE23),MATCH(AD$5,$2:$2,0)))="A"),"yes",(IF(AE23="S","yes",IF(AE23=INDIRECT(ADDRESS(ROW(AE23),MATCH(AD$5,$2:$2,0))),"yes","no"))))))</f>
        <v>yes</v>
      </c>
      <c r="AG23" s="97"/>
      <c r="AH23" s="130"/>
      <c r="AI23" s="99" t="s">
        <v>86</v>
      </c>
      <c r="AJ23" s="93" t="s">
        <v>86</v>
      </c>
      <c r="AK23" s="97" t="str">
        <f t="shared" ref="AK23:AK32" ca="1" si="10">IF(AJ23="",(IF(AND(AI23="T",INDIRECT(ADDRESS(ROW(AI23),MATCH(AI$5,$2:$2,0)))="A"),"yes",(IF(AI23="S","yes",IF(AI23=INDIRECT(ADDRESS(ROW(AI23),MATCH(AI$5,$2:$2,0))),"yes","no"))))),(IF(AND(AJ23="T",INDIRECT(ADDRESS(ROW(AJ23),MATCH(AI$5,$2:$2,0)))="A"),"yes",(IF(AJ23="S","yes",IF(AJ23=INDIRECT(ADDRESS(ROW(AJ23),MATCH(AI$5,$2:$2,0))),"yes","no"))))))</f>
        <v>yes</v>
      </c>
      <c r="AL23" s="97"/>
      <c r="AM23" s="130"/>
      <c r="AN23" s="99" t="s">
        <v>86</v>
      </c>
      <c r="AO23" s="93" t="s">
        <v>86</v>
      </c>
      <c r="AP23" s="97" t="str">
        <f t="shared" ref="AP23:AP32" ca="1" si="11">IF(AO23="",(IF(AND(AN23="T",INDIRECT(ADDRESS(ROW(AN23),MATCH(AN$5,$2:$2,0)))="A"),"yes",(IF(AN23="S","yes",IF(AN23=INDIRECT(ADDRESS(ROW(AN23),MATCH(AN$5,$2:$2,0))),"yes","no"))))),(IF(AND(AO23="T",INDIRECT(ADDRESS(ROW(AO23),MATCH(AN$5,$2:$2,0)))="A"),"yes",(IF(AO23="S","yes",IF(AO23=INDIRECT(ADDRESS(ROW(AO23),MATCH(AN$5,$2:$2,0))),"yes","no"))))))</f>
        <v>yes</v>
      </c>
      <c r="AQ23" s="97"/>
      <c r="AR23" s="130"/>
      <c r="AS23" s="128"/>
      <c r="AT23" s="138"/>
      <c r="AU23" s="138"/>
      <c r="AV23" s="138"/>
      <c r="AW23" s="138"/>
      <c r="AX23" s="142"/>
      <c r="AY23" s="144"/>
      <c r="AZ23" s="138"/>
      <c r="BA23" s="138"/>
      <c r="BB23" s="138"/>
      <c r="BC23" s="138"/>
      <c r="BD23" s="127"/>
      <c r="BE23" s="126"/>
      <c r="BF23" s="138"/>
      <c r="BG23" s="138"/>
      <c r="BH23" s="138"/>
      <c r="BI23" s="138"/>
      <c r="BJ23" s="127"/>
      <c r="BK23" s="115"/>
    </row>
    <row r="24" spans="1:67" s="91" customFormat="1">
      <c r="A24" s="193"/>
      <c r="B24" s="194"/>
      <c r="C24" s="196"/>
      <c r="D24" s="196"/>
      <c r="E24" s="196"/>
      <c r="F24" s="194"/>
      <c r="G24" s="198"/>
      <c r="H24" s="95"/>
      <c r="I24" s="110" t="s">
        <v>136</v>
      </c>
      <c r="J24" s="110" t="s">
        <v>136</v>
      </c>
      <c r="K24" s="111" t="s">
        <v>137</v>
      </c>
      <c r="L24" s="111" t="s">
        <v>138</v>
      </c>
      <c r="M24" s="111" t="s">
        <v>138</v>
      </c>
      <c r="N24" s="111" t="s">
        <v>138</v>
      </c>
      <c r="O24" s="99"/>
      <c r="P24" s="99"/>
      <c r="Q24" s="97" t="str">
        <f t="shared" ca="1" si="6"/>
        <v>no</v>
      </c>
      <c r="R24" s="97"/>
      <c r="S24" s="130"/>
      <c r="T24" s="99"/>
      <c r="U24" s="93" t="s">
        <v>86</v>
      </c>
      <c r="V24" s="97" t="str">
        <f t="shared" ca="1" si="7"/>
        <v>no</v>
      </c>
      <c r="W24" s="97"/>
      <c r="X24" s="130"/>
      <c r="Y24" s="99"/>
      <c r="Z24" s="93" t="s">
        <v>86</v>
      </c>
      <c r="AA24" s="97" t="str">
        <f t="shared" ca="1" si="8"/>
        <v>no</v>
      </c>
      <c r="AB24" s="97"/>
      <c r="AC24" s="130"/>
      <c r="AD24" s="99" t="s">
        <v>86</v>
      </c>
      <c r="AE24" s="93" t="s">
        <v>86</v>
      </c>
      <c r="AF24" s="97" t="str">
        <f t="shared" ca="1" si="9"/>
        <v>no</v>
      </c>
      <c r="AG24" s="97"/>
      <c r="AH24" s="130"/>
      <c r="AI24" s="99" t="s">
        <v>86</v>
      </c>
      <c r="AJ24" s="93" t="s">
        <v>86</v>
      </c>
      <c r="AK24" s="97" t="str">
        <f t="shared" ca="1" si="10"/>
        <v>no</v>
      </c>
      <c r="AL24" s="97"/>
      <c r="AM24" s="130"/>
      <c r="AN24" s="99" t="s">
        <v>86</v>
      </c>
      <c r="AO24" s="93" t="s">
        <v>86</v>
      </c>
      <c r="AP24" s="97" t="str">
        <f t="shared" ca="1" si="11"/>
        <v>no</v>
      </c>
      <c r="AQ24" s="97"/>
      <c r="AR24" s="130"/>
      <c r="AS24" s="128"/>
      <c r="AT24" s="138"/>
      <c r="AU24" s="138"/>
      <c r="AV24" s="138"/>
      <c r="AW24" s="138"/>
      <c r="AX24" s="142"/>
      <c r="AY24" s="144"/>
      <c r="AZ24" s="138"/>
      <c r="BA24" s="138"/>
      <c r="BB24" s="138"/>
      <c r="BC24" s="138"/>
      <c r="BD24" s="127"/>
      <c r="BE24" s="126"/>
      <c r="BF24" s="138"/>
      <c r="BG24" s="138"/>
      <c r="BH24" s="138"/>
      <c r="BI24" s="138"/>
      <c r="BJ24" s="127"/>
      <c r="BK24" s="115"/>
      <c r="BN24" s="192"/>
      <c r="BO24" s="91">
        <v>1</v>
      </c>
    </row>
    <row r="25" spans="1:67" s="91" customFormat="1">
      <c r="A25" s="193"/>
      <c r="B25" s="194"/>
      <c r="C25" s="196"/>
      <c r="D25" s="196"/>
      <c r="E25" s="196"/>
      <c r="F25" s="194"/>
      <c r="G25" s="198"/>
      <c r="H25" s="95"/>
      <c r="I25" s="110" t="s">
        <v>136</v>
      </c>
      <c r="J25" s="110" t="s">
        <v>136</v>
      </c>
      <c r="K25" s="111" t="s">
        <v>137</v>
      </c>
      <c r="L25" s="111" t="s">
        <v>138</v>
      </c>
      <c r="M25" s="111" t="s">
        <v>138</v>
      </c>
      <c r="N25" s="111" t="s">
        <v>138</v>
      </c>
      <c r="O25" s="99"/>
      <c r="P25" s="93"/>
      <c r="Q25" s="97" t="str">
        <f t="shared" ca="1" si="6"/>
        <v>no</v>
      </c>
      <c r="R25" s="97"/>
      <c r="S25" s="96"/>
      <c r="T25" s="99"/>
      <c r="U25" s="93" t="s">
        <v>86</v>
      </c>
      <c r="V25" s="97" t="str">
        <f t="shared" ca="1" si="7"/>
        <v>no</v>
      </c>
      <c r="W25" s="97"/>
      <c r="X25" s="96"/>
      <c r="Y25" s="99"/>
      <c r="Z25" s="93" t="s">
        <v>86</v>
      </c>
      <c r="AA25" s="97" t="str">
        <f t="shared" ca="1" si="8"/>
        <v>no</v>
      </c>
      <c r="AB25" s="97"/>
      <c r="AC25" s="96"/>
      <c r="AD25" s="99" t="s">
        <v>86</v>
      </c>
      <c r="AE25" s="93" t="s">
        <v>86</v>
      </c>
      <c r="AF25" s="97" t="str">
        <f t="shared" ca="1" si="9"/>
        <v>no</v>
      </c>
      <c r="AG25" s="97"/>
      <c r="AH25" s="96"/>
      <c r="AI25" s="99" t="s">
        <v>86</v>
      </c>
      <c r="AJ25" s="93" t="s">
        <v>86</v>
      </c>
      <c r="AK25" s="97" t="str">
        <f t="shared" ca="1" si="10"/>
        <v>no</v>
      </c>
      <c r="AL25" s="97"/>
      <c r="AM25" s="96"/>
      <c r="AN25" s="99" t="s">
        <v>86</v>
      </c>
      <c r="AO25" s="93" t="s">
        <v>86</v>
      </c>
      <c r="AP25" s="97" t="str">
        <f t="shared" ca="1" si="11"/>
        <v>no</v>
      </c>
      <c r="AQ25" s="97"/>
      <c r="AR25" s="96"/>
      <c r="AS25" s="128"/>
      <c r="AT25" s="138"/>
      <c r="AU25" s="138"/>
      <c r="AV25" s="138"/>
      <c r="AW25" s="138"/>
      <c r="AX25" s="142"/>
      <c r="AY25" s="144"/>
      <c r="AZ25" s="138"/>
      <c r="BA25" s="138"/>
      <c r="BB25" s="138"/>
      <c r="BC25" s="138"/>
      <c r="BD25" s="127"/>
      <c r="BE25" s="126"/>
      <c r="BF25" s="138"/>
      <c r="BG25" s="138"/>
      <c r="BH25" s="138"/>
      <c r="BI25" s="138"/>
      <c r="BJ25" s="127"/>
      <c r="BK25" s="115"/>
      <c r="BN25" s="192"/>
      <c r="BO25" s="91">
        <v>1</v>
      </c>
    </row>
    <row r="26" spans="1:67" s="91" customFormat="1">
      <c r="A26" s="193"/>
      <c r="B26" s="194"/>
      <c r="C26" s="196" t="s">
        <v>135</v>
      </c>
      <c r="D26" s="196"/>
      <c r="E26" s="196"/>
      <c r="F26" s="194"/>
      <c r="G26" s="198"/>
      <c r="H26" s="95"/>
      <c r="I26" s="110" t="s">
        <v>136</v>
      </c>
      <c r="J26" s="110" t="s">
        <v>136</v>
      </c>
      <c r="K26" s="111" t="s">
        <v>137</v>
      </c>
      <c r="L26" s="111" t="s">
        <v>138</v>
      </c>
      <c r="M26" s="111" t="s">
        <v>138</v>
      </c>
      <c r="N26" s="111" t="s">
        <v>138</v>
      </c>
      <c r="O26" s="99"/>
      <c r="P26" s="93"/>
      <c r="Q26" s="97" t="str">
        <f t="shared" ca="1" si="6"/>
        <v>no</v>
      </c>
      <c r="R26" s="97"/>
      <c r="S26" s="96"/>
      <c r="T26" s="99"/>
      <c r="U26" s="93" t="s">
        <v>86</v>
      </c>
      <c r="V26" s="97" t="str">
        <f t="shared" ca="1" si="7"/>
        <v>no</v>
      </c>
      <c r="W26" s="97"/>
      <c r="X26" s="96"/>
      <c r="Y26" s="99"/>
      <c r="Z26" s="93" t="s">
        <v>86</v>
      </c>
      <c r="AA26" s="97" t="str">
        <f t="shared" ca="1" si="8"/>
        <v>no</v>
      </c>
      <c r="AB26" s="97"/>
      <c r="AC26" s="96"/>
      <c r="AD26" s="99" t="s">
        <v>86</v>
      </c>
      <c r="AE26" s="93" t="s">
        <v>86</v>
      </c>
      <c r="AF26" s="97" t="str">
        <f t="shared" ca="1" si="9"/>
        <v>no</v>
      </c>
      <c r="AG26" s="97"/>
      <c r="AH26" s="96"/>
      <c r="AI26" s="99" t="s">
        <v>86</v>
      </c>
      <c r="AJ26" s="93" t="s">
        <v>86</v>
      </c>
      <c r="AK26" s="97" t="str">
        <f t="shared" ca="1" si="10"/>
        <v>no</v>
      </c>
      <c r="AL26" s="97"/>
      <c r="AM26" s="96"/>
      <c r="AN26" s="99" t="s">
        <v>86</v>
      </c>
      <c r="AO26" s="93" t="s">
        <v>86</v>
      </c>
      <c r="AP26" s="97" t="str">
        <f t="shared" ca="1" si="11"/>
        <v>no</v>
      </c>
      <c r="AQ26" s="97"/>
      <c r="AR26" s="96"/>
      <c r="AS26" s="128"/>
      <c r="AT26" s="138"/>
      <c r="AU26" s="138"/>
      <c r="AV26" s="138"/>
      <c r="AW26" s="138"/>
      <c r="AX26" s="142"/>
      <c r="AY26" s="144"/>
      <c r="AZ26" s="138"/>
      <c r="BA26" s="138"/>
      <c r="BB26" s="138"/>
      <c r="BC26" s="138"/>
      <c r="BD26" s="127"/>
      <c r="BE26" s="126"/>
      <c r="BF26" s="138"/>
      <c r="BG26" s="138"/>
      <c r="BH26" s="138"/>
      <c r="BI26" s="138"/>
      <c r="BJ26" s="127"/>
      <c r="BK26" s="115"/>
      <c r="BN26" s="192"/>
      <c r="BO26" s="91">
        <v>1</v>
      </c>
    </row>
    <row r="27" spans="1:67" s="91" customFormat="1">
      <c r="A27" s="193"/>
      <c r="B27" s="194"/>
      <c r="C27" s="196"/>
      <c r="D27" s="196"/>
      <c r="E27" s="196"/>
      <c r="F27" s="194"/>
      <c r="G27" s="198"/>
      <c r="H27" s="109"/>
      <c r="I27" s="110" t="s">
        <v>136</v>
      </c>
      <c r="J27" s="110" t="s">
        <v>136</v>
      </c>
      <c r="K27" s="111" t="s">
        <v>137</v>
      </c>
      <c r="L27" s="111" t="s">
        <v>138</v>
      </c>
      <c r="M27" s="111" t="s">
        <v>138</v>
      </c>
      <c r="N27" s="111" t="s">
        <v>138</v>
      </c>
      <c r="O27" s="99"/>
      <c r="P27" s="99"/>
      <c r="Q27" s="114" t="str">
        <f t="shared" ca="1" si="6"/>
        <v>no</v>
      </c>
      <c r="R27" s="114"/>
      <c r="S27" s="135"/>
      <c r="T27" s="112"/>
      <c r="U27" s="111" t="s">
        <v>86</v>
      </c>
      <c r="V27" s="114" t="str">
        <f t="shared" ca="1" si="7"/>
        <v>no</v>
      </c>
      <c r="W27" s="114"/>
      <c r="X27" s="135"/>
      <c r="Y27" s="112"/>
      <c r="Z27" s="111" t="s">
        <v>86</v>
      </c>
      <c r="AA27" s="114" t="str">
        <f t="shared" ca="1" si="8"/>
        <v>no</v>
      </c>
      <c r="AB27" s="114"/>
      <c r="AC27" s="135"/>
      <c r="AD27" s="112" t="s">
        <v>86</v>
      </c>
      <c r="AE27" s="111" t="s">
        <v>86</v>
      </c>
      <c r="AF27" s="114" t="str">
        <f t="shared" ca="1" si="9"/>
        <v>no</v>
      </c>
      <c r="AG27" s="114"/>
      <c r="AH27" s="135"/>
      <c r="AI27" s="112" t="s">
        <v>86</v>
      </c>
      <c r="AJ27" s="111" t="s">
        <v>86</v>
      </c>
      <c r="AK27" s="114" t="str">
        <f t="shared" ca="1" si="10"/>
        <v>no</v>
      </c>
      <c r="AL27" s="114"/>
      <c r="AM27" s="135"/>
      <c r="AN27" s="112" t="s">
        <v>86</v>
      </c>
      <c r="AO27" s="111" t="s">
        <v>86</v>
      </c>
      <c r="AP27" s="114" t="str">
        <f t="shared" ca="1" si="11"/>
        <v>no</v>
      </c>
      <c r="AQ27" s="114"/>
      <c r="AR27" s="135"/>
      <c r="AS27" s="128"/>
      <c r="AT27" s="138"/>
      <c r="AU27" s="138"/>
      <c r="AV27" s="138"/>
      <c r="AW27" s="138"/>
      <c r="AX27" s="142"/>
      <c r="AY27" s="144"/>
      <c r="AZ27" s="138"/>
      <c r="BA27" s="138"/>
      <c r="BB27" s="138"/>
      <c r="BC27" s="138"/>
      <c r="BD27" s="127"/>
      <c r="BE27" s="126"/>
      <c r="BF27" s="138"/>
      <c r="BG27" s="138"/>
      <c r="BH27" s="138"/>
      <c r="BI27" s="138"/>
      <c r="BJ27" s="127"/>
      <c r="BK27" s="115"/>
      <c r="BN27" s="192"/>
    </row>
    <row r="28" spans="1:67" s="91" customFormat="1">
      <c r="A28" s="193"/>
      <c r="B28" s="194"/>
      <c r="C28" s="196" t="s">
        <v>135</v>
      </c>
      <c r="D28" s="196"/>
      <c r="E28" s="196"/>
      <c r="F28" s="194"/>
      <c r="G28" s="198"/>
      <c r="H28" s="109"/>
      <c r="I28" s="110" t="s">
        <v>136</v>
      </c>
      <c r="J28" s="110" t="s">
        <v>136</v>
      </c>
      <c r="K28" s="111" t="s">
        <v>137</v>
      </c>
      <c r="L28" s="111" t="s">
        <v>138</v>
      </c>
      <c r="M28" s="111" t="s">
        <v>138</v>
      </c>
      <c r="N28" s="111" t="s">
        <v>138</v>
      </c>
      <c r="O28" s="99"/>
      <c r="P28" s="99"/>
      <c r="Q28" s="114" t="str">
        <f t="shared" ca="1" si="6"/>
        <v>no</v>
      </c>
      <c r="R28" s="114"/>
      <c r="S28" s="135"/>
      <c r="T28" s="112"/>
      <c r="U28" s="111" t="s">
        <v>86</v>
      </c>
      <c r="V28" s="114" t="str">
        <f t="shared" ca="1" si="7"/>
        <v>no</v>
      </c>
      <c r="W28" s="114"/>
      <c r="X28" s="135"/>
      <c r="Y28" s="112"/>
      <c r="Z28" s="111" t="s">
        <v>86</v>
      </c>
      <c r="AA28" s="114" t="str">
        <f t="shared" ca="1" si="8"/>
        <v>no</v>
      </c>
      <c r="AB28" s="114"/>
      <c r="AC28" s="135"/>
      <c r="AD28" s="112" t="s">
        <v>86</v>
      </c>
      <c r="AE28" s="111" t="s">
        <v>86</v>
      </c>
      <c r="AF28" s="114" t="str">
        <f t="shared" ca="1" si="9"/>
        <v>no</v>
      </c>
      <c r="AG28" s="114"/>
      <c r="AH28" s="135"/>
      <c r="AI28" s="112" t="s">
        <v>86</v>
      </c>
      <c r="AJ28" s="111" t="s">
        <v>86</v>
      </c>
      <c r="AK28" s="114" t="str">
        <f t="shared" ca="1" si="10"/>
        <v>no</v>
      </c>
      <c r="AL28" s="114"/>
      <c r="AM28" s="135"/>
      <c r="AN28" s="112" t="s">
        <v>86</v>
      </c>
      <c r="AO28" s="111" t="s">
        <v>86</v>
      </c>
      <c r="AP28" s="114" t="str">
        <f t="shared" ca="1" si="11"/>
        <v>no</v>
      </c>
      <c r="AQ28" s="114"/>
      <c r="AR28" s="135"/>
      <c r="AS28" s="128"/>
      <c r="AT28" s="138"/>
      <c r="AU28" s="138"/>
      <c r="AV28" s="138"/>
      <c r="AW28" s="138"/>
      <c r="AX28" s="142"/>
      <c r="AY28" s="144"/>
      <c r="AZ28" s="138"/>
      <c r="BA28" s="138"/>
      <c r="BB28" s="138"/>
      <c r="BC28" s="138"/>
      <c r="BD28" s="127"/>
      <c r="BE28" s="126"/>
      <c r="BF28" s="138"/>
      <c r="BG28" s="138"/>
      <c r="BH28" s="138"/>
      <c r="BI28" s="138"/>
      <c r="BJ28" s="127"/>
      <c r="BK28" s="115"/>
      <c r="BN28" s="192"/>
    </row>
    <row r="29" spans="1:67" s="91" customFormat="1">
      <c r="A29" s="193"/>
      <c r="B29" s="194"/>
      <c r="C29" s="196" t="s">
        <v>135</v>
      </c>
      <c r="D29" s="196"/>
      <c r="E29" s="196"/>
      <c r="F29" s="194"/>
      <c r="G29" s="198"/>
      <c r="H29" s="109"/>
      <c r="I29" s="110" t="s">
        <v>136</v>
      </c>
      <c r="J29" s="110" t="s">
        <v>136</v>
      </c>
      <c r="K29" s="111" t="s">
        <v>137</v>
      </c>
      <c r="L29" s="111" t="s">
        <v>138</v>
      </c>
      <c r="M29" s="111" t="s">
        <v>138</v>
      </c>
      <c r="N29" s="111" t="s">
        <v>138</v>
      </c>
      <c r="O29" s="99"/>
      <c r="P29" s="99"/>
      <c r="Q29" s="114" t="str">
        <f t="shared" ca="1" si="6"/>
        <v>no</v>
      </c>
      <c r="R29" s="114"/>
      <c r="S29" s="135"/>
      <c r="T29" s="112"/>
      <c r="U29" s="111" t="s">
        <v>86</v>
      </c>
      <c r="V29" s="114" t="str">
        <f t="shared" ca="1" si="7"/>
        <v>no</v>
      </c>
      <c r="W29" s="114"/>
      <c r="X29" s="135"/>
      <c r="Y29" s="112"/>
      <c r="Z29" s="111" t="s">
        <v>86</v>
      </c>
      <c r="AA29" s="114" t="str">
        <f t="shared" ca="1" si="8"/>
        <v>no</v>
      </c>
      <c r="AB29" s="114"/>
      <c r="AC29" s="135"/>
      <c r="AD29" s="112" t="s">
        <v>86</v>
      </c>
      <c r="AE29" s="111" t="s">
        <v>86</v>
      </c>
      <c r="AF29" s="114" t="str">
        <f t="shared" ca="1" si="9"/>
        <v>no</v>
      </c>
      <c r="AG29" s="114"/>
      <c r="AH29" s="135"/>
      <c r="AI29" s="112" t="s">
        <v>86</v>
      </c>
      <c r="AJ29" s="111" t="s">
        <v>86</v>
      </c>
      <c r="AK29" s="114" t="str">
        <f t="shared" ca="1" si="10"/>
        <v>no</v>
      </c>
      <c r="AL29" s="114"/>
      <c r="AM29" s="135"/>
      <c r="AN29" s="112" t="s">
        <v>86</v>
      </c>
      <c r="AO29" s="111" t="s">
        <v>86</v>
      </c>
      <c r="AP29" s="114" t="str">
        <f t="shared" ca="1" si="11"/>
        <v>no</v>
      </c>
      <c r="AQ29" s="114"/>
      <c r="AR29" s="135"/>
      <c r="AS29" s="128"/>
      <c r="AT29" s="138"/>
      <c r="AU29" s="138"/>
      <c r="AV29" s="138"/>
      <c r="AW29" s="138"/>
      <c r="AX29" s="142"/>
      <c r="AY29" s="144"/>
      <c r="AZ29" s="138"/>
      <c r="BA29" s="138"/>
      <c r="BB29" s="138"/>
      <c r="BC29" s="138"/>
      <c r="BD29" s="127"/>
      <c r="BE29" s="126"/>
      <c r="BF29" s="138"/>
      <c r="BG29" s="138"/>
      <c r="BH29" s="138"/>
      <c r="BI29" s="138"/>
      <c r="BJ29" s="127"/>
      <c r="BK29" s="115"/>
      <c r="BN29" s="192"/>
    </row>
    <row r="30" spans="1:67" s="91" customFormat="1">
      <c r="A30" s="193"/>
      <c r="B30" s="194"/>
      <c r="C30" s="196"/>
      <c r="D30" s="196"/>
      <c r="E30" s="196"/>
      <c r="F30" s="194"/>
      <c r="G30" s="198"/>
      <c r="H30" s="109"/>
      <c r="I30" s="109"/>
      <c r="J30" s="109"/>
      <c r="K30" s="109"/>
      <c r="L30" s="109"/>
      <c r="M30" s="109"/>
      <c r="N30" s="109"/>
      <c r="O30" s="99"/>
      <c r="P30" s="99"/>
      <c r="Q30" s="114" t="str">
        <f t="shared" ca="1" si="6"/>
        <v>yes</v>
      </c>
      <c r="R30" s="114"/>
      <c r="S30" s="135"/>
      <c r="T30" s="112"/>
      <c r="U30" s="111" t="s">
        <v>86</v>
      </c>
      <c r="V30" s="114" t="str">
        <f t="shared" ca="1" si="7"/>
        <v>yes</v>
      </c>
      <c r="W30" s="114"/>
      <c r="X30" s="135"/>
      <c r="Y30" s="112"/>
      <c r="Z30" s="111" t="s">
        <v>86</v>
      </c>
      <c r="AA30" s="114" t="str">
        <f t="shared" ca="1" si="8"/>
        <v>yes</v>
      </c>
      <c r="AB30" s="114"/>
      <c r="AC30" s="135"/>
      <c r="AD30" s="112" t="s">
        <v>86</v>
      </c>
      <c r="AE30" s="111" t="s">
        <v>86</v>
      </c>
      <c r="AF30" s="114" t="str">
        <f t="shared" ca="1" si="9"/>
        <v>yes</v>
      </c>
      <c r="AG30" s="114"/>
      <c r="AH30" s="135"/>
      <c r="AI30" s="112" t="s">
        <v>86</v>
      </c>
      <c r="AJ30" s="111" t="s">
        <v>86</v>
      </c>
      <c r="AK30" s="114" t="str">
        <f t="shared" ca="1" si="10"/>
        <v>yes</v>
      </c>
      <c r="AL30" s="114"/>
      <c r="AM30" s="135"/>
      <c r="AN30" s="112" t="s">
        <v>86</v>
      </c>
      <c r="AO30" s="111" t="s">
        <v>86</v>
      </c>
      <c r="AP30" s="114" t="str">
        <f t="shared" ca="1" si="11"/>
        <v>yes</v>
      </c>
      <c r="AQ30" s="114"/>
      <c r="AR30" s="135"/>
      <c r="AS30" s="128"/>
      <c r="AT30" s="138"/>
      <c r="AU30" s="138"/>
      <c r="AV30" s="138"/>
      <c r="AW30" s="138"/>
      <c r="AX30" s="142"/>
      <c r="AY30" s="144"/>
      <c r="AZ30" s="138"/>
      <c r="BA30" s="138"/>
      <c r="BB30" s="138"/>
      <c r="BC30" s="138"/>
      <c r="BD30" s="127"/>
      <c r="BE30" s="126"/>
      <c r="BF30" s="138"/>
      <c r="BG30" s="138"/>
      <c r="BH30" s="138"/>
      <c r="BI30" s="138"/>
      <c r="BJ30" s="127"/>
      <c r="BK30" s="115"/>
      <c r="BN30" s="192"/>
    </row>
    <row r="31" spans="1:67" s="91" customFormat="1">
      <c r="A31" s="193"/>
      <c r="B31" s="194"/>
      <c r="C31" s="196" t="s">
        <v>135</v>
      </c>
      <c r="D31" s="196"/>
      <c r="E31" s="196"/>
      <c r="F31" s="194"/>
      <c r="G31" s="198"/>
      <c r="H31" s="109"/>
      <c r="I31" s="110" t="s">
        <v>136</v>
      </c>
      <c r="J31" s="110" t="s">
        <v>136</v>
      </c>
      <c r="K31" s="111" t="s">
        <v>137</v>
      </c>
      <c r="L31" s="111" t="s">
        <v>138</v>
      </c>
      <c r="M31" s="111" t="s">
        <v>138</v>
      </c>
      <c r="N31" s="111" t="s">
        <v>138</v>
      </c>
      <c r="O31" s="99"/>
      <c r="P31" s="99"/>
      <c r="Q31" s="114" t="str">
        <f t="shared" ca="1" si="6"/>
        <v>no</v>
      </c>
      <c r="R31" s="114"/>
      <c r="S31" s="135"/>
      <c r="T31" s="112"/>
      <c r="U31" s="111" t="s">
        <v>86</v>
      </c>
      <c r="V31" s="114" t="str">
        <f t="shared" ca="1" si="7"/>
        <v>no</v>
      </c>
      <c r="W31" s="114"/>
      <c r="X31" s="135"/>
      <c r="Y31" s="112"/>
      <c r="Z31" s="111" t="s">
        <v>86</v>
      </c>
      <c r="AA31" s="114" t="str">
        <f t="shared" ca="1" si="8"/>
        <v>no</v>
      </c>
      <c r="AB31" s="114"/>
      <c r="AC31" s="135"/>
      <c r="AD31" s="112" t="s">
        <v>86</v>
      </c>
      <c r="AE31" s="111" t="s">
        <v>86</v>
      </c>
      <c r="AF31" s="114" t="str">
        <f t="shared" ca="1" si="9"/>
        <v>no</v>
      </c>
      <c r="AG31" s="114"/>
      <c r="AH31" s="135"/>
      <c r="AI31" s="112" t="s">
        <v>86</v>
      </c>
      <c r="AJ31" s="111" t="s">
        <v>86</v>
      </c>
      <c r="AK31" s="114" t="str">
        <f t="shared" ca="1" si="10"/>
        <v>no</v>
      </c>
      <c r="AL31" s="114"/>
      <c r="AM31" s="135"/>
      <c r="AN31" s="112" t="s">
        <v>86</v>
      </c>
      <c r="AO31" s="111" t="s">
        <v>86</v>
      </c>
      <c r="AP31" s="114" t="str">
        <f t="shared" ca="1" si="11"/>
        <v>no</v>
      </c>
      <c r="AQ31" s="114"/>
      <c r="AR31" s="135"/>
      <c r="AS31" s="128"/>
      <c r="AT31" s="138"/>
      <c r="AU31" s="138"/>
      <c r="AV31" s="138"/>
      <c r="AW31" s="138"/>
      <c r="AX31" s="142"/>
      <c r="AY31" s="144"/>
      <c r="AZ31" s="138"/>
      <c r="BA31" s="138"/>
      <c r="BB31" s="138"/>
      <c r="BC31" s="138"/>
      <c r="BD31" s="127"/>
      <c r="BE31" s="126"/>
      <c r="BF31" s="138"/>
      <c r="BG31" s="138"/>
      <c r="BH31" s="138"/>
      <c r="BI31" s="138"/>
      <c r="BJ31" s="127"/>
      <c r="BK31" s="115"/>
      <c r="BN31" s="192"/>
    </row>
    <row r="32" spans="1:67" s="91" customFormat="1">
      <c r="A32" s="193"/>
      <c r="B32" s="194"/>
      <c r="C32" s="196"/>
      <c r="D32" s="196"/>
      <c r="E32" s="196"/>
      <c r="F32" s="194"/>
      <c r="G32" s="198"/>
      <c r="H32" s="109"/>
      <c r="I32" s="110" t="s">
        <v>136</v>
      </c>
      <c r="J32" s="110" t="s">
        <v>136</v>
      </c>
      <c r="K32" s="111" t="s">
        <v>137</v>
      </c>
      <c r="L32" s="111" t="s">
        <v>138</v>
      </c>
      <c r="M32" s="111" t="s">
        <v>138</v>
      </c>
      <c r="N32" s="111" t="s">
        <v>138</v>
      </c>
      <c r="O32" s="99"/>
      <c r="P32" s="99"/>
      <c r="Q32" s="114" t="str">
        <f t="shared" ca="1" si="6"/>
        <v>no</v>
      </c>
      <c r="R32" s="114"/>
      <c r="S32" s="135"/>
      <c r="T32" s="112"/>
      <c r="U32" s="111" t="s">
        <v>86</v>
      </c>
      <c r="V32" s="114" t="str">
        <f t="shared" ca="1" si="7"/>
        <v>no</v>
      </c>
      <c r="W32" s="114"/>
      <c r="X32" s="135"/>
      <c r="Y32" s="112"/>
      <c r="Z32" s="111" t="s">
        <v>86</v>
      </c>
      <c r="AA32" s="114" t="str">
        <f t="shared" ca="1" si="8"/>
        <v>no</v>
      </c>
      <c r="AB32" s="114"/>
      <c r="AC32" s="135"/>
      <c r="AD32" s="112" t="s">
        <v>86</v>
      </c>
      <c r="AE32" s="111" t="s">
        <v>86</v>
      </c>
      <c r="AF32" s="114" t="str">
        <f t="shared" ca="1" si="9"/>
        <v>no</v>
      </c>
      <c r="AG32" s="114"/>
      <c r="AH32" s="135"/>
      <c r="AI32" s="112" t="s">
        <v>86</v>
      </c>
      <c r="AJ32" s="111" t="s">
        <v>86</v>
      </c>
      <c r="AK32" s="114" t="str">
        <f t="shared" ca="1" si="10"/>
        <v>no</v>
      </c>
      <c r="AL32" s="114"/>
      <c r="AM32" s="135"/>
      <c r="AN32" s="112" t="s">
        <v>86</v>
      </c>
      <c r="AO32" s="111" t="s">
        <v>86</v>
      </c>
      <c r="AP32" s="114" t="str">
        <f t="shared" ca="1" si="11"/>
        <v>no</v>
      </c>
      <c r="AQ32" s="114"/>
      <c r="AR32" s="135"/>
      <c r="AS32" s="128"/>
      <c r="AT32" s="138"/>
      <c r="AU32" s="138"/>
      <c r="AV32" s="138"/>
      <c r="AW32" s="138"/>
      <c r="AX32" s="142"/>
      <c r="AY32" s="144"/>
      <c r="AZ32" s="138"/>
      <c r="BA32" s="138"/>
      <c r="BB32" s="138"/>
      <c r="BC32" s="138"/>
      <c r="BD32" s="127"/>
      <c r="BE32" s="126"/>
      <c r="BF32" s="138"/>
      <c r="BG32" s="138"/>
      <c r="BH32" s="138"/>
      <c r="BI32" s="138"/>
      <c r="BJ32" s="127"/>
      <c r="BK32" s="115"/>
      <c r="BN32" s="192"/>
    </row>
    <row r="33" spans="1:67" s="91" customFormat="1">
      <c r="A33" s="193"/>
      <c r="B33" s="194"/>
      <c r="C33" s="196" t="s">
        <v>135</v>
      </c>
      <c r="D33" s="196"/>
      <c r="E33" s="197"/>
      <c r="F33" s="194"/>
      <c r="G33" s="198"/>
      <c r="H33" s="109"/>
      <c r="I33" s="110" t="s">
        <v>136</v>
      </c>
      <c r="J33" s="110" t="s">
        <v>136</v>
      </c>
      <c r="K33" s="111" t="s">
        <v>137</v>
      </c>
      <c r="L33" s="111" t="s">
        <v>138</v>
      </c>
      <c r="M33" s="111" t="s">
        <v>138</v>
      </c>
      <c r="N33" s="111" t="s">
        <v>138</v>
      </c>
      <c r="O33" s="99"/>
      <c r="P33" s="99"/>
      <c r="Q33" s="114"/>
      <c r="R33" s="114"/>
      <c r="S33" s="135"/>
      <c r="T33" s="112"/>
      <c r="U33" s="111"/>
      <c r="V33" s="114"/>
      <c r="W33" s="114"/>
      <c r="X33" s="135"/>
      <c r="Y33" s="112"/>
      <c r="Z33" s="111"/>
      <c r="AA33" s="114"/>
      <c r="AB33" s="114"/>
      <c r="AC33" s="135"/>
      <c r="AD33" s="112"/>
      <c r="AE33" s="111"/>
      <c r="AF33" s="114"/>
      <c r="AG33" s="114"/>
      <c r="AH33" s="135"/>
      <c r="AI33" s="112"/>
      <c r="AJ33" s="111"/>
      <c r="AK33" s="114"/>
      <c r="AL33" s="114"/>
      <c r="AM33" s="135"/>
      <c r="AN33" s="112"/>
      <c r="AO33" s="111"/>
      <c r="AP33" s="114"/>
      <c r="AQ33" s="114"/>
      <c r="AR33" s="135"/>
      <c r="AS33" s="128"/>
      <c r="AT33" s="138"/>
      <c r="AU33" s="138"/>
      <c r="AV33" s="138"/>
      <c r="AW33" s="138"/>
      <c r="AX33" s="142"/>
      <c r="AY33" s="144"/>
      <c r="AZ33" s="138"/>
      <c r="BA33" s="138"/>
      <c r="BB33" s="138"/>
      <c r="BC33" s="138"/>
      <c r="BD33" s="127"/>
      <c r="BE33" s="126"/>
      <c r="BF33" s="138"/>
      <c r="BG33" s="138"/>
      <c r="BH33" s="138"/>
      <c r="BI33" s="138"/>
      <c r="BJ33" s="127"/>
      <c r="BK33" s="115"/>
      <c r="BN33" s="192"/>
    </row>
    <row r="34" spans="1:67" s="91" customFormat="1">
      <c r="A34" s="193"/>
      <c r="B34" s="194"/>
      <c r="C34" s="196"/>
      <c r="D34" s="196"/>
      <c r="E34" s="196"/>
      <c r="F34" s="194"/>
      <c r="G34" s="198"/>
      <c r="H34" s="109"/>
      <c r="I34" s="110" t="s">
        <v>136</v>
      </c>
      <c r="J34" s="110" t="s">
        <v>136</v>
      </c>
      <c r="K34" s="111" t="s">
        <v>137</v>
      </c>
      <c r="L34" s="111" t="s">
        <v>138</v>
      </c>
      <c r="M34" s="111" t="s">
        <v>138</v>
      </c>
      <c r="N34" s="111" t="s">
        <v>138</v>
      </c>
      <c r="O34" s="99"/>
      <c r="P34" s="99"/>
      <c r="Q34" s="114" t="str">
        <f t="shared" ref="Q34:Q44" ca="1" si="12">IF(P34="",(IF(AND(O34="T",INDIRECT(ADDRESS(ROW(O34),MATCH(O$5,$2:$2,0)))="A"),"yes",(IF(O34="S","yes",IF(O34=INDIRECT(ADDRESS(ROW(O34),MATCH(O$5,$2:$2,0))),"yes","no"))))),(IF(AND(P34="T",INDIRECT(ADDRESS(ROW(P34),MATCH(O$5,$2:$2,0)))="A"),"yes",(IF(P34="S","yes",IF(P34=INDIRECT(ADDRESS(ROW(P34),MATCH(O$5,$2:$2,0))),"yes","no"))))))</f>
        <v>no</v>
      </c>
      <c r="R34" s="114"/>
      <c r="S34" s="135"/>
      <c r="T34" s="112"/>
      <c r="U34" s="111" t="s">
        <v>86</v>
      </c>
      <c r="V34" s="114" t="str">
        <f t="shared" ref="V34:V44" ca="1" si="13">IF(U34="",(IF(AND(T34="T",INDIRECT(ADDRESS(ROW(T34),MATCH(T$5,$2:$2,0)))="A"),"yes",(IF(T34="S","yes",IF(T34=INDIRECT(ADDRESS(ROW(T34),MATCH(T$5,$2:$2,0))),"yes","no"))))),(IF(AND(U34="T",INDIRECT(ADDRESS(ROW(U34),MATCH(T$5,$2:$2,0)))="A"),"yes",(IF(U34="S","yes",IF(U34=INDIRECT(ADDRESS(ROW(U34),MATCH(T$5,$2:$2,0))),"yes","no"))))))</f>
        <v>no</v>
      </c>
      <c r="W34" s="114"/>
      <c r="X34" s="135"/>
      <c r="Y34" s="112"/>
      <c r="Z34" s="111" t="s">
        <v>86</v>
      </c>
      <c r="AA34" s="114" t="str">
        <f t="shared" ref="AA34:AA44" ca="1" si="14">IF(Z34="",(IF(AND(Y34="T",INDIRECT(ADDRESS(ROW(Y34),MATCH(Y$5,$2:$2,0)))="A"),"yes",(IF(Y34="S","yes",IF(Y34=INDIRECT(ADDRESS(ROW(Y34),MATCH(Y$5,$2:$2,0))),"yes","no"))))),(IF(AND(Z34="T",INDIRECT(ADDRESS(ROW(Z34),MATCH(Y$5,$2:$2,0)))="A"),"yes",(IF(Z34="S","yes",IF(Z34=INDIRECT(ADDRESS(ROW(Z34),MATCH(Y$5,$2:$2,0))),"yes","no"))))))</f>
        <v>no</v>
      </c>
      <c r="AB34" s="114"/>
      <c r="AC34" s="135"/>
      <c r="AD34" s="112" t="s">
        <v>86</v>
      </c>
      <c r="AE34" s="111" t="s">
        <v>86</v>
      </c>
      <c r="AF34" s="114" t="str">
        <f t="shared" ref="AF34:AF44" ca="1" si="15">IF(AE34="",(IF(AND(AD34="T",INDIRECT(ADDRESS(ROW(AD34),MATCH(AD$5,$2:$2,0)))="A"),"yes",(IF(AD34="S","yes",IF(AD34=INDIRECT(ADDRESS(ROW(AD34),MATCH(AD$5,$2:$2,0))),"yes","no"))))),(IF(AND(AE34="T",INDIRECT(ADDRESS(ROW(AE34),MATCH(AD$5,$2:$2,0)))="A"),"yes",(IF(AE34="S","yes",IF(AE34=INDIRECT(ADDRESS(ROW(AE34),MATCH(AD$5,$2:$2,0))),"yes","no"))))))</f>
        <v>no</v>
      </c>
      <c r="AG34" s="114"/>
      <c r="AH34" s="135"/>
      <c r="AI34" s="112" t="s">
        <v>86</v>
      </c>
      <c r="AJ34" s="111" t="s">
        <v>86</v>
      </c>
      <c r="AK34" s="114" t="str">
        <f t="shared" ref="AK34:AK44" ca="1" si="16">IF(AJ34="",(IF(AND(AI34="T",INDIRECT(ADDRESS(ROW(AI34),MATCH(AI$5,$2:$2,0)))="A"),"yes",(IF(AI34="S","yes",IF(AI34=INDIRECT(ADDRESS(ROW(AI34),MATCH(AI$5,$2:$2,0))),"yes","no"))))),(IF(AND(AJ34="T",INDIRECT(ADDRESS(ROW(AJ34),MATCH(AI$5,$2:$2,0)))="A"),"yes",(IF(AJ34="S","yes",IF(AJ34=INDIRECT(ADDRESS(ROW(AJ34),MATCH(AI$5,$2:$2,0))),"yes","no"))))))</f>
        <v>no</v>
      </c>
      <c r="AL34" s="114"/>
      <c r="AM34" s="135"/>
      <c r="AN34" s="112" t="s">
        <v>86</v>
      </c>
      <c r="AO34" s="111" t="s">
        <v>86</v>
      </c>
      <c r="AP34" s="114" t="str">
        <f t="shared" ref="AP34:AP44" ca="1" si="17">IF(AO34="",(IF(AND(AN34="T",INDIRECT(ADDRESS(ROW(AN34),MATCH(AN$5,$2:$2,0)))="A"),"yes",(IF(AN34="S","yes",IF(AN34=INDIRECT(ADDRESS(ROW(AN34),MATCH(AN$5,$2:$2,0))),"yes","no"))))),(IF(AND(AO34="T",INDIRECT(ADDRESS(ROW(AO34),MATCH(AN$5,$2:$2,0)))="A"),"yes",(IF(AO34="S","yes",IF(AO34=INDIRECT(ADDRESS(ROW(AO34),MATCH(AN$5,$2:$2,0))),"yes","no"))))))</f>
        <v>no</v>
      </c>
      <c r="AQ34" s="114"/>
      <c r="AR34" s="135"/>
      <c r="AS34" s="128"/>
      <c r="AT34" s="138"/>
      <c r="AU34" s="138"/>
      <c r="AV34" s="138"/>
      <c r="AW34" s="138"/>
      <c r="AX34" s="142"/>
      <c r="AY34" s="144"/>
      <c r="AZ34" s="138"/>
      <c r="BA34" s="138"/>
      <c r="BB34" s="138"/>
      <c r="BC34" s="138"/>
      <c r="BD34" s="127"/>
      <c r="BE34" s="126"/>
      <c r="BF34" s="138"/>
      <c r="BG34" s="138"/>
      <c r="BH34" s="138"/>
      <c r="BI34" s="138"/>
      <c r="BJ34" s="127"/>
      <c r="BK34" s="115"/>
      <c r="BN34" s="192"/>
    </row>
    <row r="35" spans="1:67" s="91" customFormat="1">
      <c r="A35" s="193"/>
      <c r="B35" s="194"/>
      <c r="C35" s="196" t="s">
        <v>135</v>
      </c>
      <c r="D35" s="196"/>
      <c r="E35" s="196"/>
      <c r="F35" s="194"/>
      <c r="G35" s="198"/>
      <c r="H35" s="95"/>
      <c r="I35" s="110" t="s">
        <v>136</v>
      </c>
      <c r="J35" s="110" t="s">
        <v>136</v>
      </c>
      <c r="K35" s="111" t="s">
        <v>137</v>
      </c>
      <c r="L35" s="111" t="s">
        <v>138</v>
      </c>
      <c r="M35" s="111" t="s">
        <v>138</v>
      </c>
      <c r="N35" s="111" t="s">
        <v>138</v>
      </c>
      <c r="O35" s="99"/>
      <c r="P35" s="99"/>
      <c r="Q35" s="97" t="str">
        <f t="shared" ca="1" si="12"/>
        <v>no</v>
      </c>
      <c r="R35" s="97"/>
      <c r="S35" s="130"/>
      <c r="T35" s="99"/>
      <c r="U35" s="93" t="s">
        <v>86</v>
      </c>
      <c r="V35" s="97" t="str">
        <f t="shared" ca="1" si="13"/>
        <v>no</v>
      </c>
      <c r="W35" s="97"/>
      <c r="X35" s="130"/>
      <c r="Y35" s="99"/>
      <c r="Z35" s="93" t="s">
        <v>86</v>
      </c>
      <c r="AA35" s="97" t="str">
        <f t="shared" ca="1" si="14"/>
        <v>no</v>
      </c>
      <c r="AB35" s="97"/>
      <c r="AC35" s="130"/>
      <c r="AD35" s="99" t="s">
        <v>86</v>
      </c>
      <c r="AE35" s="93" t="s">
        <v>86</v>
      </c>
      <c r="AF35" s="97" t="str">
        <f t="shared" ca="1" si="15"/>
        <v>no</v>
      </c>
      <c r="AG35" s="97"/>
      <c r="AH35" s="130"/>
      <c r="AI35" s="99" t="s">
        <v>86</v>
      </c>
      <c r="AJ35" s="93" t="s">
        <v>86</v>
      </c>
      <c r="AK35" s="97" t="str">
        <f t="shared" ca="1" si="16"/>
        <v>no</v>
      </c>
      <c r="AL35" s="97"/>
      <c r="AM35" s="130"/>
      <c r="AN35" s="99" t="s">
        <v>86</v>
      </c>
      <c r="AO35" s="93" t="s">
        <v>86</v>
      </c>
      <c r="AP35" s="97" t="str">
        <f t="shared" ca="1" si="17"/>
        <v>no</v>
      </c>
      <c r="AQ35" s="97"/>
      <c r="AR35" s="130"/>
      <c r="AS35" s="128"/>
      <c r="AT35" s="138"/>
      <c r="AU35" s="138"/>
      <c r="AV35" s="138"/>
      <c r="AW35" s="138"/>
      <c r="AX35" s="142"/>
      <c r="AY35" s="144"/>
      <c r="AZ35" s="138"/>
      <c r="BA35" s="138"/>
      <c r="BB35" s="138"/>
      <c r="BC35" s="138"/>
      <c r="BD35" s="127"/>
      <c r="BE35" s="126"/>
      <c r="BF35" s="138"/>
      <c r="BG35" s="138"/>
      <c r="BH35" s="138"/>
      <c r="BI35" s="138"/>
      <c r="BJ35" s="127"/>
      <c r="BK35" s="115"/>
      <c r="BN35" s="192"/>
    </row>
    <row r="36" spans="1:67" s="91" customFormat="1">
      <c r="A36" s="193"/>
      <c r="B36" s="194"/>
      <c r="C36" s="196"/>
      <c r="D36" s="196"/>
      <c r="E36" s="196"/>
      <c r="F36" s="194"/>
      <c r="G36" s="198"/>
      <c r="H36" s="95"/>
      <c r="I36" s="110" t="s">
        <v>136</v>
      </c>
      <c r="J36" s="110" t="s">
        <v>136</v>
      </c>
      <c r="K36" s="111" t="s">
        <v>137</v>
      </c>
      <c r="L36" s="111" t="s">
        <v>138</v>
      </c>
      <c r="M36" s="111" t="s">
        <v>138</v>
      </c>
      <c r="N36" s="111" t="s">
        <v>138</v>
      </c>
      <c r="O36" s="99"/>
      <c r="P36" s="99"/>
      <c r="Q36" s="97" t="str">
        <f t="shared" ca="1" si="12"/>
        <v>no</v>
      </c>
      <c r="R36" s="97"/>
      <c r="S36" s="130"/>
      <c r="T36" s="99"/>
      <c r="U36" s="93" t="s">
        <v>86</v>
      </c>
      <c r="V36" s="97" t="str">
        <f t="shared" ca="1" si="13"/>
        <v>no</v>
      </c>
      <c r="W36" s="97"/>
      <c r="X36" s="130"/>
      <c r="Y36" s="99"/>
      <c r="Z36" s="93" t="s">
        <v>86</v>
      </c>
      <c r="AA36" s="97" t="str">
        <f t="shared" ca="1" si="14"/>
        <v>no</v>
      </c>
      <c r="AB36" s="97"/>
      <c r="AC36" s="130"/>
      <c r="AD36" s="99" t="s">
        <v>86</v>
      </c>
      <c r="AE36" s="93" t="s">
        <v>86</v>
      </c>
      <c r="AF36" s="97" t="str">
        <f t="shared" ca="1" si="15"/>
        <v>no</v>
      </c>
      <c r="AG36" s="97"/>
      <c r="AH36" s="130"/>
      <c r="AI36" s="99" t="s">
        <v>86</v>
      </c>
      <c r="AJ36" s="93" t="s">
        <v>86</v>
      </c>
      <c r="AK36" s="97" t="str">
        <f t="shared" ca="1" si="16"/>
        <v>no</v>
      </c>
      <c r="AL36" s="97"/>
      <c r="AM36" s="130"/>
      <c r="AN36" s="99" t="s">
        <v>86</v>
      </c>
      <c r="AO36" s="93" t="s">
        <v>86</v>
      </c>
      <c r="AP36" s="97" t="str">
        <f t="shared" ca="1" si="17"/>
        <v>no</v>
      </c>
      <c r="AQ36" s="97"/>
      <c r="AR36" s="130"/>
      <c r="AS36" s="128"/>
      <c r="AT36" s="138"/>
      <c r="AU36" s="138"/>
      <c r="AV36" s="138"/>
      <c r="AW36" s="138"/>
      <c r="AX36" s="142"/>
      <c r="AY36" s="144"/>
      <c r="AZ36" s="138"/>
      <c r="BA36" s="138"/>
      <c r="BB36" s="138"/>
      <c r="BC36" s="138"/>
      <c r="BD36" s="127"/>
      <c r="BE36" s="126"/>
      <c r="BF36" s="138"/>
      <c r="BG36" s="138"/>
      <c r="BH36" s="138"/>
      <c r="BI36" s="138"/>
      <c r="BJ36" s="127"/>
      <c r="BK36" s="115"/>
      <c r="BN36" s="192"/>
    </row>
    <row r="37" spans="1:67" s="91" customFormat="1">
      <c r="A37" s="193"/>
      <c r="B37" s="194"/>
      <c r="C37" s="196" t="s">
        <v>135</v>
      </c>
      <c r="D37" s="196"/>
      <c r="E37" s="196"/>
      <c r="F37" s="194"/>
      <c r="G37" s="198"/>
      <c r="H37" s="95"/>
      <c r="I37" s="110" t="s">
        <v>136</v>
      </c>
      <c r="J37" s="110" t="s">
        <v>136</v>
      </c>
      <c r="K37" s="111" t="s">
        <v>137</v>
      </c>
      <c r="L37" s="111" t="s">
        <v>138</v>
      </c>
      <c r="M37" s="111" t="s">
        <v>138</v>
      </c>
      <c r="N37" s="111" t="s">
        <v>138</v>
      </c>
      <c r="O37" s="99"/>
      <c r="P37" s="99"/>
      <c r="Q37" s="97" t="str">
        <f t="shared" ca="1" si="12"/>
        <v>no</v>
      </c>
      <c r="R37" s="97"/>
      <c r="S37" s="130"/>
      <c r="T37" s="99"/>
      <c r="U37" s="93" t="s">
        <v>86</v>
      </c>
      <c r="V37" s="97" t="str">
        <f t="shared" ca="1" si="13"/>
        <v>no</v>
      </c>
      <c r="W37" s="97"/>
      <c r="X37" s="130"/>
      <c r="Y37" s="99"/>
      <c r="Z37" s="93" t="s">
        <v>86</v>
      </c>
      <c r="AA37" s="97" t="str">
        <f t="shared" ca="1" si="14"/>
        <v>no</v>
      </c>
      <c r="AB37" s="97"/>
      <c r="AC37" s="130"/>
      <c r="AD37" s="99" t="s">
        <v>86</v>
      </c>
      <c r="AE37" s="93" t="s">
        <v>86</v>
      </c>
      <c r="AF37" s="97" t="str">
        <f t="shared" ca="1" si="15"/>
        <v>no</v>
      </c>
      <c r="AG37" s="97"/>
      <c r="AH37" s="130"/>
      <c r="AI37" s="99" t="s">
        <v>86</v>
      </c>
      <c r="AJ37" s="93" t="s">
        <v>86</v>
      </c>
      <c r="AK37" s="97" t="str">
        <f t="shared" ca="1" si="16"/>
        <v>no</v>
      </c>
      <c r="AL37" s="97"/>
      <c r="AM37" s="130"/>
      <c r="AN37" s="99" t="s">
        <v>86</v>
      </c>
      <c r="AO37" s="93" t="s">
        <v>86</v>
      </c>
      <c r="AP37" s="97" t="str">
        <f t="shared" ca="1" si="17"/>
        <v>no</v>
      </c>
      <c r="AQ37" s="97"/>
      <c r="AR37" s="130"/>
      <c r="AS37" s="128"/>
      <c r="AT37" s="138"/>
      <c r="AU37" s="138"/>
      <c r="AV37" s="138"/>
      <c r="AW37" s="138"/>
      <c r="AX37" s="142"/>
      <c r="AY37" s="144"/>
      <c r="AZ37" s="138"/>
      <c r="BA37" s="138"/>
      <c r="BB37" s="138"/>
      <c r="BC37" s="138"/>
      <c r="BD37" s="127"/>
      <c r="BE37" s="126"/>
      <c r="BF37" s="138"/>
      <c r="BG37" s="138"/>
      <c r="BH37" s="138"/>
      <c r="BI37" s="138"/>
      <c r="BJ37" s="127"/>
      <c r="BK37" s="115"/>
    </row>
    <row r="38" spans="1:67" s="91" customFormat="1">
      <c r="A38" s="193"/>
      <c r="B38" s="194"/>
      <c r="C38" s="196" t="s">
        <v>135</v>
      </c>
      <c r="D38" s="196"/>
      <c r="E38" s="196"/>
      <c r="F38" s="194"/>
      <c r="G38" s="198"/>
      <c r="H38" s="95"/>
      <c r="I38" s="110" t="s">
        <v>136</v>
      </c>
      <c r="J38" s="110" t="s">
        <v>136</v>
      </c>
      <c r="K38" s="111" t="s">
        <v>137</v>
      </c>
      <c r="L38" s="111" t="s">
        <v>138</v>
      </c>
      <c r="M38" s="111" t="s">
        <v>138</v>
      </c>
      <c r="N38" s="111" t="s">
        <v>138</v>
      </c>
      <c r="O38" s="99"/>
      <c r="P38" s="99"/>
      <c r="Q38" s="97" t="str">
        <f t="shared" ca="1" si="12"/>
        <v>no</v>
      </c>
      <c r="R38" s="97"/>
      <c r="S38" s="130"/>
      <c r="T38" s="99"/>
      <c r="U38" s="93" t="s">
        <v>86</v>
      </c>
      <c r="V38" s="97" t="str">
        <f t="shared" ca="1" si="13"/>
        <v>no</v>
      </c>
      <c r="W38" s="97"/>
      <c r="X38" s="130"/>
      <c r="Y38" s="99"/>
      <c r="Z38" s="93" t="s">
        <v>86</v>
      </c>
      <c r="AA38" s="97" t="str">
        <f t="shared" ca="1" si="14"/>
        <v>no</v>
      </c>
      <c r="AB38" s="97"/>
      <c r="AC38" s="130"/>
      <c r="AD38" s="99" t="s">
        <v>86</v>
      </c>
      <c r="AE38" s="93" t="s">
        <v>86</v>
      </c>
      <c r="AF38" s="97" t="str">
        <f t="shared" ca="1" si="15"/>
        <v>no</v>
      </c>
      <c r="AG38" s="97"/>
      <c r="AH38" s="130"/>
      <c r="AI38" s="99" t="s">
        <v>86</v>
      </c>
      <c r="AJ38" s="93" t="s">
        <v>86</v>
      </c>
      <c r="AK38" s="97" t="str">
        <f t="shared" ca="1" si="16"/>
        <v>no</v>
      </c>
      <c r="AL38" s="97"/>
      <c r="AM38" s="130"/>
      <c r="AN38" s="99" t="s">
        <v>86</v>
      </c>
      <c r="AO38" s="93" t="s">
        <v>86</v>
      </c>
      <c r="AP38" s="97" t="str">
        <f t="shared" ca="1" si="17"/>
        <v>no</v>
      </c>
      <c r="AQ38" s="97"/>
      <c r="AR38" s="130"/>
      <c r="AS38" s="128"/>
      <c r="AT38" s="138"/>
      <c r="AU38" s="138"/>
      <c r="AV38" s="138"/>
      <c r="AW38" s="138"/>
      <c r="AX38" s="142"/>
      <c r="AY38" s="144"/>
      <c r="AZ38" s="138"/>
      <c r="BA38" s="138"/>
      <c r="BB38" s="138"/>
      <c r="BC38" s="138"/>
      <c r="BD38" s="127"/>
      <c r="BE38" s="126"/>
      <c r="BF38" s="138"/>
      <c r="BG38" s="138"/>
      <c r="BH38" s="138"/>
      <c r="BI38" s="138"/>
      <c r="BJ38" s="127"/>
      <c r="BK38" s="115"/>
      <c r="BN38" s="192"/>
    </row>
    <row r="39" spans="1:67" s="91" customFormat="1">
      <c r="A39" s="193"/>
      <c r="B39" s="194"/>
      <c r="C39" s="196" t="s">
        <v>135</v>
      </c>
      <c r="D39" s="196"/>
      <c r="E39" s="196"/>
      <c r="F39" s="194"/>
      <c r="G39" s="198"/>
      <c r="H39" s="95"/>
      <c r="I39" s="110" t="s">
        <v>136</v>
      </c>
      <c r="J39" s="110" t="s">
        <v>136</v>
      </c>
      <c r="K39" s="111" t="s">
        <v>137</v>
      </c>
      <c r="L39" s="111" t="s">
        <v>138</v>
      </c>
      <c r="M39" s="111" t="s">
        <v>138</v>
      </c>
      <c r="N39" s="111" t="s">
        <v>138</v>
      </c>
      <c r="O39" s="99"/>
      <c r="P39" s="99"/>
      <c r="Q39" s="97" t="str">
        <f t="shared" ca="1" si="12"/>
        <v>no</v>
      </c>
      <c r="R39" s="97"/>
      <c r="S39" s="130"/>
      <c r="T39" s="99"/>
      <c r="U39" s="93" t="s">
        <v>86</v>
      </c>
      <c r="V39" s="97" t="str">
        <f t="shared" ca="1" si="13"/>
        <v>no</v>
      </c>
      <c r="W39" s="97"/>
      <c r="X39" s="130"/>
      <c r="Y39" s="99"/>
      <c r="Z39" s="93" t="s">
        <v>86</v>
      </c>
      <c r="AA39" s="97" t="str">
        <f t="shared" ca="1" si="14"/>
        <v>no</v>
      </c>
      <c r="AB39" s="97"/>
      <c r="AC39" s="130"/>
      <c r="AD39" s="99" t="s">
        <v>86</v>
      </c>
      <c r="AE39" s="93" t="s">
        <v>86</v>
      </c>
      <c r="AF39" s="97" t="str">
        <f t="shared" ca="1" si="15"/>
        <v>no</v>
      </c>
      <c r="AG39" s="97"/>
      <c r="AH39" s="130"/>
      <c r="AI39" s="99" t="s">
        <v>86</v>
      </c>
      <c r="AJ39" s="93" t="s">
        <v>86</v>
      </c>
      <c r="AK39" s="97" t="str">
        <f t="shared" ca="1" si="16"/>
        <v>no</v>
      </c>
      <c r="AL39" s="97"/>
      <c r="AM39" s="130"/>
      <c r="AN39" s="99" t="s">
        <v>86</v>
      </c>
      <c r="AO39" s="93" t="s">
        <v>86</v>
      </c>
      <c r="AP39" s="97" t="str">
        <f t="shared" ca="1" si="17"/>
        <v>no</v>
      </c>
      <c r="AQ39" s="97"/>
      <c r="AR39" s="130"/>
      <c r="AS39" s="128"/>
      <c r="AT39" s="138"/>
      <c r="AU39" s="138"/>
      <c r="AV39" s="138"/>
      <c r="AW39" s="138"/>
      <c r="AX39" s="142"/>
      <c r="AY39" s="144"/>
      <c r="AZ39" s="138"/>
      <c r="BA39" s="138"/>
      <c r="BB39" s="138"/>
      <c r="BC39" s="138"/>
      <c r="BD39" s="127"/>
      <c r="BE39" s="126"/>
      <c r="BF39" s="138"/>
      <c r="BG39" s="138"/>
      <c r="BH39" s="138"/>
      <c r="BI39" s="138"/>
      <c r="BJ39" s="127"/>
      <c r="BK39" s="115"/>
      <c r="BN39" s="192"/>
    </row>
    <row r="40" spans="1:67" s="91" customFormat="1">
      <c r="A40" s="193"/>
      <c r="B40" s="194"/>
      <c r="C40" s="196" t="s">
        <v>135</v>
      </c>
      <c r="D40" s="196"/>
      <c r="E40" s="196"/>
      <c r="F40" s="194"/>
      <c r="G40" s="198"/>
      <c r="H40" s="131"/>
      <c r="I40" s="110" t="s">
        <v>136</v>
      </c>
      <c r="J40" s="110" t="s">
        <v>136</v>
      </c>
      <c r="K40" s="111" t="s">
        <v>137</v>
      </c>
      <c r="L40" s="111" t="s">
        <v>138</v>
      </c>
      <c r="M40" s="111" t="s">
        <v>138</v>
      </c>
      <c r="N40" s="111" t="s">
        <v>138</v>
      </c>
      <c r="O40" s="99"/>
      <c r="P40" s="99"/>
      <c r="Q40" s="102" t="str">
        <f t="shared" ca="1" si="12"/>
        <v>no</v>
      </c>
      <c r="R40" s="102"/>
      <c r="S40" s="136"/>
      <c r="T40" s="133"/>
      <c r="U40" s="132" t="s">
        <v>86</v>
      </c>
      <c r="V40" s="102" t="str">
        <f t="shared" ca="1" si="13"/>
        <v>no</v>
      </c>
      <c r="W40" s="102"/>
      <c r="X40" s="136"/>
      <c r="Y40" s="133"/>
      <c r="Z40" s="132" t="s">
        <v>86</v>
      </c>
      <c r="AA40" s="102" t="str">
        <f t="shared" ca="1" si="14"/>
        <v>no</v>
      </c>
      <c r="AB40" s="102"/>
      <c r="AC40" s="136"/>
      <c r="AD40" s="133" t="s">
        <v>86</v>
      </c>
      <c r="AE40" s="132" t="s">
        <v>86</v>
      </c>
      <c r="AF40" s="102" t="str">
        <f t="shared" ca="1" si="15"/>
        <v>no</v>
      </c>
      <c r="AG40" s="102"/>
      <c r="AH40" s="136"/>
      <c r="AI40" s="133" t="s">
        <v>86</v>
      </c>
      <c r="AJ40" s="132" t="s">
        <v>86</v>
      </c>
      <c r="AK40" s="102" t="str">
        <f t="shared" ca="1" si="16"/>
        <v>no</v>
      </c>
      <c r="AL40" s="102"/>
      <c r="AM40" s="136"/>
      <c r="AN40" s="133" t="s">
        <v>86</v>
      </c>
      <c r="AO40" s="132" t="s">
        <v>86</v>
      </c>
      <c r="AP40" s="102" t="str">
        <f t="shared" ca="1" si="17"/>
        <v>no</v>
      </c>
      <c r="AQ40" s="102"/>
      <c r="AR40" s="136"/>
      <c r="AS40" s="128"/>
      <c r="AT40" s="138"/>
      <c r="AU40" s="138"/>
      <c r="AV40" s="138"/>
      <c r="AW40" s="138"/>
      <c r="AX40" s="142"/>
      <c r="AY40" s="144"/>
      <c r="AZ40" s="138"/>
      <c r="BA40" s="138"/>
      <c r="BB40" s="138"/>
      <c r="BC40" s="138"/>
      <c r="BD40" s="127"/>
      <c r="BE40" s="126"/>
      <c r="BF40" s="138"/>
      <c r="BG40" s="138"/>
      <c r="BH40" s="138"/>
      <c r="BI40" s="138"/>
      <c r="BJ40" s="127"/>
      <c r="BK40" s="115"/>
      <c r="BN40" s="192"/>
    </row>
    <row r="41" spans="1:67" s="91" customFormat="1">
      <c r="A41" s="193"/>
      <c r="B41" s="194"/>
      <c r="C41" s="196" t="s">
        <v>135</v>
      </c>
      <c r="D41" s="196"/>
      <c r="E41" s="196"/>
      <c r="F41" s="194"/>
      <c r="G41" s="198"/>
      <c r="H41" s="95"/>
      <c r="I41" s="110" t="s">
        <v>136</v>
      </c>
      <c r="J41" s="110" t="s">
        <v>136</v>
      </c>
      <c r="K41" s="111" t="s">
        <v>137</v>
      </c>
      <c r="L41" s="111" t="s">
        <v>138</v>
      </c>
      <c r="M41" s="111" t="s">
        <v>138</v>
      </c>
      <c r="N41" s="111" t="s">
        <v>138</v>
      </c>
      <c r="O41" s="99"/>
      <c r="P41" s="99"/>
      <c r="Q41" s="97" t="str">
        <f t="shared" ca="1" si="12"/>
        <v>no</v>
      </c>
      <c r="R41" s="97"/>
      <c r="S41" s="130"/>
      <c r="T41" s="99"/>
      <c r="U41" s="93" t="s">
        <v>86</v>
      </c>
      <c r="V41" s="97" t="str">
        <f t="shared" ca="1" si="13"/>
        <v>no</v>
      </c>
      <c r="W41" s="97"/>
      <c r="X41" s="130"/>
      <c r="Y41" s="99"/>
      <c r="Z41" s="93" t="s">
        <v>86</v>
      </c>
      <c r="AA41" s="97" t="str">
        <f t="shared" ca="1" si="14"/>
        <v>no</v>
      </c>
      <c r="AB41" s="97"/>
      <c r="AC41" s="130"/>
      <c r="AD41" s="99" t="s">
        <v>86</v>
      </c>
      <c r="AE41" s="93" t="s">
        <v>86</v>
      </c>
      <c r="AF41" s="97" t="str">
        <f t="shared" ca="1" si="15"/>
        <v>no</v>
      </c>
      <c r="AG41" s="97"/>
      <c r="AH41" s="130"/>
      <c r="AI41" s="99" t="s">
        <v>86</v>
      </c>
      <c r="AJ41" s="93" t="s">
        <v>86</v>
      </c>
      <c r="AK41" s="97" t="str">
        <f t="shared" ca="1" si="16"/>
        <v>no</v>
      </c>
      <c r="AL41" s="97"/>
      <c r="AM41" s="130"/>
      <c r="AN41" s="99" t="s">
        <v>86</v>
      </c>
      <c r="AO41" s="93" t="s">
        <v>86</v>
      </c>
      <c r="AP41" s="97" t="str">
        <f t="shared" ca="1" si="17"/>
        <v>no</v>
      </c>
      <c r="AQ41" s="97"/>
      <c r="AR41" s="130"/>
      <c r="AS41" s="128"/>
      <c r="AT41" s="138"/>
      <c r="AU41" s="138"/>
      <c r="AV41" s="138"/>
      <c r="AW41" s="138"/>
      <c r="AX41" s="142"/>
      <c r="AY41" s="144"/>
      <c r="AZ41" s="138"/>
      <c r="BA41" s="138"/>
      <c r="BB41" s="138"/>
      <c r="BC41" s="138"/>
      <c r="BD41" s="127"/>
      <c r="BE41" s="126"/>
      <c r="BF41" s="138"/>
      <c r="BG41" s="138"/>
      <c r="BH41" s="138"/>
      <c r="BI41" s="138"/>
      <c r="BJ41" s="127"/>
      <c r="BK41" s="115"/>
      <c r="BN41" s="192"/>
    </row>
    <row r="42" spans="1:67" s="91" customFormat="1">
      <c r="A42" s="193"/>
      <c r="B42" s="194"/>
      <c r="C42" s="196" t="s">
        <v>135</v>
      </c>
      <c r="D42" s="196"/>
      <c r="E42" s="196"/>
      <c r="F42" s="194"/>
      <c r="G42" s="198"/>
      <c r="H42" s="95"/>
      <c r="I42" s="110" t="s">
        <v>136</v>
      </c>
      <c r="J42" s="110" t="s">
        <v>136</v>
      </c>
      <c r="K42" s="111" t="s">
        <v>137</v>
      </c>
      <c r="L42" s="111" t="s">
        <v>138</v>
      </c>
      <c r="M42" s="111" t="s">
        <v>138</v>
      </c>
      <c r="N42" s="111" t="s">
        <v>138</v>
      </c>
      <c r="O42" s="99"/>
      <c r="P42" s="99"/>
      <c r="Q42" s="97" t="str">
        <f t="shared" ca="1" si="12"/>
        <v>no</v>
      </c>
      <c r="R42" s="97"/>
      <c r="S42" s="130"/>
      <c r="T42" s="99"/>
      <c r="U42" s="93" t="s">
        <v>86</v>
      </c>
      <c r="V42" s="97" t="str">
        <f t="shared" ca="1" si="13"/>
        <v>no</v>
      </c>
      <c r="W42" s="97"/>
      <c r="X42" s="130"/>
      <c r="Y42" s="99"/>
      <c r="Z42" s="93" t="s">
        <v>86</v>
      </c>
      <c r="AA42" s="97" t="str">
        <f t="shared" ca="1" si="14"/>
        <v>no</v>
      </c>
      <c r="AB42" s="97"/>
      <c r="AC42" s="130"/>
      <c r="AD42" s="99" t="s">
        <v>86</v>
      </c>
      <c r="AE42" s="93" t="s">
        <v>86</v>
      </c>
      <c r="AF42" s="97" t="str">
        <f t="shared" ca="1" si="15"/>
        <v>no</v>
      </c>
      <c r="AG42" s="97"/>
      <c r="AH42" s="130"/>
      <c r="AI42" s="99" t="s">
        <v>86</v>
      </c>
      <c r="AJ42" s="93" t="s">
        <v>86</v>
      </c>
      <c r="AK42" s="97" t="str">
        <f t="shared" ca="1" si="16"/>
        <v>no</v>
      </c>
      <c r="AL42" s="97"/>
      <c r="AM42" s="130"/>
      <c r="AN42" s="99" t="s">
        <v>86</v>
      </c>
      <c r="AO42" s="93" t="s">
        <v>86</v>
      </c>
      <c r="AP42" s="97" t="str">
        <f t="shared" ca="1" si="17"/>
        <v>no</v>
      </c>
      <c r="AQ42" s="97"/>
      <c r="AR42" s="130"/>
      <c r="AS42" s="128"/>
      <c r="AT42" s="138"/>
      <c r="AU42" s="138"/>
      <c r="AV42" s="138"/>
      <c r="AW42" s="138"/>
      <c r="AX42" s="142"/>
      <c r="AY42" s="144"/>
      <c r="AZ42" s="138"/>
      <c r="BA42" s="138"/>
      <c r="BB42" s="138"/>
      <c r="BC42" s="138"/>
      <c r="BD42" s="127"/>
      <c r="BE42" s="126"/>
      <c r="BF42" s="138"/>
      <c r="BG42" s="138"/>
      <c r="BH42" s="138"/>
      <c r="BI42" s="138"/>
      <c r="BJ42" s="127"/>
      <c r="BK42" s="115"/>
    </row>
    <row r="43" spans="1:67" s="91" customFormat="1">
      <c r="A43" s="193"/>
      <c r="B43" s="194"/>
      <c r="C43" s="196" t="s">
        <v>135</v>
      </c>
      <c r="D43" s="196"/>
      <c r="E43" s="196"/>
      <c r="F43" s="194"/>
      <c r="G43" s="198"/>
      <c r="H43" s="95"/>
      <c r="I43" s="110" t="s">
        <v>136</v>
      </c>
      <c r="J43" s="110" t="s">
        <v>136</v>
      </c>
      <c r="K43" s="111" t="s">
        <v>137</v>
      </c>
      <c r="L43" s="111" t="s">
        <v>138</v>
      </c>
      <c r="M43" s="111" t="s">
        <v>138</v>
      </c>
      <c r="N43" s="111" t="s">
        <v>138</v>
      </c>
      <c r="O43" s="99"/>
      <c r="P43" s="99"/>
      <c r="Q43" s="97" t="str">
        <f t="shared" ca="1" si="12"/>
        <v>no</v>
      </c>
      <c r="R43" s="97"/>
      <c r="S43" s="130"/>
      <c r="T43" s="99"/>
      <c r="U43" s="93" t="s">
        <v>86</v>
      </c>
      <c r="V43" s="97" t="str">
        <f t="shared" ca="1" si="13"/>
        <v>no</v>
      </c>
      <c r="W43" s="97"/>
      <c r="X43" s="130"/>
      <c r="Y43" s="99"/>
      <c r="Z43" s="93" t="s">
        <v>86</v>
      </c>
      <c r="AA43" s="97" t="str">
        <f t="shared" ca="1" si="14"/>
        <v>no</v>
      </c>
      <c r="AB43" s="97"/>
      <c r="AC43" s="130"/>
      <c r="AD43" s="99" t="s">
        <v>86</v>
      </c>
      <c r="AE43" s="93" t="s">
        <v>86</v>
      </c>
      <c r="AF43" s="97" t="str">
        <f t="shared" ca="1" si="15"/>
        <v>no</v>
      </c>
      <c r="AG43" s="97"/>
      <c r="AH43" s="130"/>
      <c r="AI43" s="99" t="s">
        <v>86</v>
      </c>
      <c r="AJ43" s="93" t="s">
        <v>86</v>
      </c>
      <c r="AK43" s="97" t="str">
        <f t="shared" ca="1" si="16"/>
        <v>no</v>
      </c>
      <c r="AL43" s="97"/>
      <c r="AM43" s="130"/>
      <c r="AN43" s="99" t="s">
        <v>86</v>
      </c>
      <c r="AO43" s="93" t="s">
        <v>86</v>
      </c>
      <c r="AP43" s="97" t="str">
        <f t="shared" ca="1" si="17"/>
        <v>no</v>
      </c>
      <c r="AQ43" s="97"/>
      <c r="AR43" s="130"/>
      <c r="AS43" s="128"/>
      <c r="AT43" s="138"/>
      <c r="AU43" s="138"/>
      <c r="AV43" s="138"/>
      <c r="AW43" s="138"/>
      <c r="AX43" s="142"/>
      <c r="AY43" s="144"/>
      <c r="AZ43" s="138"/>
      <c r="BA43" s="138"/>
      <c r="BB43" s="138"/>
      <c r="BC43" s="138"/>
      <c r="BD43" s="127"/>
      <c r="BE43" s="126"/>
      <c r="BF43" s="138"/>
      <c r="BG43" s="138"/>
      <c r="BH43" s="138"/>
      <c r="BI43" s="138"/>
      <c r="BJ43" s="127"/>
      <c r="BK43" s="115"/>
    </row>
    <row r="44" spans="1:67" s="91" customFormat="1">
      <c r="A44" s="193"/>
      <c r="B44" s="194"/>
      <c r="C44" s="196" t="s">
        <v>135</v>
      </c>
      <c r="D44" s="196"/>
      <c r="E44" s="196"/>
      <c r="F44" s="194"/>
      <c r="G44" s="198"/>
      <c r="H44" s="95"/>
      <c r="I44" s="110" t="s">
        <v>136</v>
      </c>
      <c r="J44" s="110" t="s">
        <v>136</v>
      </c>
      <c r="K44" s="111" t="s">
        <v>137</v>
      </c>
      <c r="L44" s="111" t="s">
        <v>138</v>
      </c>
      <c r="M44" s="111" t="s">
        <v>138</v>
      </c>
      <c r="N44" s="111" t="s">
        <v>138</v>
      </c>
      <c r="O44" s="99"/>
      <c r="P44" s="99"/>
      <c r="Q44" s="97" t="str">
        <f t="shared" ca="1" si="12"/>
        <v>no</v>
      </c>
      <c r="R44" s="97"/>
      <c r="S44" s="130"/>
      <c r="T44" s="99"/>
      <c r="U44" s="93" t="s">
        <v>86</v>
      </c>
      <c r="V44" s="97" t="str">
        <f t="shared" ca="1" si="13"/>
        <v>no</v>
      </c>
      <c r="W44" s="97"/>
      <c r="X44" s="130"/>
      <c r="Y44" s="99"/>
      <c r="Z44" s="93" t="s">
        <v>86</v>
      </c>
      <c r="AA44" s="97" t="str">
        <f t="shared" ca="1" si="14"/>
        <v>no</v>
      </c>
      <c r="AB44" s="97"/>
      <c r="AC44" s="130"/>
      <c r="AD44" s="99" t="s">
        <v>86</v>
      </c>
      <c r="AE44" s="93" t="s">
        <v>86</v>
      </c>
      <c r="AF44" s="97" t="str">
        <f t="shared" ca="1" si="15"/>
        <v>no</v>
      </c>
      <c r="AG44" s="97"/>
      <c r="AH44" s="130"/>
      <c r="AI44" s="99" t="s">
        <v>86</v>
      </c>
      <c r="AJ44" s="93" t="s">
        <v>86</v>
      </c>
      <c r="AK44" s="97" t="str">
        <f t="shared" ca="1" si="16"/>
        <v>no</v>
      </c>
      <c r="AL44" s="97"/>
      <c r="AM44" s="130"/>
      <c r="AN44" s="99" t="s">
        <v>86</v>
      </c>
      <c r="AO44" s="93" t="s">
        <v>86</v>
      </c>
      <c r="AP44" s="97" t="str">
        <f t="shared" ca="1" si="17"/>
        <v>no</v>
      </c>
      <c r="AQ44" s="97"/>
      <c r="AR44" s="130"/>
      <c r="AS44" s="128"/>
      <c r="AT44" s="138"/>
      <c r="AU44" s="138"/>
      <c r="AV44" s="138"/>
      <c r="AW44" s="138"/>
      <c r="AX44" s="142"/>
      <c r="AY44" s="144"/>
      <c r="AZ44" s="138"/>
      <c r="BA44" s="138"/>
      <c r="BB44" s="138"/>
      <c r="BC44" s="138"/>
      <c r="BD44" s="127"/>
      <c r="BE44" s="126"/>
      <c r="BF44" s="138"/>
      <c r="BG44" s="138"/>
      <c r="BH44" s="138"/>
      <c r="BI44" s="138"/>
      <c r="BJ44" s="127"/>
      <c r="BK44" s="115"/>
      <c r="BN44" s="192"/>
      <c r="BO44" s="91">
        <v>1</v>
      </c>
    </row>
    <row r="45" spans="1:67" s="91" customFormat="1" ht="12" customHeight="1">
      <c r="A45" s="13" t="s">
        <v>89</v>
      </c>
      <c r="B45" s="14"/>
      <c r="C45" s="14"/>
      <c r="D45" s="14"/>
      <c r="E45" s="14"/>
      <c r="F45" s="14"/>
      <c r="G45" s="14"/>
      <c r="H45" s="14"/>
      <c r="I45" s="14"/>
      <c r="J45" s="14"/>
      <c r="K45" s="14"/>
      <c r="L45" s="14"/>
      <c r="M45" s="14"/>
      <c r="N45" s="15"/>
      <c r="O45" s="11" t="s">
        <v>37</v>
      </c>
      <c r="P45" s="12">
        <f ca="1">(R45/(R46+R45))*100</f>
        <v>15.151515151515152</v>
      </c>
      <c r="Q45" s="171" t="s">
        <v>83</v>
      </c>
      <c r="R45" s="172">
        <f ca="1">COUNTIF(Q10:Q44,"Yes")</f>
        <v>5</v>
      </c>
      <c r="S45" s="173"/>
      <c r="T45" s="85" t="s">
        <v>37</v>
      </c>
      <c r="U45" s="12">
        <f ca="1">(W45/(W46+W45))*100</f>
        <v>15.151515151515152</v>
      </c>
      <c r="V45" s="171" t="s">
        <v>83</v>
      </c>
      <c r="W45" s="172">
        <f ca="1">COUNTIF(V10:V44,"Yes")</f>
        <v>5</v>
      </c>
      <c r="X45" s="173"/>
      <c r="Y45" s="85" t="s">
        <v>37</v>
      </c>
      <c r="Z45" s="12">
        <f ca="1">(AB45/(AB46+AB45))*100</f>
        <v>15.151515151515152</v>
      </c>
      <c r="AA45" s="171" t="s">
        <v>83</v>
      </c>
      <c r="AB45" s="172">
        <f ca="1">COUNTIF(AA10:AA44,"Yes")</f>
        <v>5</v>
      </c>
      <c r="AC45" s="173"/>
      <c r="AD45" s="85" t="s">
        <v>37</v>
      </c>
      <c r="AE45" s="12">
        <f ca="1">(AG45/(AG46+AG45))*100</f>
        <v>15.151515151515152</v>
      </c>
      <c r="AF45" s="171" t="s">
        <v>83</v>
      </c>
      <c r="AG45" s="172">
        <f ca="1">COUNTIF(AF10:AF44,"Yes")</f>
        <v>5</v>
      </c>
      <c r="AH45" s="173"/>
      <c r="AI45" s="85" t="s">
        <v>37</v>
      </c>
      <c r="AJ45" s="12">
        <f ca="1">(AL45/(AL46+AL45))*100</f>
        <v>15.151515151515152</v>
      </c>
      <c r="AK45" s="171" t="s">
        <v>83</v>
      </c>
      <c r="AL45" s="172">
        <f ca="1">COUNTIF(AK10:AK44,"Yes")</f>
        <v>5</v>
      </c>
      <c r="AM45" s="173"/>
      <c r="AN45" s="85" t="s">
        <v>37</v>
      </c>
      <c r="AO45" s="12">
        <f ca="1">(AQ45/(AQ46+AQ45))*100</f>
        <v>15.151515151515152</v>
      </c>
      <c r="AP45" s="171" t="s">
        <v>83</v>
      </c>
      <c r="AQ45" s="172">
        <f ca="1">COUNTIF(AP10:AP44,"Yes")</f>
        <v>5</v>
      </c>
      <c r="AR45" s="173"/>
      <c r="AS45" s="19"/>
      <c r="AT45" s="16"/>
      <c r="AU45" s="16"/>
      <c r="AV45" s="16"/>
      <c r="AW45" s="16"/>
      <c r="AX45" s="16"/>
      <c r="AY45" s="20"/>
      <c r="AZ45" s="16"/>
      <c r="BA45" s="16"/>
      <c r="BB45" s="16"/>
      <c r="BC45" s="16"/>
      <c r="BD45" s="16"/>
      <c r="BE45" s="16"/>
      <c r="BF45" s="16"/>
      <c r="BG45" s="16"/>
      <c r="BH45" s="16"/>
      <c r="BI45" s="16"/>
      <c r="BJ45" s="16"/>
      <c r="BK45" s="17"/>
    </row>
    <row r="46" spans="1:67" s="91" customFormat="1" ht="15" customHeight="1">
      <c r="A46" s="88"/>
      <c r="B46" s="87"/>
      <c r="C46" s="87"/>
      <c r="D46" s="87"/>
      <c r="E46" s="87"/>
      <c r="F46" s="87"/>
      <c r="G46" s="87"/>
      <c r="H46" s="87"/>
      <c r="I46" s="87"/>
      <c r="J46" s="87"/>
      <c r="K46" s="87"/>
      <c r="L46" s="87"/>
      <c r="M46" s="87"/>
      <c r="N46" s="86"/>
      <c r="O46" s="21"/>
      <c r="P46" s="18"/>
      <c r="Q46" s="174" t="s">
        <v>84</v>
      </c>
      <c r="R46" s="175">
        <f ca="1">COUNTIF(Q10:Q44,"No")</f>
        <v>28</v>
      </c>
      <c r="S46" s="176"/>
      <c r="T46" s="84"/>
      <c r="U46" s="18"/>
      <c r="V46" s="174" t="s">
        <v>84</v>
      </c>
      <c r="W46" s="175">
        <f ca="1">COUNTIF(V10:V44,"No")</f>
        <v>28</v>
      </c>
      <c r="X46" s="176"/>
      <c r="Y46" s="84"/>
      <c r="Z46" s="18"/>
      <c r="AA46" s="174" t="s">
        <v>84</v>
      </c>
      <c r="AB46" s="175">
        <f ca="1">COUNTIF(AA10:AA44,"No")</f>
        <v>28</v>
      </c>
      <c r="AC46" s="176"/>
      <c r="AD46" s="84"/>
      <c r="AE46" s="18"/>
      <c r="AF46" s="174" t="s">
        <v>84</v>
      </c>
      <c r="AG46" s="175">
        <f ca="1">COUNTIF(AF10:AF44,"No")</f>
        <v>28</v>
      </c>
      <c r="AH46" s="176"/>
      <c r="AI46" s="84"/>
      <c r="AJ46" s="18"/>
      <c r="AK46" s="174" t="s">
        <v>84</v>
      </c>
      <c r="AL46" s="175">
        <f ca="1">COUNTIF(AK10:AK44,"No")</f>
        <v>28</v>
      </c>
      <c r="AM46" s="176"/>
      <c r="AN46" s="84"/>
      <c r="AO46" s="18"/>
      <c r="AP46" s="174" t="s">
        <v>84</v>
      </c>
      <c r="AQ46" s="175">
        <f ca="1">COUNTIF(AP10:AP44,"No")</f>
        <v>28</v>
      </c>
      <c r="AR46" s="176"/>
      <c r="AS46" s="83"/>
      <c r="AT46" s="82"/>
      <c r="AU46" s="82"/>
      <c r="AV46" s="82"/>
      <c r="AW46" s="82"/>
      <c r="AX46" s="82"/>
      <c r="AY46" s="81"/>
      <c r="AZ46" s="82"/>
      <c r="BA46" s="82"/>
      <c r="BB46" s="82"/>
      <c r="BC46" s="82"/>
      <c r="BD46" s="82"/>
      <c r="BE46" s="82"/>
      <c r="BF46" s="82"/>
      <c r="BG46" s="82"/>
      <c r="BH46" s="82"/>
      <c r="BI46" s="82"/>
      <c r="BJ46" s="82"/>
      <c r="BK46" s="80"/>
    </row>
    <row r="47" spans="1:67" s="91" customFormat="1" ht="12" customHeight="1">
      <c r="A47" s="98"/>
      <c r="G47" s="166"/>
      <c r="I47" s="94"/>
      <c r="J47" s="94"/>
      <c r="K47" s="94"/>
      <c r="L47" s="94"/>
      <c r="M47" s="94"/>
      <c r="N47" s="94"/>
      <c r="O47" s="92"/>
      <c r="P47" s="92"/>
      <c r="Q47" s="92"/>
      <c r="R47" s="92"/>
      <c r="T47" s="92"/>
      <c r="U47" s="92"/>
      <c r="V47" s="92"/>
      <c r="W47" s="92"/>
      <c r="Y47" s="92"/>
      <c r="Z47" s="92"/>
      <c r="AA47" s="92"/>
      <c r="AB47" s="92"/>
      <c r="AD47" s="92"/>
      <c r="AE47" s="92"/>
      <c r="AF47" s="92"/>
      <c r="AG47" s="92"/>
      <c r="AI47" s="92"/>
      <c r="AJ47" s="92"/>
      <c r="AK47" s="92"/>
      <c r="AL47" s="92"/>
      <c r="AN47" s="92"/>
      <c r="AO47" s="92"/>
      <c r="AP47" s="92"/>
      <c r="AQ47" s="92"/>
    </row>
    <row r="48" spans="1:67" s="91" customFormat="1" ht="12">
      <c r="A48" s="98"/>
      <c r="G48" s="166"/>
      <c r="I48" s="94"/>
      <c r="J48" s="94"/>
      <c r="K48" s="94"/>
      <c r="L48" s="94"/>
      <c r="M48" s="94"/>
      <c r="N48" s="94"/>
      <c r="O48" s="92"/>
      <c r="P48" s="92"/>
      <c r="Q48" s="92"/>
      <c r="R48" s="92"/>
      <c r="T48" s="92"/>
      <c r="U48" s="92"/>
      <c r="V48" s="92"/>
      <c r="W48" s="92"/>
      <c r="Y48" s="92"/>
      <c r="Z48" s="92"/>
      <c r="AA48" s="92"/>
      <c r="AB48" s="92"/>
      <c r="AD48" s="92"/>
      <c r="AE48" s="92"/>
      <c r="AF48" s="92"/>
      <c r="AG48" s="92"/>
      <c r="AI48" s="92"/>
      <c r="AJ48" s="92"/>
      <c r="AK48" s="92"/>
      <c r="AL48" s="92"/>
      <c r="AN48" s="92"/>
      <c r="AO48" s="92"/>
      <c r="AP48" s="92"/>
      <c r="AQ48" s="92"/>
    </row>
    <row r="49" spans="1:43" s="91" customFormat="1" ht="12">
      <c r="A49" s="98"/>
      <c r="G49" s="166"/>
      <c r="I49" s="94"/>
      <c r="J49" s="94"/>
      <c r="K49" s="94"/>
      <c r="L49" s="94"/>
      <c r="M49" s="94"/>
      <c r="N49" s="94"/>
      <c r="O49" s="92"/>
      <c r="P49" s="92"/>
      <c r="Q49" s="92"/>
      <c r="R49" s="92"/>
      <c r="T49" s="92"/>
      <c r="U49" s="92"/>
      <c r="V49" s="92"/>
      <c r="W49" s="92"/>
      <c r="Y49" s="92"/>
      <c r="Z49" s="92"/>
      <c r="AA49" s="92"/>
      <c r="AB49" s="92"/>
      <c r="AD49" s="92"/>
      <c r="AE49" s="92"/>
      <c r="AF49" s="92"/>
      <c r="AG49" s="92"/>
      <c r="AI49" s="92"/>
      <c r="AJ49" s="92"/>
      <c r="AK49" s="92"/>
      <c r="AL49" s="92"/>
      <c r="AN49" s="92"/>
      <c r="AO49" s="92"/>
      <c r="AP49" s="92"/>
      <c r="AQ49" s="92"/>
    </row>
    <row r="50" spans="1:43" s="91" customFormat="1" ht="12">
      <c r="A50" s="98"/>
      <c r="G50" s="166"/>
      <c r="I50" s="94"/>
      <c r="J50" s="94"/>
      <c r="K50" s="94"/>
      <c r="L50" s="94"/>
      <c r="M50" s="94"/>
      <c r="N50" s="94"/>
      <c r="O50" s="92"/>
      <c r="P50" s="92"/>
      <c r="Q50" s="92"/>
      <c r="R50" s="92"/>
      <c r="T50" s="92"/>
      <c r="U50" s="92"/>
      <c r="V50" s="92"/>
      <c r="W50" s="92"/>
      <c r="Y50" s="92"/>
      <c r="Z50" s="92"/>
      <c r="AA50" s="92"/>
      <c r="AB50" s="92"/>
      <c r="AD50" s="92"/>
      <c r="AE50" s="92"/>
      <c r="AF50" s="92"/>
      <c r="AG50" s="92"/>
      <c r="AI50" s="92"/>
      <c r="AJ50" s="92"/>
      <c r="AK50" s="92"/>
      <c r="AL50" s="92"/>
      <c r="AN50" s="92"/>
      <c r="AO50" s="92"/>
      <c r="AP50" s="92"/>
      <c r="AQ50" s="92"/>
    </row>
  </sheetData>
  <mergeCells count="50">
    <mergeCell ref="AI45:AI46"/>
    <mergeCell ref="AJ45:AJ46"/>
    <mergeCell ref="AN45:AN46"/>
    <mergeCell ref="AO45:AO46"/>
    <mergeCell ref="AS45:BK46"/>
    <mergeCell ref="A9:BK9"/>
    <mergeCell ref="A45:N46"/>
    <mergeCell ref="O45:O46"/>
    <mergeCell ref="P45:P46"/>
    <mergeCell ref="T45:T46"/>
    <mergeCell ref="U45:U46"/>
    <mergeCell ref="Y45:Y46"/>
    <mergeCell ref="Z45:Z46"/>
    <mergeCell ref="AD45:AD46"/>
    <mergeCell ref="AE45:AE46"/>
    <mergeCell ref="AS5:AX6"/>
    <mergeCell ref="AY5:BD6"/>
    <mergeCell ref="BE5:BJ6"/>
    <mergeCell ref="BK5:BK8"/>
    <mergeCell ref="B8:E8"/>
    <mergeCell ref="I8:N8"/>
    <mergeCell ref="AO3:AP3"/>
    <mergeCell ref="F5:F6"/>
    <mergeCell ref="G5:G6"/>
    <mergeCell ref="O5:S6"/>
    <mergeCell ref="T5:X6"/>
    <mergeCell ref="Y5:AC6"/>
    <mergeCell ref="AD5:AH6"/>
    <mergeCell ref="AI5:AM6"/>
    <mergeCell ref="AN5:AR6"/>
    <mergeCell ref="Z2:AA2"/>
    <mergeCell ref="AE2:AF2"/>
    <mergeCell ref="AJ2:AK2"/>
    <mergeCell ref="AO2:AP2"/>
    <mergeCell ref="AS2:BK4"/>
    <mergeCell ref="P3:Q3"/>
    <mergeCell ref="U3:V3"/>
    <mergeCell ref="Z3:AA3"/>
    <mergeCell ref="AE3:AF3"/>
    <mergeCell ref="AJ3:AK3"/>
    <mergeCell ref="I1:N1"/>
    <mergeCell ref="O1:BK1"/>
    <mergeCell ref="I2:I6"/>
    <mergeCell ref="J2:J6"/>
    <mergeCell ref="K2:K6"/>
    <mergeCell ref="L2:L6"/>
    <mergeCell ref="M2:M6"/>
    <mergeCell ref="N2:N6"/>
    <mergeCell ref="P2:Q2"/>
    <mergeCell ref="U2:V2"/>
  </mergeCells>
  <conditionalFormatting sqref="AD10:AE44 AI10:AJ44 AN10:AO44 T10:U44 Y10:Z44 I10:P44">
    <cfRule type="containsText" dxfId="97" priority="104" operator="containsText" text="S">
      <formula>NOT(ISERROR(SEARCH("S",I10)))</formula>
    </cfRule>
    <cfRule type="containsText" dxfId="96" priority="105" operator="containsText" text="T">
      <formula>NOT(ISERROR(SEARCH("T",I10)))</formula>
    </cfRule>
    <cfRule type="containsText" dxfId="95" priority="106" operator="containsText" text="A">
      <formula>NOT(ISERROR(SEARCH("A",I10)))</formula>
    </cfRule>
  </conditionalFormatting>
  <conditionalFormatting sqref="O47">
    <cfRule type="cellIs" dxfId="94" priority="96" stopIfTrue="1" operator="equal">
      <formula>"6"</formula>
    </cfRule>
    <cfRule type="cellIs" dxfId="93" priority="97" stopIfTrue="1" operator="equal">
      <formula>"5"</formula>
    </cfRule>
    <cfRule type="cellIs" dxfId="92" priority="98" stopIfTrue="1" operator="equal">
      <formula>"4"</formula>
    </cfRule>
    <cfRule type="cellIs" dxfId="91" priority="99" stopIfTrue="1" operator="equal">
      <formula>"3"</formula>
    </cfRule>
    <cfRule type="cellIs" dxfId="90" priority="100" stopIfTrue="1" operator="equal">
      <formula>"!"</formula>
    </cfRule>
    <cfRule type="cellIs" dxfId="89" priority="101" stopIfTrue="1" operator="equal">
      <formula>"-"</formula>
    </cfRule>
    <cfRule type="cellIs" dxfId="88" priority="102" stopIfTrue="1" operator="equal">
      <formula>"0"</formula>
    </cfRule>
    <cfRule type="cellIs" dxfId="87" priority="103" stopIfTrue="1" operator="equal">
      <formula>"x"</formula>
    </cfRule>
  </conditionalFormatting>
  <conditionalFormatting sqref="O5">
    <cfRule type="expression" dxfId="86" priority="90">
      <formula>O5="RG6"</formula>
    </cfRule>
    <cfRule type="expression" dxfId="85" priority="91">
      <formula>O5="RG5"</formula>
    </cfRule>
    <cfRule type="expression" dxfId="84" priority="92">
      <formula>O5="RG4"</formula>
    </cfRule>
    <cfRule type="expression" dxfId="83" priority="93">
      <formula>O5="RG3"</formula>
    </cfRule>
    <cfRule type="expression" dxfId="82" priority="94">
      <formula>O5="RG2"</formula>
    </cfRule>
    <cfRule type="expression" dxfId="81" priority="95">
      <formula>O5="RG1"</formula>
    </cfRule>
  </conditionalFormatting>
  <conditionalFormatting sqref="P47">
    <cfRule type="cellIs" dxfId="80" priority="82" stopIfTrue="1" operator="equal">
      <formula>"6"</formula>
    </cfRule>
    <cfRule type="cellIs" dxfId="79" priority="83" stopIfTrue="1" operator="equal">
      <formula>"5"</formula>
    </cfRule>
    <cfRule type="cellIs" dxfId="78" priority="84" stopIfTrue="1" operator="equal">
      <formula>"4"</formula>
    </cfRule>
    <cfRule type="cellIs" dxfId="77" priority="85" stopIfTrue="1" operator="equal">
      <formula>"3"</formula>
    </cfRule>
    <cfRule type="cellIs" dxfId="76" priority="86" stopIfTrue="1" operator="equal">
      <formula>"!"</formula>
    </cfRule>
    <cfRule type="cellIs" dxfId="75" priority="87" stopIfTrue="1" operator="equal">
      <formula>"-"</formula>
    </cfRule>
    <cfRule type="cellIs" dxfId="74" priority="88" stopIfTrue="1" operator="equal">
      <formula>"0"</formula>
    </cfRule>
    <cfRule type="cellIs" dxfId="73" priority="89" stopIfTrue="1" operator="equal">
      <formula>"x"</formula>
    </cfRule>
  </conditionalFormatting>
  <conditionalFormatting sqref="P45:P46">
    <cfRule type="dataBar" priority="81">
      <dataBar>
        <cfvo type="num" val="1"/>
        <cfvo type="num" val="100"/>
        <color rgb="FF63C384"/>
      </dataBar>
      <extLst>
        <ext xmlns:x14="http://schemas.microsoft.com/office/spreadsheetml/2009/9/main" uri="{B025F937-C7B1-47D3-B67F-A62EFF666E3E}">
          <x14:id>{088F0D8E-D2EA-426B-95F3-F01022302D77}</x14:id>
        </ext>
      </extLst>
    </cfRule>
  </conditionalFormatting>
  <conditionalFormatting sqref="Q47">
    <cfRule type="cellIs" dxfId="72" priority="73" stopIfTrue="1" operator="equal">
      <formula>"6"</formula>
    </cfRule>
    <cfRule type="cellIs" dxfId="71" priority="74" stopIfTrue="1" operator="equal">
      <formula>"5"</formula>
    </cfRule>
    <cfRule type="cellIs" dxfId="70" priority="75" stopIfTrue="1" operator="equal">
      <formula>"4"</formula>
    </cfRule>
    <cfRule type="cellIs" dxfId="69" priority="76" stopIfTrue="1" operator="equal">
      <formula>"3"</formula>
    </cfRule>
    <cfRule type="cellIs" dxfId="68" priority="77" stopIfTrue="1" operator="equal">
      <formula>"!"</formula>
    </cfRule>
    <cfRule type="cellIs" dxfId="67" priority="78" stopIfTrue="1" operator="equal">
      <formula>"-"</formula>
    </cfRule>
    <cfRule type="cellIs" dxfId="66" priority="79" stopIfTrue="1" operator="equal">
      <formula>"0"</formula>
    </cfRule>
    <cfRule type="cellIs" dxfId="65" priority="80" stopIfTrue="1" operator="equal">
      <formula>"x"</formula>
    </cfRule>
  </conditionalFormatting>
  <conditionalFormatting sqref="AA45:AA46 V45:V46 AK45:AK46 AF45:AF46 Q45:Q46 AP45:AP46 AP10:AQ44 Q10:R44 AF10:AG44 AK10:AL44 V10:W44 AA10:AB44">
    <cfRule type="cellIs" dxfId="64" priority="71" operator="equal">
      <formula>"no"</formula>
    </cfRule>
    <cfRule type="containsText" dxfId="63" priority="72" operator="containsText" text="yes">
      <formula>NOT(ISERROR(SEARCH("yes",Q10)))</formula>
    </cfRule>
  </conditionalFormatting>
  <conditionalFormatting sqref="R47">
    <cfRule type="cellIs" dxfId="62" priority="63" stopIfTrue="1" operator="equal">
      <formula>"6"</formula>
    </cfRule>
    <cfRule type="cellIs" dxfId="61" priority="64" stopIfTrue="1" operator="equal">
      <formula>"5"</formula>
    </cfRule>
    <cfRule type="cellIs" dxfId="60" priority="65" stopIfTrue="1" operator="equal">
      <formula>"4"</formula>
    </cfRule>
    <cfRule type="cellIs" dxfId="59" priority="66" stopIfTrue="1" operator="equal">
      <formula>"3"</formula>
    </cfRule>
    <cfRule type="cellIs" dxfId="58" priority="67" stopIfTrue="1" operator="equal">
      <formula>"!"</formula>
    </cfRule>
    <cfRule type="cellIs" dxfId="57" priority="68" stopIfTrue="1" operator="equal">
      <formula>"-"</formula>
    </cfRule>
    <cfRule type="cellIs" dxfId="56" priority="69" stopIfTrue="1" operator="equal">
      <formula>"0"</formula>
    </cfRule>
    <cfRule type="cellIs" dxfId="55" priority="70" stopIfTrue="1" operator="equal">
      <formula>"x"</formula>
    </cfRule>
  </conditionalFormatting>
  <conditionalFormatting sqref="S47">
    <cfRule type="cellIs" dxfId="54" priority="55" stopIfTrue="1" operator="equal">
      <formula>"6"</formula>
    </cfRule>
    <cfRule type="cellIs" dxfId="53" priority="56" stopIfTrue="1" operator="equal">
      <formula>"5"</formula>
    </cfRule>
    <cfRule type="cellIs" dxfId="52" priority="57" stopIfTrue="1" operator="equal">
      <formula>"4"</formula>
    </cfRule>
    <cfRule type="cellIs" dxfId="51" priority="58" stopIfTrue="1" operator="equal">
      <formula>"3"</formula>
    </cfRule>
    <cfRule type="cellIs" dxfId="50" priority="59" stopIfTrue="1" operator="equal">
      <formula>"!"</formula>
    </cfRule>
    <cfRule type="cellIs" dxfId="49" priority="60" stopIfTrue="1" operator="equal">
      <formula>"-"</formula>
    </cfRule>
    <cfRule type="cellIs" dxfId="48" priority="61" stopIfTrue="1" operator="equal">
      <formula>"0"</formula>
    </cfRule>
    <cfRule type="cellIs" dxfId="47" priority="62" stopIfTrue="1" operator="equal">
      <formula>"x"</formula>
    </cfRule>
  </conditionalFormatting>
  <conditionalFormatting sqref="S4">
    <cfRule type="dataBar" priority="54">
      <dataBar>
        <cfvo type="num" val="1"/>
        <cfvo type="num" val="100"/>
        <color rgb="FF63C384"/>
      </dataBar>
      <extLst>
        <ext xmlns:x14="http://schemas.microsoft.com/office/spreadsheetml/2009/9/main" uri="{B025F937-C7B1-47D3-B67F-A62EFF666E3E}">
          <x14:id>{B991BE7B-FFF3-4B30-AD58-6FC5AAD6B55C}</x14:id>
        </ext>
      </extLst>
    </cfRule>
  </conditionalFormatting>
  <conditionalFormatting sqref="S3">
    <cfRule type="dataBar" priority="53">
      <dataBar>
        <cfvo type="num" val="1"/>
        <cfvo type="num" val="100"/>
        <color rgb="FF63C384"/>
      </dataBar>
      <extLst>
        <ext xmlns:x14="http://schemas.microsoft.com/office/spreadsheetml/2009/9/main" uri="{B025F937-C7B1-47D3-B67F-A62EFF666E3E}">
          <x14:id>{2E442206-4BD5-4BE0-94F1-CF1BFD5A3F68}</x14:id>
        </ext>
      </extLst>
    </cfRule>
  </conditionalFormatting>
  <conditionalFormatting sqref="S2">
    <cfRule type="dataBar" priority="52">
      <dataBar>
        <cfvo type="num" val="1"/>
        <cfvo type="num" val="100"/>
        <color rgb="FF63C384"/>
      </dataBar>
      <extLst>
        <ext xmlns:x14="http://schemas.microsoft.com/office/spreadsheetml/2009/9/main" uri="{B025F937-C7B1-47D3-B67F-A62EFF666E3E}">
          <x14:id>{8034E69D-4803-4C61-AA83-AA5ABCB1F10B}</x14:id>
        </ext>
      </extLst>
    </cfRule>
  </conditionalFormatting>
  <conditionalFormatting sqref="T47 Y47 AD47 AI47 AN47">
    <cfRule type="cellIs" dxfId="46" priority="44" stopIfTrue="1" operator="equal">
      <formula>"6"</formula>
    </cfRule>
    <cfRule type="cellIs" dxfId="45" priority="45" stopIfTrue="1" operator="equal">
      <formula>"5"</formula>
    </cfRule>
    <cfRule type="cellIs" dxfId="44" priority="46" stopIfTrue="1" operator="equal">
      <formula>"4"</formula>
    </cfRule>
    <cfRule type="cellIs" dxfId="43" priority="47" stopIfTrue="1" operator="equal">
      <formula>"3"</formula>
    </cfRule>
    <cfRule type="cellIs" dxfId="42" priority="48" stopIfTrue="1" operator="equal">
      <formula>"!"</formula>
    </cfRule>
    <cfRule type="cellIs" dxfId="41" priority="49" stopIfTrue="1" operator="equal">
      <formula>"-"</formula>
    </cfRule>
    <cfRule type="cellIs" dxfId="40" priority="50" stopIfTrue="1" operator="equal">
      <formula>"0"</formula>
    </cfRule>
    <cfRule type="cellIs" dxfId="39" priority="51" stopIfTrue="1" operator="equal">
      <formula>"x"</formula>
    </cfRule>
  </conditionalFormatting>
  <conditionalFormatting sqref="T5 Y5 AD5 AI5 AN5">
    <cfRule type="expression" dxfId="38" priority="38">
      <formula>T5="RG6"</formula>
    </cfRule>
    <cfRule type="expression" dxfId="37" priority="39">
      <formula>T5="RG5"</formula>
    </cfRule>
    <cfRule type="expression" dxfId="36" priority="40">
      <formula>T5="RG4"</formula>
    </cfRule>
    <cfRule type="expression" dxfId="35" priority="41">
      <formula>T5="RG3"</formula>
    </cfRule>
    <cfRule type="expression" dxfId="34" priority="42">
      <formula>T5="RG2"</formula>
    </cfRule>
    <cfRule type="expression" dxfId="33" priority="43">
      <formula>T5="RG1"</formula>
    </cfRule>
  </conditionalFormatting>
  <conditionalFormatting sqref="U47 Z47 AE47 AJ47 AO47">
    <cfRule type="cellIs" dxfId="32" priority="30" stopIfTrue="1" operator="equal">
      <formula>"6"</formula>
    </cfRule>
    <cfRule type="cellIs" dxfId="31" priority="31" stopIfTrue="1" operator="equal">
      <formula>"5"</formula>
    </cfRule>
    <cfRule type="cellIs" dxfId="30" priority="32" stopIfTrue="1" operator="equal">
      <formula>"4"</formula>
    </cfRule>
    <cfRule type="cellIs" dxfId="29" priority="33" stopIfTrue="1" operator="equal">
      <formula>"3"</formula>
    </cfRule>
    <cfRule type="cellIs" dxfId="28" priority="34" stopIfTrue="1" operator="equal">
      <formula>"!"</formula>
    </cfRule>
    <cfRule type="cellIs" dxfId="27" priority="35" stopIfTrue="1" operator="equal">
      <formula>"-"</formula>
    </cfRule>
    <cfRule type="cellIs" dxfId="26" priority="36" stopIfTrue="1" operator="equal">
      <formula>"0"</formula>
    </cfRule>
    <cfRule type="cellIs" dxfId="25" priority="37" stopIfTrue="1" operator="equal">
      <formula>"x"</formula>
    </cfRule>
  </conditionalFormatting>
  <conditionalFormatting sqref="U45:U46 Z45:Z46 AE45:AE46 AJ45:AJ46 AO45:AO46">
    <cfRule type="dataBar" priority="29">
      <dataBar>
        <cfvo type="num" val="1"/>
        <cfvo type="num" val="100"/>
        <color rgb="FF63C384"/>
      </dataBar>
      <extLst>
        <ext xmlns:x14="http://schemas.microsoft.com/office/spreadsheetml/2009/9/main" uri="{B025F937-C7B1-47D3-B67F-A62EFF666E3E}">
          <x14:id>{59126409-A034-407C-8414-DE8C40179DDB}</x14:id>
        </ext>
      </extLst>
    </cfRule>
  </conditionalFormatting>
  <conditionalFormatting sqref="V47 AA47 AF47 AK47 AP47">
    <cfRule type="cellIs" dxfId="24" priority="21" stopIfTrue="1" operator="equal">
      <formula>"6"</formula>
    </cfRule>
    <cfRule type="cellIs" dxfId="23" priority="22" stopIfTrue="1" operator="equal">
      <formula>"5"</formula>
    </cfRule>
    <cfRule type="cellIs" dxfId="22" priority="23" stopIfTrue="1" operator="equal">
      <formula>"4"</formula>
    </cfRule>
    <cfRule type="cellIs" dxfId="21" priority="24" stopIfTrue="1" operator="equal">
      <formula>"3"</formula>
    </cfRule>
    <cfRule type="cellIs" dxfId="20" priority="25" stopIfTrue="1" operator="equal">
      <formula>"!"</formula>
    </cfRule>
    <cfRule type="cellIs" dxfId="19" priority="26" stopIfTrue="1" operator="equal">
      <formula>"-"</formula>
    </cfRule>
    <cfRule type="cellIs" dxfId="18" priority="27" stopIfTrue="1" operator="equal">
      <formula>"0"</formula>
    </cfRule>
    <cfRule type="cellIs" dxfId="17" priority="28" stopIfTrue="1" operator="equal">
      <formula>"x"</formula>
    </cfRule>
  </conditionalFormatting>
  <conditionalFormatting sqref="W47 AB47 AG47 AL47 AQ47">
    <cfRule type="cellIs" dxfId="16" priority="13" stopIfTrue="1" operator="equal">
      <formula>"6"</formula>
    </cfRule>
    <cfRule type="cellIs" dxfId="15" priority="14" stopIfTrue="1" operator="equal">
      <formula>"5"</formula>
    </cfRule>
    <cfRule type="cellIs" dxfId="14" priority="15" stopIfTrue="1" operator="equal">
      <formula>"4"</formula>
    </cfRule>
    <cfRule type="cellIs" dxfId="13" priority="16" stopIfTrue="1" operator="equal">
      <formula>"3"</formula>
    </cfRule>
    <cfRule type="cellIs" dxfId="12" priority="17" stopIfTrue="1" operator="equal">
      <formula>"!"</formula>
    </cfRule>
    <cfRule type="cellIs" dxfId="11" priority="18" stopIfTrue="1" operator="equal">
      <formula>"-"</formula>
    </cfRule>
    <cfRule type="cellIs" dxfId="10" priority="19" stopIfTrue="1" operator="equal">
      <formula>"0"</formula>
    </cfRule>
    <cfRule type="cellIs" dxfId="9" priority="20" stopIfTrue="1" operator="equal">
      <formula>"x"</formula>
    </cfRule>
  </conditionalFormatting>
  <conditionalFormatting sqref="X47 AC47 AH47 AM47 AR47">
    <cfRule type="cellIs" dxfId="8" priority="5" stopIfTrue="1" operator="equal">
      <formula>"6"</formula>
    </cfRule>
    <cfRule type="cellIs" dxfId="7" priority="6" stopIfTrue="1" operator="equal">
      <formula>"5"</formula>
    </cfRule>
    <cfRule type="cellIs" dxfId="6" priority="7" stopIfTrue="1" operator="equal">
      <formula>"4"</formula>
    </cfRule>
    <cfRule type="cellIs" dxfId="5" priority="8" stopIfTrue="1" operator="equal">
      <formula>"3"</formula>
    </cfRule>
    <cfRule type="cellIs" dxfId="4" priority="9" stopIfTrue="1" operator="equal">
      <formula>"!"</formula>
    </cfRule>
    <cfRule type="cellIs" dxfId="3" priority="10" stopIfTrue="1" operator="equal">
      <formula>"-"</formula>
    </cfRule>
    <cfRule type="cellIs" dxfId="2" priority="11" stopIfTrue="1" operator="equal">
      <formula>"0"</formula>
    </cfRule>
    <cfRule type="cellIs" dxfId="1" priority="12" stopIfTrue="1" operator="equal">
      <formula>"x"</formula>
    </cfRule>
  </conditionalFormatting>
  <conditionalFormatting sqref="X4 AC4 AH4 AM4 AR4">
    <cfRule type="dataBar" priority="4">
      <dataBar>
        <cfvo type="num" val="1"/>
        <cfvo type="num" val="100"/>
        <color rgb="FF63C384"/>
      </dataBar>
      <extLst>
        <ext xmlns:x14="http://schemas.microsoft.com/office/spreadsheetml/2009/9/main" uri="{B025F937-C7B1-47D3-B67F-A62EFF666E3E}">
          <x14:id>{604311E9-2812-4892-BE0A-7B550118D35C}</x14:id>
        </ext>
      </extLst>
    </cfRule>
  </conditionalFormatting>
  <conditionalFormatting sqref="X3 AC3 AH3 AM3 AR3">
    <cfRule type="dataBar" priority="3">
      <dataBar>
        <cfvo type="num" val="1"/>
        <cfvo type="num" val="100"/>
        <color rgb="FF63C384"/>
      </dataBar>
      <extLst>
        <ext xmlns:x14="http://schemas.microsoft.com/office/spreadsheetml/2009/9/main" uri="{B025F937-C7B1-47D3-B67F-A62EFF666E3E}">
          <x14:id>{9A6A6844-5E00-4046-A232-9B80FDD4D60D}</x14:id>
        </ext>
      </extLst>
    </cfRule>
  </conditionalFormatting>
  <conditionalFormatting sqref="X2 AC2 AH2 AM2 AR2">
    <cfRule type="dataBar" priority="2">
      <dataBar>
        <cfvo type="num" val="1"/>
        <cfvo type="num" val="100"/>
        <color rgb="FF63C384"/>
      </dataBar>
      <extLst>
        <ext xmlns:x14="http://schemas.microsoft.com/office/spreadsheetml/2009/9/main" uri="{B025F937-C7B1-47D3-B67F-A62EFF666E3E}">
          <x14:id>{69902292-56E2-4FAD-B4C2-17247DCB4458}</x14:id>
        </ext>
      </extLst>
    </cfRule>
  </conditionalFormatting>
  <conditionalFormatting sqref="B10:C10 B12:B13 A11">
    <cfRule type="cellIs" dxfId="0" priority="1" operator="equal">
      <formula>"-"</formula>
    </cfRule>
  </conditionalFormatting>
  <dataValidations count="5">
    <dataValidation type="list" allowBlank="1" showInputMessage="1" showErrorMessage="1" sqref="Y10:Z15 T10:U15 Z16:Z37 U16:U37 P10:P44 O11:O44 T20:T37 Y20:Y37 AN10:AO44 AD10:AE44 AI10:AJ44 Y38:Z44 T38:U44" xr:uid="{8F91259F-CD4E-4ADD-823E-30C8FF221D3A}">
      <formula1>Status</formula1>
    </dataValidation>
    <dataValidation type="list" allowBlank="1" showInputMessage="1" showErrorMessage="1" sqref="U4 Z4 AE4 AJ4 P4 AO4" xr:uid="{2E18572D-F8E4-4079-BF06-C32E2843E264}">
      <formula1>Swip</formula1>
    </dataValidation>
    <dataValidation type="list" allowBlank="1" showInputMessage="1" showErrorMessage="1" sqref="V4 AA4 AF4 AK4 Q4 AP4" xr:uid="{98AE6B63-7F14-4952-9D5D-30B3694A1A36}">
      <formula1>SamplePhase</formula1>
    </dataValidation>
    <dataValidation type="list" allowBlank="1" showInputMessage="1" showErrorMessage="1" sqref="T5 Y5 AD5 AI5 O5 AN5" xr:uid="{6CA52641-DB4D-44F8-980A-5F7782C4CF14}">
      <formula1>MaturityLevel</formula1>
    </dataValidation>
    <dataValidation type="list" allowBlank="1" showInputMessage="1" showErrorMessage="1" sqref="U2 Z2 AE2 AJ2 P2 AO2" xr:uid="{1D69FFED-0F84-4B2A-8EB7-4227184E72A5}">
      <formula1>Milestones</formula1>
    </dataValidation>
  </dataValidations>
  <pageMargins left="0.7" right="0.7" top="0.78740157499999996" bottom="0.78740157499999996" header="0.3" footer="0.3"/>
  <pageSetup paperSize="9" orientation="portrait" r:id="rId1"/>
  <headerFooter>
    <oddHeader>&amp;R&amp;B&amp;"Gill Sans MT"&amp;10&amp;K808080​‌Classify:AUO-General‌​</oddHeader>
    <oddFooter>&amp;C_x000D_&amp;1#&amp;"BMW Group Condensed"&amp;12&amp;KC00000 CONFIDENTIAL&amp;R&amp;B&amp;"Gill Sans MT"&amp;10&amp;K808080​‌Classify:AUO-General‌​</oddFooter>
  </headerFooter>
  <drawing r:id="rId2"/>
  <legacyDrawing r:id="rId3"/>
  <controls>
    <mc:AlternateContent xmlns:mc="http://schemas.openxmlformats.org/markup-compatibility/2006">
      <mc:Choice Requires="x14">
        <control shapeId="7181" r:id="rId4" name="OptionButton2">
          <controlPr defaultSize="0" autoLine="0" autoPict="0" r:id="rId5">
            <anchor moveWithCells="1">
              <from>
                <xdr:col>6</xdr:col>
                <xdr:colOff>0</xdr:colOff>
                <xdr:row>4</xdr:row>
                <xdr:rowOff>28575</xdr:rowOff>
              </from>
              <to>
                <xdr:col>6</xdr:col>
                <xdr:colOff>0</xdr:colOff>
                <xdr:row>5</xdr:row>
                <xdr:rowOff>142875</xdr:rowOff>
              </to>
            </anchor>
          </controlPr>
        </control>
      </mc:Choice>
      <mc:Fallback>
        <control shapeId="7181" r:id="rId4" name="OptionButton2"/>
      </mc:Fallback>
    </mc:AlternateContent>
    <mc:AlternateContent xmlns:mc="http://schemas.openxmlformats.org/markup-compatibility/2006">
      <mc:Choice Requires="x14">
        <control shapeId="7180" r:id="rId6" name="OptionButton1">
          <controlPr defaultSize="0" autoLine="0" autoPict="0" r:id="rId7">
            <anchor moveWithCells="1">
              <from>
                <xdr:col>6</xdr:col>
                <xdr:colOff>0</xdr:colOff>
                <xdr:row>4</xdr:row>
                <xdr:rowOff>28575</xdr:rowOff>
              </from>
              <to>
                <xdr:col>6</xdr:col>
                <xdr:colOff>0</xdr:colOff>
                <xdr:row>5</xdr:row>
                <xdr:rowOff>152400</xdr:rowOff>
              </to>
            </anchor>
          </controlPr>
        </control>
      </mc:Choice>
      <mc:Fallback>
        <control shapeId="7180" r:id="rId6" name="OptionButton1"/>
      </mc:Fallback>
    </mc:AlternateContent>
    <mc:AlternateContent xmlns:mc="http://schemas.openxmlformats.org/markup-compatibility/2006">
      <mc:Choice Requires="x14">
        <control shapeId="7170" r:id="rId8" name="CommandButton1">
          <controlPr defaultSize="0" autoFill="0" autoLine="0" r:id="rId9">
            <anchor moveWithCells="1" sizeWithCells="1">
              <from>
                <xdr:col>3</xdr:col>
                <xdr:colOff>28575</xdr:colOff>
                <xdr:row>0</xdr:row>
                <xdr:rowOff>28575</xdr:rowOff>
              </from>
              <to>
                <xdr:col>3</xdr:col>
                <xdr:colOff>381000</xdr:colOff>
                <xdr:row>1</xdr:row>
                <xdr:rowOff>28575</xdr:rowOff>
              </to>
            </anchor>
          </controlPr>
        </control>
      </mc:Choice>
      <mc:Fallback>
        <control shapeId="7170" r:id="rId8" name="CommandButton1"/>
      </mc:Fallback>
    </mc:AlternateContent>
    <mc:AlternateContent xmlns:mc="http://schemas.openxmlformats.org/markup-compatibility/2006">
      <mc:Choice Requires="x14">
        <control shapeId="7169" r:id="rId10" name="Button 1">
          <controlPr defaultSize="0" print="0" autoFill="0" autoPict="0" macro="[0]!Analyse.Analyse" altText="Adapt ME">
            <anchor moveWithCells="1" sizeWithCells="1">
              <from>
                <xdr:col>44</xdr:col>
                <xdr:colOff>28575</xdr:colOff>
                <xdr:row>1</xdr:row>
                <xdr:rowOff>28575</xdr:rowOff>
              </from>
              <to>
                <xdr:col>62</xdr:col>
                <xdr:colOff>257175</xdr:colOff>
                <xdr:row>3</xdr:row>
                <xdr:rowOff>180975</xdr:rowOff>
              </to>
            </anchor>
          </controlPr>
        </control>
      </mc:Choice>
    </mc:AlternateContent>
    <mc:AlternateContent xmlns:mc="http://schemas.openxmlformats.org/markup-compatibility/2006">
      <mc:Choice Requires="x14">
        <control shapeId="7171" r:id="rId11" name="Button 3">
          <controlPr defaultSize="0" print="0" autoFill="0" autoPict="0" macro="[0]!AddMileStone.AddMileStone" altText="Adapt ME">
            <anchor moveWithCells="1" sizeWithCells="1">
              <from>
                <xdr:col>19</xdr:col>
                <xdr:colOff>28575</xdr:colOff>
                <xdr:row>1</xdr:row>
                <xdr:rowOff>28575</xdr:rowOff>
              </from>
              <to>
                <xdr:col>19</xdr:col>
                <xdr:colOff>447675</xdr:colOff>
                <xdr:row>1</xdr:row>
                <xdr:rowOff>180975</xdr:rowOff>
              </to>
            </anchor>
          </controlPr>
        </control>
      </mc:Choice>
    </mc:AlternateContent>
    <mc:AlternateContent xmlns:mc="http://schemas.openxmlformats.org/markup-compatibility/2006">
      <mc:Choice Requires="x14">
        <control shapeId="7172" r:id="rId12" name="Button 4">
          <controlPr defaultSize="0" print="0" autoFill="0" autoPict="0" macro="[0]!DeleteMileStone.DeleteMileStone" altText="Adapt ME">
            <anchor moveWithCells="1" sizeWithCells="1">
              <from>
                <xdr:col>19</xdr:col>
                <xdr:colOff>28575</xdr:colOff>
                <xdr:row>3</xdr:row>
                <xdr:rowOff>28575</xdr:rowOff>
              </from>
              <to>
                <xdr:col>19</xdr:col>
                <xdr:colOff>447675</xdr:colOff>
                <xdr:row>3</xdr:row>
                <xdr:rowOff>180975</xdr:rowOff>
              </to>
            </anchor>
          </controlPr>
        </control>
      </mc:Choice>
    </mc:AlternateContent>
    <mc:AlternateContent xmlns:mc="http://schemas.openxmlformats.org/markup-compatibility/2006">
      <mc:Choice Requires="x14">
        <control shapeId="7173" r:id="rId13" name="Button 5">
          <controlPr defaultSize="0" print="0" autoFill="0" autoPict="0" macro="[0]!ClearMS.ClearMS" altText="Adapt ME">
            <anchor moveWithCells="1" sizeWithCells="1">
              <from>
                <xdr:col>19</xdr:col>
                <xdr:colOff>28575</xdr:colOff>
                <xdr:row>2</xdr:row>
                <xdr:rowOff>28575</xdr:rowOff>
              </from>
              <to>
                <xdr:col>19</xdr:col>
                <xdr:colOff>447675</xdr:colOff>
                <xdr:row>2</xdr:row>
                <xdr:rowOff>180975</xdr:rowOff>
              </to>
            </anchor>
          </controlPr>
        </control>
      </mc:Choice>
    </mc:AlternateContent>
    <mc:AlternateContent xmlns:mc="http://schemas.openxmlformats.org/markup-compatibility/2006">
      <mc:Choice Requires="x14">
        <control shapeId="7174" r:id="rId14" name="Button 6">
          <controlPr defaultSize="0" print="0" autoFill="0" autoPict="0" macro="[0]!AddMileStone.AddMileStone" altText="Adapt ME">
            <anchor moveWithCells="1" sizeWithCells="1">
              <from>
                <xdr:col>24</xdr:col>
                <xdr:colOff>28575</xdr:colOff>
                <xdr:row>1</xdr:row>
                <xdr:rowOff>28575</xdr:rowOff>
              </from>
              <to>
                <xdr:col>24</xdr:col>
                <xdr:colOff>447675</xdr:colOff>
                <xdr:row>1</xdr:row>
                <xdr:rowOff>180975</xdr:rowOff>
              </to>
            </anchor>
          </controlPr>
        </control>
      </mc:Choice>
    </mc:AlternateContent>
    <mc:AlternateContent xmlns:mc="http://schemas.openxmlformats.org/markup-compatibility/2006">
      <mc:Choice Requires="x14">
        <control shapeId="7175" r:id="rId15" name="Button 7">
          <controlPr defaultSize="0" print="0" autoFill="0" autoPict="0" macro="[0]!DeleteMileStone.DeleteMileStone" altText="Adapt ME">
            <anchor moveWithCells="1" sizeWithCells="1">
              <from>
                <xdr:col>24</xdr:col>
                <xdr:colOff>28575</xdr:colOff>
                <xdr:row>3</xdr:row>
                <xdr:rowOff>28575</xdr:rowOff>
              </from>
              <to>
                <xdr:col>24</xdr:col>
                <xdr:colOff>447675</xdr:colOff>
                <xdr:row>3</xdr:row>
                <xdr:rowOff>180975</xdr:rowOff>
              </to>
            </anchor>
          </controlPr>
        </control>
      </mc:Choice>
    </mc:AlternateContent>
    <mc:AlternateContent xmlns:mc="http://schemas.openxmlformats.org/markup-compatibility/2006">
      <mc:Choice Requires="x14">
        <control shapeId="7176" r:id="rId16" name="Button 8">
          <controlPr defaultSize="0" print="0" autoFill="0" autoPict="0" macro="[0]!ClearMS.ClearMS" altText="Adapt ME">
            <anchor moveWithCells="1" sizeWithCells="1">
              <from>
                <xdr:col>24</xdr:col>
                <xdr:colOff>28575</xdr:colOff>
                <xdr:row>2</xdr:row>
                <xdr:rowOff>28575</xdr:rowOff>
              </from>
              <to>
                <xdr:col>24</xdr:col>
                <xdr:colOff>447675</xdr:colOff>
                <xdr:row>2</xdr:row>
                <xdr:rowOff>180975</xdr:rowOff>
              </to>
            </anchor>
          </controlPr>
        </control>
      </mc:Choice>
    </mc:AlternateContent>
    <mc:AlternateContent xmlns:mc="http://schemas.openxmlformats.org/markup-compatibility/2006">
      <mc:Choice Requires="x14">
        <control shapeId="7177" r:id="rId17" name="Button 9">
          <controlPr defaultSize="0" print="0" autoFill="0" autoPict="0" macro="[0]!AddMileStone.AddMileStone" altText="Adapt ME">
            <anchor moveWithCells="1" sizeWithCells="1">
              <from>
                <xdr:col>29</xdr:col>
                <xdr:colOff>28575</xdr:colOff>
                <xdr:row>1</xdr:row>
                <xdr:rowOff>28575</xdr:rowOff>
              </from>
              <to>
                <xdr:col>29</xdr:col>
                <xdr:colOff>447675</xdr:colOff>
                <xdr:row>1</xdr:row>
                <xdr:rowOff>180975</xdr:rowOff>
              </to>
            </anchor>
          </controlPr>
        </control>
      </mc:Choice>
    </mc:AlternateContent>
    <mc:AlternateContent xmlns:mc="http://schemas.openxmlformats.org/markup-compatibility/2006">
      <mc:Choice Requires="x14">
        <control shapeId="7178" r:id="rId18" name="Button 10">
          <controlPr defaultSize="0" print="0" autoFill="0" autoPict="0" macro="[0]!DeleteMileStone.DeleteMileStone" altText="Adapt ME">
            <anchor moveWithCells="1" sizeWithCells="1">
              <from>
                <xdr:col>29</xdr:col>
                <xdr:colOff>28575</xdr:colOff>
                <xdr:row>3</xdr:row>
                <xdr:rowOff>28575</xdr:rowOff>
              </from>
              <to>
                <xdr:col>29</xdr:col>
                <xdr:colOff>447675</xdr:colOff>
                <xdr:row>3</xdr:row>
                <xdr:rowOff>180975</xdr:rowOff>
              </to>
            </anchor>
          </controlPr>
        </control>
      </mc:Choice>
    </mc:AlternateContent>
    <mc:AlternateContent xmlns:mc="http://schemas.openxmlformats.org/markup-compatibility/2006">
      <mc:Choice Requires="x14">
        <control shapeId="7179" r:id="rId19" name="Button 11">
          <controlPr defaultSize="0" print="0" autoFill="0" autoPict="0" macro="[0]!ClearMS.ClearMS" altText="Adapt ME">
            <anchor moveWithCells="1" sizeWithCells="1">
              <from>
                <xdr:col>29</xdr:col>
                <xdr:colOff>28575</xdr:colOff>
                <xdr:row>2</xdr:row>
                <xdr:rowOff>28575</xdr:rowOff>
              </from>
              <to>
                <xdr:col>29</xdr:col>
                <xdr:colOff>447675</xdr:colOff>
                <xdr:row>2</xdr:row>
                <xdr:rowOff>180975</xdr:rowOff>
              </to>
            </anchor>
          </controlPr>
        </control>
      </mc:Choice>
    </mc:AlternateContent>
    <mc:AlternateContent xmlns:mc="http://schemas.openxmlformats.org/markup-compatibility/2006">
      <mc:Choice Requires="x14">
        <control shapeId="7182" r:id="rId20" name="Button 14">
          <controlPr defaultSize="0" print="0" autoFill="0" autoPict="0" macro="[0]!AddMileStone.AddMileStone" altText="Adapt ME">
            <anchor moveWithCells="1" sizeWithCells="1">
              <from>
                <xdr:col>34</xdr:col>
                <xdr:colOff>28575</xdr:colOff>
                <xdr:row>1</xdr:row>
                <xdr:rowOff>28575</xdr:rowOff>
              </from>
              <to>
                <xdr:col>34</xdr:col>
                <xdr:colOff>447675</xdr:colOff>
                <xdr:row>1</xdr:row>
                <xdr:rowOff>180975</xdr:rowOff>
              </to>
            </anchor>
          </controlPr>
        </control>
      </mc:Choice>
    </mc:AlternateContent>
    <mc:AlternateContent xmlns:mc="http://schemas.openxmlformats.org/markup-compatibility/2006">
      <mc:Choice Requires="x14">
        <control shapeId="7183" r:id="rId21" name="Button 15">
          <controlPr defaultSize="0" print="0" autoFill="0" autoPict="0" macro="[0]!DeleteMileStone.DeleteMileStone" altText="Adapt ME">
            <anchor moveWithCells="1" sizeWithCells="1">
              <from>
                <xdr:col>34</xdr:col>
                <xdr:colOff>28575</xdr:colOff>
                <xdr:row>3</xdr:row>
                <xdr:rowOff>28575</xdr:rowOff>
              </from>
              <to>
                <xdr:col>34</xdr:col>
                <xdr:colOff>447675</xdr:colOff>
                <xdr:row>3</xdr:row>
                <xdr:rowOff>180975</xdr:rowOff>
              </to>
            </anchor>
          </controlPr>
        </control>
      </mc:Choice>
    </mc:AlternateContent>
    <mc:AlternateContent xmlns:mc="http://schemas.openxmlformats.org/markup-compatibility/2006">
      <mc:Choice Requires="x14">
        <control shapeId="7184" r:id="rId22" name="Button 16">
          <controlPr defaultSize="0" print="0" autoFill="0" autoPict="0" macro="[0]!ClearMS.ClearMS" altText="Adapt ME">
            <anchor moveWithCells="1" sizeWithCells="1">
              <from>
                <xdr:col>34</xdr:col>
                <xdr:colOff>28575</xdr:colOff>
                <xdr:row>2</xdr:row>
                <xdr:rowOff>28575</xdr:rowOff>
              </from>
              <to>
                <xdr:col>34</xdr:col>
                <xdr:colOff>447675</xdr:colOff>
                <xdr:row>2</xdr:row>
                <xdr:rowOff>180975</xdr:rowOff>
              </to>
            </anchor>
          </controlPr>
        </control>
      </mc:Choice>
    </mc:AlternateContent>
    <mc:AlternateContent xmlns:mc="http://schemas.openxmlformats.org/markup-compatibility/2006">
      <mc:Choice Requires="x14">
        <control shapeId="7185" r:id="rId23" name="Button 17">
          <controlPr defaultSize="0" print="0" autoFill="0" autoPict="0" macro="[0]!AddMileStone.AddMileStone" altText="Adapt ME">
            <anchor moveWithCells="1" sizeWithCells="1">
              <from>
                <xdr:col>14</xdr:col>
                <xdr:colOff>28575</xdr:colOff>
                <xdr:row>1</xdr:row>
                <xdr:rowOff>28575</xdr:rowOff>
              </from>
              <to>
                <xdr:col>14</xdr:col>
                <xdr:colOff>447675</xdr:colOff>
                <xdr:row>1</xdr:row>
                <xdr:rowOff>180975</xdr:rowOff>
              </to>
            </anchor>
          </controlPr>
        </control>
      </mc:Choice>
    </mc:AlternateContent>
    <mc:AlternateContent xmlns:mc="http://schemas.openxmlformats.org/markup-compatibility/2006">
      <mc:Choice Requires="x14">
        <control shapeId="7186" r:id="rId24" name="Button 18">
          <controlPr defaultSize="0" print="0" autoFill="0" autoPict="0" macro="[0]!DeleteMileStone.DeleteMileStone" altText="Adapt ME">
            <anchor moveWithCells="1" sizeWithCells="1">
              <from>
                <xdr:col>14</xdr:col>
                <xdr:colOff>28575</xdr:colOff>
                <xdr:row>3</xdr:row>
                <xdr:rowOff>28575</xdr:rowOff>
              </from>
              <to>
                <xdr:col>14</xdr:col>
                <xdr:colOff>447675</xdr:colOff>
                <xdr:row>3</xdr:row>
                <xdr:rowOff>180975</xdr:rowOff>
              </to>
            </anchor>
          </controlPr>
        </control>
      </mc:Choice>
    </mc:AlternateContent>
    <mc:AlternateContent xmlns:mc="http://schemas.openxmlformats.org/markup-compatibility/2006">
      <mc:Choice Requires="x14">
        <control shapeId="7187" r:id="rId25" name="Button 19">
          <controlPr defaultSize="0" print="0" autoFill="0" autoPict="0" macro="[0]!ClearMS.ClearMS" altText="Adapt ME">
            <anchor moveWithCells="1" sizeWithCells="1">
              <from>
                <xdr:col>14</xdr:col>
                <xdr:colOff>28575</xdr:colOff>
                <xdr:row>2</xdr:row>
                <xdr:rowOff>28575</xdr:rowOff>
              </from>
              <to>
                <xdr:col>14</xdr:col>
                <xdr:colOff>447675</xdr:colOff>
                <xdr:row>2</xdr:row>
                <xdr:rowOff>180975</xdr:rowOff>
              </to>
            </anchor>
          </controlPr>
        </control>
      </mc:Choice>
    </mc:AlternateContent>
    <mc:AlternateContent xmlns:mc="http://schemas.openxmlformats.org/markup-compatibility/2006">
      <mc:Choice Requires="x14">
        <control shapeId="7188" r:id="rId26" name="Button 20">
          <controlPr defaultSize="0" print="0" autoFill="0" autoPict="0" macro="[0]!AddMileStone.AddMileStone" altText="Adapt ME">
            <anchor moveWithCells="1" sizeWithCells="1">
              <from>
                <xdr:col>39</xdr:col>
                <xdr:colOff>28575</xdr:colOff>
                <xdr:row>1</xdr:row>
                <xdr:rowOff>28575</xdr:rowOff>
              </from>
              <to>
                <xdr:col>39</xdr:col>
                <xdr:colOff>447675</xdr:colOff>
                <xdr:row>1</xdr:row>
                <xdr:rowOff>180975</xdr:rowOff>
              </to>
            </anchor>
          </controlPr>
        </control>
      </mc:Choice>
    </mc:AlternateContent>
    <mc:AlternateContent xmlns:mc="http://schemas.openxmlformats.org/markup-compatibility/2006">
      <mc:Choice Requires="x14">
        <control shapeId="7189" r:id="rId27" name="Button 21">
          <controlPr defaultSize="0" print="0" autoFill="0" autoPict="0" macro="[0]!DeleteMileStone.DeleteMileStone" altText="Adapt ME">
            <anchor moveWithCells="1" sizeWithCells="1">
              <from>
                <xdr:col>39</xdr:col>
                <xdr:colOff>28575</xdr:colOff>
                <xdr:row>3</xdr:row>
                <xdr:rowOff>28575</xdr:rowOff>
              </from>
              <to>
                <xdr:col>39</xdr:col>
                <xdr:colOff>447675</xdr:colOff>
                <xdr:row>3</xdr:row>
                <xdr:rowOff>180975</xdr:rowOff>
              </to>
            </anchor>
          </controlPr>
        </control>
      </mc:Choice>
    </mc:AlternateContent>
    <mc:AlternateContent xmlns:mc="http://schemas.openxmlformats.org/markup-compatibility/2006">
      <mc:Choice Requires="x14">
        <control shapeId="7190" r:id="rId28" name="Button 22">
          <controlPr defaultSize="0" print="0" autoFill="0" autoPict="0" macro="[0]!ClearMS.ClearMS" altText="Adapt ME">
            <anchor moveWithCells="1" sizeWithCells="1">
              <from>
                <xdr:col>39</xdr:col>
                <xdr:colOff>28575</xdr:colOff>
                <xdr:row>2</xdr:row>
                <xdr:rowOff>28575</xdr:rowOff>
              </from>
              <to>
                <xdr:col>39</xdr:col>
                <xdr:colOff>447675</xdr:colOff>
                <xdr:row>2</xdr:row>
                <xdr:rowOff>180975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088F0D8E-D2EA-426B-95F3-F01022302D77}">
            <x14:dataBar minLength="0" maxLength="100" gradient="0">
              <x14:cfvo type="num">
                <xm:f>1</xm:f>
              </x14:cfvo>
              <x14:cfvo type="num">
                <xm:f>100</xm:f>
              </x14:cfvo>
              <x14:negativeFillColor rgb="FFFF0000"/>
              <x14:axisColor rgb="FF000000"/>
            </x14:dataBar>
          </x14:cfRule>
          <xm:sqref>P45:P46</xm:sqref>
        </x14:conditionalFormatting>
        <x14:conditionalFormatting xmlns:xm="http://schemas.microsoft.com/office/excel/2006/main">
          <x14:cfRule type="dataBar" id="{B991BE7B-FFF3-4B30-AD58-6FC5AAD6B55C}">
            <x14:dataBar minLength="0" maxLength="100" gradient="0">
              <x14:cfvo type="num">
                <xm:f>1</xm:f>
              </x14:cfvo>
              <x14:cfvo type="num">
                <xm:f>100</xm:f>
              </x14:cfvo>
              <x14:negativeFillColor rgb="FFFF0000"/>
              <x14:axisColor rgb="FF000000"/>
            </x14:dataBar>
          </x14:cfRule>
          <xm:sqref>S4</xm:sqref>
        </x14:conditionalFormatting>
        <x14:conditionalFormatting xmlns:xm="http://schemas.microsoft.com/office/excel/2006/main">
          <x14:cfRule type="dataBar" id="{2E442206-4BD5-4BE0-94F1-CF1BFD5A3F68}">
            <x14:dataBar minLength="0" maxLength="100" gradient="0">
              <x14:cfvo type="num">
                <xm:f>1</xm:f>
              </x14:cfvo>
              <x14:cfvo type="num">
                <xm:f>100</xm:f>
              </x14:cfvo>
              <x14:negativeFillColor rgb="FFFF0000"/>
              <x14:axisColor rgb="FF000000"/>
            </x14:dataBar>
          </x14:cfRule>
          <xm:sqref>S3</xm:sqref>
        </x14:conditionalFormatting>
        <x14:conditionalFormatting xmlns:xm="http://schemas.microsoft.com/office/excel/2006/main">
          <x14:cfRule type="dataBar" id="{8034E69D-4803-4C61-AA83-AA5ABCB1F10B}">
            <x14:dataBar minLength="0" maxLength="100" gradient="0">
              <x14:cfvo type="num">
                <xm:f>1</xm:f>
              </x14:cfvo>
              <x14:cfvo type="num">
                <xm:f>100</xm:f>
              </x14:cfvo>
              <x14:negativeFillColor rgb="FFFF0000"/>
              <x14:axisColor rgb="FF000000"/>
            </x14:dataBar>
          </x14:cfRule>
          <xm:sqref>S2</xm:sqref>
        </x14:conditionalFormatting>
        <x14:conditionalFormatting xmlns:xm="http://schemas.microsoft.com/office/excel/2006/main">
          <x14:cfRule type="dataBar" id="{59126409-A034-407C-8414-DE8C40179DDB}">
            <x14:dataBar minLength="0" maxLength="100" gradient="0">
              <x14:cfvo type="num">
                <xm:f>1</xm:f>
              </x14:cfvo>
              <x14:cfvo type="num">
                <xm:f>100</xm:f>
              </x14:cfvo>
              <x14:negativeFillColor rgb="FFFF0000"/>
              <x14:axisColor rgb="FF000000"/>
            </x14:dataBar>
          </x14:cfRule>
          <xm:sqref>U45:U46 Z45:Z46 AE45:AE46 AJ45:AJ46 AO45:AO46</xm:sqref>
        </x14:conditionalFormatting>
        <x14:conditionalFormatting xmlns:xm="http://schemas.microsoft.com/office/excel/2006/main">
          <x14:cfRule type="dataBar" id="{604311E9-2812-4892-BE0A-7B550118D35C}">
            <x14:dataBar minLength="0" maxLength="100" gradient="0">
              <x14:cfvo type="num">
                <xm:f>1</xm:f>
              </x14:cfvo>
              <x14:cfvo type="num">
                <xm:f>100</xm:f>
              </x14:cfvo>
              <x14:negativeFillColor rgb="FFFF0000"/>
              <x14:axisColor rgb="FF000000"/>
            </x14:dataBar>
          </x14:cfRule>
          <xm:sqref>X4 AC4 AH4 AM4 AR4</xm:sqref>
        </x14:conditionalFormatting>
        <x14:conditionalFormatting xmlns:xm="http://schemas.microsoft.com/office/excel/2006/main">
          <x14:cfRule type="dataBar" id="{9A6A6844-5E00-4046-A232-9B80FDD4D60D}">
            <x14:dataBar minLength="0" maxLength="100" gradient="0">
              <x14:cfvo type="num">
                <xm:f>1</xm:f>
              </x14:cfvo>
              <x14:cfvo type="num">
                <xm:f>100</xm:f>
              </x14:cfvo>
              <x14:negativeFillColor rgb="FFFF0000"/>
              <x14:axisColor rgb="FF000000"/>
            </x14:dataBar>
          </x14:cfRule>
          <xm:sqref>X3 AC3 AH3 AM3 AR3</xm:sqref>
        </x14:conditionalFormatting>
        <x14:conditionalFormatting xmlns:xm="http://schemas.microsoft.com/office/excel/2006/main">
          <x14:cfRule type="dataBar" id="{69902292-56E2-4FAD-B4C2-17247DCB4458}">
            <x14:dataBar minLength="0" maxLength="100" gradient="0">
              <x14:cfvo type="num">
                <xm:f>1</xm:f>
              </x14:cfvo>
              <x14:cfvo type="num">
                <xm:f>100</xm:f>
              </x14:cfvo>
              <x14:negativeFillColor rgb="FFFF0000"/>
              <x14:axisColor rgb="FF000000"/>
            </x14:dataBar>
          </x14:cfRule>
          <xm:sqref>X2 AC2 AH2 AM2 AR2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84"/>
  <sheetViews>
    <sheetView zoomScale="90" zoomScaleNormal="90" workbookViewId="0">
      <pane ySplit="1" topLeftCell="A2" activePane="bottomLeft" state="frozen"/>
      <selection pane="bottomLeft"/>
    </sheetView>
  </sheetViews>
  <sheetFormatPr baseColWidth="10" defaultColWidth="12.625" defaultRowHeight="13.5"/>
  <sheetData>
    <row r="1" spans="1:7" s="2" customFormat="1">
      <c r="A1" s="2" t="s">
        <v>37</v>
      </c>
      <c r="B1" s="2" t="s">
        <v>28</v>
      </c>
      <c r="C1" s="2" t="s">
        <v>29</v>
      </c>
      <c r="D1" s="2" t="s">
        <v>30</v>
      </c>
      <c r="E1" s="2" t="s">
        <v>38</v>
      </c>
      <c r="F1" s="2" t="s">
        <v>11</v>
      </c>
      <c r="G1" s="2" t="s">
        <v>100</v>
      </c>
    </row>
    <row r="2" spans="1:7" s="1" customFormat="1">
      <c r="A2" s="1" t="s">
        <v>7</v>
      </c>
      <c r="B2" s="1" t="s">
        <v>95</v>
      </c>
      <c r="C2" s="1" t="s">
        <v>95</v>
      </c>
      <c r="D2" s="1" t="s">
        <v>95</v>
      </c>
      <c r="E2" s="1" t="s">
        <v>95</v>
      </c>
      <c r="F2" s="9" t="e">
        <f>#REF!</f>
        <v>#REF!</v>
      </c>
      <c r="G2" s="9" t="e">
        <f>#REF!</f>
        <v>#REF!</v>
      </c>
    </row>
    <row r="3" spans="1:7" s="1" customFormat="1">
      <c r="A3" s="1" t="s">
        <v>6</v>
      </c>
      <c r="B3" s="1" t="s">
        <v>18</v>
      </c>
      <c r="C3" s="1" t="s">
        <v>9</v>
      </c>
      <c r="D3" s="1" t="s">
        <v>98</v>
      </c>
      <c r="E3" s="1" t="s">
        <v>98</v>
      </c>
      <c r="F3" s="10" t="e">
        <f>F2</f>
        <v>#REF!</v>
      </c>
      <c r="G3" s="10" t="e">
        <f>G2</f>
        <v>#REF!</v>
      </c>
    </row>
    <row r="4" spans="1:7" s="1" customFormat="1">
      <c r="A4" s="1" t="s">
        <v>5</v>
      </c>
      <c r="B4" s="1" t="s">
        <v>19</v>
      </c>
      <c r="C4" s="1" t="s">
        <v>10</v>
      </c>
      <c r="D4" s="1" t="s">
        <v>31</v>
      </c>
      <c r="E4" s="1" t="s">
        <v>39</v>
      </c>
    </row>
    <row r="5" spans="1:7">
      <c r="B5" s="1" t="s">
        <v>16</v>
      </c>
      <c r="C5" s="1" t="s">
        <v>2</v>
      </c>
      <c r="D5" s="1" t="s">
        <v>32</v>
      </c>
      <c r="E5" s="1" t="s">
        <v>40</v>
      </c>
    </row>
    <row r="6" spans="1:7">
      <c r="B6" s="1" t="s">
        <v>22</v>
      </c>
      <c r="C6" s="1" t="s">
        <v>3</v>
      </c>
      <c r="D6" s="1" t="s">
        <v>33</v>
      </c>
      <c r="E6" s="1" t="s">
        <v>41</v>
      </c>
    </row>
    <row r="7" spans="1:7">
      <c r="B7" s="1" t="s">
        <v>23</v>
      </c>
      <c r="C7" s="1" t="s">
        <v>4</v>
      </c>
      <c r="D7" s="1" t="s">
        <v>97</v>
      </c>
      <c r="E7" s="1" t="s">
        <v>42</v>
      </c>
    </row>
    <row r="8" spans="1:7">
      <c r="B8" s="1" t="s">
        <v>24</v>
      </c>
      <c r="C8" s="1" t="s">
        <v>12</v>
      </c>
      <c r="D8" s="1" t="s">
        <v>17</v>
      </c>
      <c r="E8" s="1" t="s">
        <v>43</v>
      </c>
    </row>
    <row r="9" spans="1:7">
      <c r="B9" s="1" t="s">
        <v>25</v>
      </c>
      <c r="C9" s="1"/>
      <c r="D9" s="1" t="s">
        <v>20</v>
      </c>
      <c r="E9" s="1" t="s">
        <v>44</v>
      </c>
    </row>
    <row r="10" spans="1:7">
      <c r="B10" s="1" t="s">
        <v>26</v>
      </c>
      <c r="D10" s="1" t="s">
        <v>21</v>
      </c>
      <c r="E10" s="1" t="s">
        <v>45</v>
      </c>
    </row>
    <row r="11" spans="1:7">
      <c r="D11" s="1" t="s">
        <v>94</v>
      </c>
      <c r="E11" s="1" t="s">
        <v>46</v>
      </c>
    </row>
    <row r="12" spans="1:7">
      <c r="D12" s="1" t="s">
        <v>34</v>
      </c>
      <c r="E12" s="1" t="s">
        <v>47</v>
      </c>
    </row>
    <row r="13" spans="1:7">
      <c r="D13" s="1" t="s">
        <v>35</v>
      </c>
      <c r="E13" s="1" t="s">
        <v>48</v>
      </c>
    </row>
    <row r="14" spans="1:7">
      <c r="D14" s="1" t="s">
        <v>36</v>
      </c>
      <c r="E14" s="1" t="s">
        <v>49</v>
      </c>
    </row>
    <row r="15" spans="1:7">
      <c r="D15" s="1" t="s">
        <v>96</v>
      </c>
      <c r="E15" s="1" t="s">
        <v>50</v>
      </c>
    </row>
    <row r="16" spans="1:7">
      <c r="D16" s="1" t="s">
        <v>104</v>
      </c>
      <c r="E16" s="1" t="s">
        <v>51</v>
      </c>
    </row>
    <row r="17" spans="5:5">
      <c r="E17" s="1" t="s">
        <v>52</v>
      </c>
    </row>
    <row r="18" spans="5:5">
      <c r="E18" s="1" t="s">
        <v>53</v>
      </c>
    </row>
    <row r="19" spans="5:5">
      <c r="E19" s="1" t="s">
        <v>54</v>
      </c>
    </row>
    <row r="20" spans="5:5">
      <c r="E20" s="1" t="s">
        <v>55</v>
      </c>
    </row>
    <row r="21" spans="5:5">
      <c r="E21" s="1" t="s">
        <v>56</v>
      </c>
    </row>
    <row r="22" spans="5:5">
      <c r="E22" s="1" t="s">
        <v>57</v>
      </c>
    </row>
    <row r="23" spans="5:5">
      <c r="E23" s="1" t="s">
        <v>58</v>
      </c>
    </row>
    <row r="24" spans="5:5">
      <c r="E24" s="1" t="s">
        <v>59</v>
      </c>
    </row>
    <row r="25" spans="5:5">
      <c r="E25" s="1" t="s">
        <v>60</v>
      </c>
    </row>
    <row r="26" spans="5:5">
      <c r="E26" s="1" t="s">
        <v>61</v>
      </c>
    </row>
    <row r="27" spans="5:5">
      <c r="E27" s="1" t="s">
        <v>62</v>
      </c>
    </row>
    <row r="28" spans="5:5">
      <c r="E28" s="1" t="s">
        <v>63</v>
      </c>
    </row>
    <row r="29" spans="5:5">
      <c r="E29" s="1" t="s">
        <v>64</v>
      </c>
    </row>
    <row r="30" spans="5:5">
      <c r="E30" s="1" t="s">
        <v>65</v>
      </c>
    </row>
    <row r="31" spans="5:5">
      <c r="E31" s="1" t="s">
        <v>66</v>
      </c>
    </row>
    <row r="32" spans="5:5">
      <c r="E32" s="1" t="s">
        <v>67</v>
      </c>
    </row>
    <row r="33" spans="5:5">
      <c r="E33" s="1" t="s">
        <v>68</v>
      </c>
    </row>
    <row r="34" spans="5:5">
      <c r="E34" s="1" t="s">
        <v>69</v>
      </c>
    </row>
    <row r="35" spans="5:5">
      <c r="E35" s="1" t="s">
        <v>70</v>
      </c>
    </row>
    <row r="36" spans="5:5">
      <c r="E36" s="1" t="s">
        <v>71</v>
      </c>
    </row>
    <row r="37" spans="5:5">
      <c r="E37" s="1" t="s">
        <v>72</v>
      </c>
    </row>
    <row r="38" spans="5:5">
      <c r="E38" s="1" t="s">
        <v>73</v>
      </c>
    </row>
    <row r="39" spans="5:5">
      <c r="E39" s="1" t="s">
        <v>74</v>
      </c>
    </row>
    <row r="40" spans="5:5">
      <c r="E40" s="1" t="s">
        <v>75</v>
      </c>
    </row>
    <row r="41" spans="5:5">
      <c r="E41" s="1" t="s">
        <v>76</v>
      </c>
    </row>
    <row r="42" spans="5:5">
      <c r="E42" s="1" t="s">
        <v>77</v>
      </c>
    </row>
    <row r="43" spans="5:5">
      <c r="E43" s="1" t="s">
        <v>78</v>
      </c>
    </row>
    <row r="44" spans="5:5">
      <c r="E44" s="1" t="s">
        <v>79</v>
      </c>
    </row>
    <row r="45" spans="5:5">
      <c r="E45" s="1" t="s">
        <v>80</v>
      </c>
    </row>
    <row r="46" spans="5:5">
      <c r="E46" s="1" t="s">
        <v>81</v>
      </c>
    </row>
    <row r="78" spans="1:7">
      <c r="A78" s="6" t="s">
        <v>92</v>
      </c>
      <c r="B78" s="1"/>
      <c r="C78" s="1"/>
      <c r="D78" s="1"/>
      <c r="E78" s="1"/>
    </row>
    <row r="79" spans="1:7">
      <c r="A79" s="4" t="s">
        <v>93</v>
      </c>
      <c r="B79" t="s">
        <v>95</v>
      </c>
      <c r="C79" t="s">
        <v>95</v>
      </c>
      <c r="D79" t="s">
        <v>95</v>
      </c>
      <c r="E79" t="s">
        <v>95</v>
      </c>
      <c r="F79" t="s">
        <v>95</v>
      </c>
      <c r="G79" t="s">
        <v>95</v>
      </c>
    </row>
    <row r="80" spans="1:7">
      <c r="A80" s="5">
        <f ca="1">TODAY()</f>
        <v>45622</v>
      </c>
      <c r="B80" s="7"/>
      <c r="C80" s="7"/>
      <c r="D80" s="7"/>
      <c r="E80" s="7"/>
      <c r="F80" s="7"/>
      <c r="G80" s="7"/>
    </row>
    <row r="81" spans="1:5">
      <c r="B81" s="3"/>
      <c r="C81" s="3"/>
      <c r="D81" s="3"/>
      <c r="E81" s="3"/>
    </row>
    <row r="83" spans="1:5">
      <c r="A83" s="8" t="s">
        <v>99</v>
      </c>
    </row>
    <row r="84" spans="1:5">
      <c r="A84">
        <v>9</v>
      </c>
    </row>
  </sheetData>
  <phoneticPr fontId="36" type="noConversion"/>
  <pageMargins left="0.7" right="0.7" top="0.78740157499999996" bottom="0.78740157499999996" header="0.3" footer="0.3"/>
  <pageSetup paperSize="9" orientation="portrait" r:id="rId1"/>
  <headerFooter>
    <oddFooter>&amp;C_x000D_&amp;1#&amp;"BMW Group Condensed"&amp;12&amp;KC00000 CONFIDENTIAL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p:Policy xmlns:p="office.server.policy" id="" local="true">
  <p:Name>Document</p:Name>
  <p:Description/>
  <p:Statement/>
  <p:PolicyItems>
    <p:PolicyItem featureId="Microsoft.Office.RecordsManagement.PolicyFeatures.PolicyLabel" staticId="0x0101006D23F4E475525D449CC5D0E9A661BFFD|461252597" UniqueId="9a126336-6ea9-4b28-bddd-d750e8a096de">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literal">Version:</segment>
          <segment type="metadata">_UIVersionString</segment>
        </label>
      </p:CustomData>
    </p:PolicyItem>
  </p:PolicyItems>
</p:Polic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310ca5ee-f595-499c-89e1-ec706203f63f">
      <Value>1</Value>
    </TaxCatchAll>
    <IconOverlay xmlns="http://schemas.microsoft.com/sharepoint/v4" xsi:nil="true"/>
    <Status_x0020_required xmlns="8e544362-60fa-4cc2-b472-b921aaf9c3af">false</Status_x0020_required>
    <Current_x0020_Version xmlns="8e544362-60fa-4cc2-b472-b921aaf9c3af">4.0</Current_x0020_Version>
    <p626d320110546cf8afdff3d2536e6af xmlns="310ca5ee-f595-499c-89e1-ec706203f63f">
      <Terms xmlns="http://schemas.microsoft.com/office/infopath/2007/PartnerControls">
        <TermInfo xmlns="http://schemas.microsoft.com/office/infopath/2007/PartnerControls">
          <TermName xmlns="http://schemas.microsoft.com/office/infopath/2007/PartnerControls">In Progress</TermName>
          <TermId xmlns="http://schemas.microsoft.com/office/infopath/2007/PartnerControls">187eb327-e1fd-4ef0-96fc-1d97399b4d4f</TermId>
        </TermInfo>
      </Terms>
    </p626d320110546cf8afdff3d2536e6af>
    <DLCPolicyLabelClientValue xmlns="8e544362-60fa-4cc2-b472-b921aaf9c3af">Version:{_UIVersionString}</DLCPolicyLabelClientValue>
    <DLCPolicyLabelLock xmlns="8e544362-60fa-4cc2-b472-b921aaf9c3af" xsi:nil="true"/>
    <DLCPolicyLabelValue xmlns="8e544362-60fa-4cc2-b472-b921aaf9c3af">Version:4.0</DLCPolicyLabelVal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6D23F4E475525D449CC5D0E9A661BFFD" ma:contentTypeVersion="12" ma:contentTypeDescription="Create a new document." ma:contentTypeScope="" ma:versionID="1c5f1d23801fd85a7d9ab4300b1308f3">
  <xsd:schema xmlns:xsd="http://www.w3.org/2001/XMLSchema" xmlns:xs="http://www.w3.org/2001/XMLSchema" xmlns:p="http://schemas.microsoft.com/office/2006/metadata/properties" xmlns:ns1="http://schemas.microsoft.com/sharepoint/v3" xmlns:ns2="8e544362-60fa-4cc2-b472-b921aaf9c3af" xmlns:ns3="http://schemas.microsoft.com/sharepoint/v4" xmlns:ns4="310ca5ee-f595-499c-89e1-ec706203f63f" targetNamespace="http://schemas.microsoft.com/office/2006/metadata/properties" ma:root="true" ma:fieldsID="beda1dd87614ce4187102ae1292898d5" ns1:_="" ns2:_="" ns3:_="" ns4:_="">
    <xsd:import namespace="http://schemas.microsoft.com/sharepoint/v3"/>
    <xsd:import namespace="8e544362-60fa-4cc2-b472-b921aaf9c3af"/>
    <xsd:import namespace="http://schemas.microsoft.com/sharepoint/v4"/>
    <xsd:import namespace="310ca5ee-f595-499c-89e1-ec706203f63f"/>
    <xsd:element name="properties">
      <xsd:complexType>
        <xsd:sequence>
          <xsd:element name="documentManagement">
            <xsd:complexType>
              <xsd:all>
                <xsd:element ref="ns1:_dlc_Exempt" minOccurs="0"/>
                <xsd:element ref="ns2:DLCPolicyLabelValue" minOccurs="0"/>
                <xsd:element ref="ns2:DLCPolicyLabelClientValue" minOccurs="0"/>
                <xsd:element ref="ns2:DLCPolicyLabelLock" minOccurs="0"/>
                <xsd:element ref="ns3:IconOverlay" minOccurs="0"/>
                <xsd:element ref="ns4:p626d320110546cf8afdff3d2536e6af" minOccurs="0"/>
                <xsd:element ref="ns4:TaxCatchAll" minOccurs="0"/>
                <xsd:element ref="ns2:Status_x0020_required" minOccurs="0"/>
                <xsd:element ref="ns2:Current_x0020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8"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e544362-60fa-4cc2-b472-b921aaf9c3af" elementFormDefault="qualified">
    <xsd:import namespace="http://schemas.microsoft.com/office/2006/documentManagement/types"/>
    <xsd:import namespace="http://schemas.microsoft.com/office/infopath/2007/PartnerControls"/>
    <xsd:element name="DLCPolicyLabelValue" ma:index="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1" nillable="true" ma:displayName="Label Locked" ma:description="Indicates whether the label should be updated when item properties are modified." ma:hidden="true" ma:internalName="DLCPolicyLabelLock" ma:readOnly="false">
      <xsd:simpleType>
        <xsd:restriction base="dms:Text"/>
      </xsd:simpleType>
    </xsd:element>
    <xsd:element name="Status_x0020_required" ma:index="16" nillable="true" ma:displayName="Status required" ma:default="0" ma:internalName="Status_x0020_required">
      <xsd:simpleType>
        <xsd:restriction base="dms:Boolean"/>
      </xsd:simpleType>
    </xsd:element>
    <xsd:element name="Current_x0020_Version" ma:index="17" nillable="true" ma:displayName="Current Version" ma:internalName="Current_x0020_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10ca5ee-f595-499c-89e1-ec706203f63f" elementFormDefault="qualified">
    <xsd:import namespace="http://schemas.microsoft.com/office/2006/documentManagement/types"/>
    <xsd:import namespace="http://schemas.microsoft.com/office/infopath/2007/PartnerControls"/>
    <xsd:element name="p626d320110546cf8afdff3d2536e6af" ma:index="14" nillable="true" ma:taxonomy="true" ma:internalName="p626d320110546cf8afdff3d2536e6af" ma:taxonomyFieldName="Document_x0020_Status" ma:displayName="Document Status" ma:default="-1;#In Progress|187eb327-e1fd-4ef0-96fc-1d97399b4d4f" ma:fieldId="{9626d320-1105-46cf-8afd-ff3d2536e6af}" ma:sspId="80620802-294c-4d2f-9c5b-0d93d76cab53" ma:termSetId="99b09f93-0889-470a-9473-ad5c5ff379ea" ma:anchorId="00000000-0000-0000-0000-000000000000" ma:open="false" ma:isKeyword="false">
      <xsd:complexType>
        <xsd:sequence>
          <xsd:element ref="pc:Terms" minOccurs="0" maxOccurs="1"/>
        </xsd:sequence>
      </xsd:complexType>
    </xsd:element>
    <xsd:element name="TaxCatchAll" ma:index="15" nillable="true" ma:displayName="Taxonomy Catch All Column" ma:hidden="true" ma:list="{68385f0f-016d-436e-82f4-25c5b9fc1af1}" ma:internalName="TaxCatchAll" ma:showField="CatchAllData" ma:web="310ca5ee-f595-499c-89e1-ec706203f63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BB83FC-83B7-47B6-8000-DAE414CEF3CF}">
  <ds:schemaRefs>
    <ds:schemaRef ds:uri="office.server.policy"/>
  </ds:schemaRefs>
</ds:datastoreItem>
</file>

<file path=customXml/itemProps2.xml><?xml version="1.0" encoding="utf-8"?>
<ds:datastoreItem xmlns:ds="http://schemas.openxmlformats.org/officeDocument/2006/customXml" ds:itemID="{12AB9749-8CE7-431D-AFC0-AED74222F50F}">
  <ds:schemaRefs>
    <ds:schemaRef ds:uri="http://schemas.microsoft.com/sharepoint/v3/contenttype/forms"/>
  </ds:schemaRefs>
</ds:datastoreItem>
</file>

<file path=customXml/itemProps3.xml><?xml version="1.0" encoding="utf-8"?>
<ds:datastoreItem xmlns:ds="http://schemas.openxmlformats.org/officeDocument/2006/customXml" ds:itemID="{4D830A3C-51AD-4800-B1E1-4CB13842C8EC}">
  <ds:schemaRef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sharepoint/v4"/>
    <ds:schemaRef ds:uri="http://purl.org/dc/terms/"/>
    <ds:schemaRef ds:uri="310ca5ee-f595-499c-89e1-ec706203f63f"/>
    <ds:schemaRef ds:uri="8e544362-60fa-4cc2-b472-b921aaf9c3af"/>
    <ds:schemaRef ds:uri="http://www.w3.org/XML/1998/namespace"/>
  </ds:schemaRefs>
</ds:datastoreItem>
</file>

<file path=customXml/itemProps4.xml><?xml version="1.0" encoding="utf-8"?>
<ds:datastoreItem xmlns:ds="http://schemas.openxmlformats.org/officeDocument/2006/customXml" ds:itemID="{7CF098A7-E329-4D64-8496-E9EEB09F3D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e544362-60fa-4cc2-b472-b921aaf9c3af"/>
    <ds:schemaRef ds:uri="http://schemas.microsoft.com/sharepoint/v4"/>
    <ds:schemaRef ds:uri="310ca5ee-f595-499c-89e1-ec706203f6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5</vt:i4>
      </vt:variant>
    </vt:vector>
  </HeadingPairs>
  <TitlesOfParts>
    <vt:vector size="7" baseType="lpstr">
      <vt:lpstr>SOP 07_28_HW</vt:lpstr>
      <vt:lpstr>DropDown</vt:lpstr>
      <vt:lpstr>MaturityLevel</vt:lpstr>
      <vt:lpstr>Milestones</vt:lpstr>
      <vt:lpstr>SamplePhase</vt:lpstr>
      <vt:lpstr>Status</vt:lpstr>
      <vt:lpstr>Swip</vt:lpstr>
    </vt:vector>
  </TitlesOfParts>
  <Company>アルパイン株式会社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B0202775</dc:creator>
  <cp:lastModifiedBy>Kastner Alexander, (Alexander.Kastner@partner.bmw.de)</cp:lastModifiedBy>
  <cp:lastPrinted>2010-03-17T01:08:56Z</cp:lastPrinted>
  <dcterms:created xsi:type="dcterms:W3CDTF">2002-05-13T07:13:04Z</dcterms:created>
  <dcterms:modified xsi:type="dcterms:W3CDTF">2024-11-26T14:47:30Z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0x0101006D23F4E475525D449CC5D0E9A661BFFD</vt:lpwstr>
  </property>
  <property fmtid="{D5CDD505-2E9C-101B-9397-08002B2CF9AE}" pid="3" name="Document Status">
    <vt:lpwstr>1;#In Progress|187eb327-e1fd-4ef0-96fc-1d97399b4d4f</vt:lpwstr>
  </property>
  <property fmtid="{D5CDD505-2E9C-101B-9397-08002B2CF9AE}" pid="4" name="MSIP_Label_e798273d-f5aa-46da-8e10-241f6dcd5f2d_Enabled">
    <vt:lpwstr>true</vt:lpwstr>
  </property>
  <property fmtid="{D5CDD505-2E9C-101B-9397-08002B2CF9AE}" pid="5" name="MSIP_Label_e798273d-f5aa-46da-8e10-241f6dcd5f2d_SetDate">
    <vt:lpwstr>2021-02-19T13:15:26Z</vt:lpwstr>
  </property>
  <property fmtid="{D5CDD505-2E9C-101B-9397-08002B2CF9AE}" pid="6" name="MSIP_Label_e798273d-f5aa-46da-8e10-241f6dcd5f2d_Method">
    <vt:lpwstr>Standard</vt:lpwstr>
  </property>
  <property fmtid="{D5CDD505-2E9C-101B-9397-08002B2CF9AE}" pid="7" name="MSIP_Label_e798273d-f5aa-46da-8e10-241f6dcd5f2d_Name">
    <vt:lpwstr>e798273d-f5aa-46da-8e10-241f6dcd5f2d</vt:lpwstr>
  </property>
  <property fmtid="{D5CDD505-2E9C-101B-9397-08002B2CF9AE}" pid="8" name="MSIP_Label_e798273d-f5aa-46da-8e10-241f6dcd5f2d_SiteId">
    <vt:lpwstr>c760270c-f3da-4cfa-9737-03808ef5579f</vt:lpwstr>
  </property>
  <property fmtid="{D5CDD505-2E9C-101B-9397-08002B2CF9AE}" pid="9" name="MSIP_Label_e798273d-f5aa-46da-8e10-241f6dcd5f2d_ActionId">
    <vt:lpwstr/>
  </property>
  <property fmtid="{D5CDD505-2E9C-101B-9397-08002B2CF9AE}" pid="10" name="MSIP_Label_e798273d-f5aa-46da-8e10-241f6dcd5f2d_ContentBits">
    <vt:lpwstr>0</vt:lpwstr>
  </property>
  <property fmtid="{D5CDD505-2E9C-101B-9397-08002B2CF9AE}" pid="11" name="MSIP_Label_defa4170-0d19-0005-0004-bc88714345d2_Enabled">
    <vt:lpwstr>true</vt:lpwstr>
  </property>
  <property fmtid="{D5CDD505-2E9C-101B-9397-08002B2CF9AE}" pid="12" name="MSIP_Label_defa4170-0d19-0005-0004-bc88714345d2_SetDate">
    <vt:lpwstr>2023-05-22T01:01:14Z</vt:lpwstr>
  </property>
  <property fmtid="{D5CDD505-2E9C-101B-9397-08002B2CF9AE}" pid="13" name="MSIP_Label_defa4170-0d19-0005-0004-bc88714345d2_Method">
    <vt:lpwstr>Standard</vt:lpwstr>
  </property>
  <property fmtid="{D5CDD505-2E9C-101B-9397-08002B2CF9AE}" pid="14" name="MSIP_Label_defa4170-0d19-0005-0004-bc88714345d2_Name">
    <vt:lpwstr>defa4170-0d19-0005-0004-bc88714345d2</vt:lpwstr>
  </property>
  <property fmtid="{D5CDD505-2E9C-101B-9397-08002B2CF9AE}" pid="15" name="MSIP_Label_defa4170-0d19-0005-0004-bc88714345d2_SiteId">
    <vt:lpwstr>1c2d97e7-60e2-47e2-a4f1-20212299793d</vt:lpwstr>
  </property>
  <property fmtid="{D5CDD505-2E9C-101B-9397-08002B2CF9AE}" pid="16" name="MSIP_Label_defa4170-0d19-0005-0004-bc88714345d2_ActionId">
    <vt:lpwstr>b20f9000-16e8-43bc-a84a-0535ea83ceb5</vt:lpwstr>
  </property>
  <property fmtid="{D5CDD505-2E9C-101B-9397-08002B2CF9AE}" pid="17" name="MSIP_Label_defa4170-0d19-0005-0004-bc88714345d2_ContentBits">
    <vt:lpwstr>0</vt:lpwstr>
  </property>
  <property fmtid="{D5CDD505-2E9C-101B-9397-08002B2CF9AE}" pid="18" name="MSIP_Label_e6935750-240b-48e4-a615-66942a738439_Enabled">
    <vt:lpwstr>true</vt:lpwstr>
  </property>
  <property fmtid="{D5CDD505-2E9C-101B-9397-08002B2CF9AE}" pid="19" name="MSIP_Label_e6935750-240b-48e4-a615-66942a738439_SetDate">
    <vt:lpwstr>2024-11-26T12:51:32Z</vt:lpwstr>
  </property>
  <property fmtid="{D5CDD505-2E9C-101B-9397-08002B2CF9AE}" pid="20" name="MSIP_Label_e6935750-240b-48e4-a615-66942a738439_Method">
    <vt:lpwstr>Standard</vt:lpwstr>
  </property>
  <property fmtid="{D5CDD505-2E9C-101B-9397-08002B2CF9AE}" pid="21" name="MSIP_Label_e6935750-240b-48e4-a615-66942a738439_Name">
    <vt:lpwstr>e6935750-240b-48e4-a615-66942a738439</vt:lpwstr>
  </property>
  <property fmtid="{D5CDD505-2E9C-101B-9397-08002B2CF9AE}" pid="22" name="MSIP_Label_e6935750-240b-48e4-a615-66942a738439_SiteId">
    <vt:lpwstr>ce849bab-cc1c-465b-b62e-18f07c9ac198</vt:lpwstr>
  </property>
  <property fmtid="{D5CDD505-2E9C-101B-9397-08002B2CF9AE}" pid="23" name="MSIP_Label_e6935750-240b-48e4-a615-66942a738439_ActionId">
    <vt:lpwstr>c23d4337-25d2-4bb1-a09d-edb74ffa588e</vt:lpwstr>
  </property>
  <property fmtid="{D5CDD505-2E9C-101B-9397-08002B2CF9AE}" pid="24" name="MSIP_Label_e6935750-240b-48e4-a615-66942a738439_ContentBits">
    <vt:lpwstr>2</vt:lpwstr>
  </property>
</Properties>
</file>